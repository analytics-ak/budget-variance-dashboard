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E:\Modern Resume\Github Projects\Excel\Budget Variance Dashboard\"/>
    </mc:Choice>
  </mc:AlternateContent>
  <xr:revisionPtr revIDLastSave="0" documentId="13_ncr:1_{47468BE2-EC1F-40FE-AD32-FD85AE73FBDD}" xr6:coauthVersionLast="47" xr6:coauthVersionMax="47" xr10:uidLastSave="{00000000-0000-0000-0000-000000000000}"/>
  <bookViews>
    <workbookView xWindow="28680" yWindow="-120" windowWidth="29040" windowHeight="15720" activeTab="4" xr2:uid="{69935CCC-9959-47E1-8620-9B49EED737C4}"/>
  </bookViews>
  <sheets>
    <sheet name="Raw Data" sheetId="2" r:id="rId1"/>
    <sheet name="Lookup Tables" sheetId="3" r:id="rId2"/>
    <sheet name="Calculations" sheetId="4" state="hidden" r:id="rId3"/>
    <sheet name="Pivot Analysis" sheetId="5" r:id="rId4"/>
    <sheet name="Dashboard" sheetId="7" r:id="rId5"/>
  </sheets>
  <definedNames>
    <definedName name="ExternalData_1" localSheetId="0" hidden="1">'Raw Data'!$A$1:$K$2401</definedName>
    <definedName name="Slicer_Department">#N/A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T2" i="4" a="1"/>
  <c r="T2" i="4" s="1"/>
  <c r="X2" i="4" s="1"/>
  <c r="M2" i="4" a="1"/>
  <c r="M2" i="4" s="1"/>
  <c r="N2" i="4" s="1"/>
  <c r="D2" i="4" a="1"/>
  <c r="D2" i="4" s="1"/>
  <c r="E2" i="4" s="1"/>
  <c r="B3" i="4"/>
  <c r="B2" i="4"/>
  <c r="B4" i="4" l="1"/>
  <c r="B5" i="4" s="1"/>
  <c r="N16" i="4"/>
  <c r="Y3" i="4"/>
  <c r="O2" i="4"/>
  <c r="N21" i="4"/>
  <c r="P21" i="4"/>
  <c r="Y2" i="4"/>
  <c r="F2" i="4"/>
  <c r="G2" i="4" s="1"/>
  <c r="N19" i="4"/>
  <c r="N7" i="4"/>
  <c r="O19" i="4"/>
  <c r="O7" i="4"/>
  <c r="P19" i="4"/>
  <c r="P7" i="4"/>
  <c r="Q19" i="4"/>
  <c r="Q7" i="4"/>
  <c r="V3" i="4"/>
  <c r="X5" i="4"/>
  <c r="O21" i="4"/>
  <c r="O9" i="4"/>
  <c r="P9" i="4"/>
  <c r="Q21" i="4"/>
  <c r="R21" i="4" s="1"/>
  <c r="Q9" i="4"/>
  <c r="V5" i="4"/>
  <c r="N18" i="4"/>
  <c r="N6" i="4"/>
  <c r="O18" i="4"/>
  <c r="O6" i="4"/>
  <c r="P18" i="4"/>
  <c r="P6" i="4"/>
  <c r="Q18" i="4"/>
  <c r="R18" i="4" s="1"/>
  <c r="Q6" i="4"/>
  <c r="R6" i="4" s="1"/>
  <c r="W3" i="4"/>
  <c r="Y5" i="4"/>
  <c r="O4" i="4"/>
  <c r="Q4" i="4"/>
  <c r="P2" i="4"/>
  <c r="E6" i="4"/>
  <c r="N17" i="4"/>
  <c r="N5" i="4"/>
  <c r="O17" i="4"/>
  <c r="O5" i="4"/>
  <c r="P17" i="4"/>
  <c r="P5" i="4"/>
  <c r="Q17" i="4"/>
  <c r="Q5" i="4"/>
  <c r="X3" i="4"/>
  <c r="U6" i="4"/>
  <c r="V6" i="4"/>
  <c r="N15" i="4"/>
  <c r="N3" i="4"/>
  <c r="O15" i="4"/>
  <c r="O3" i="4"/>
  <c r="P15" i="4"/>
  <c r="P3" i="4"/>
  <c r="Q15" i="4"/>
  <c r="Q3" i="4"/>
  <c r="U4" i="4"/>
  <c r="W6" i="4"/>
  <c r="V4" i="4"/>
  <c r="X6" i="4"/>
  <c r="N4" i="4"/>
  <c r="F6" i="4"/>
  <c r="G6" i="4" s="1"/>
  <c r="N25" i="4"/>
  <c r="N13" i="4"/>
  <c r="O25" i="4"/>
  <c r="O13" i="4"/>
  <c r="P25" i="4"/>
  <c r="P13" i="4"/>
  <c r="Q25" i="4"/>
  <c r="Q13" i="4"/>
  <c r="U2" i="4"/>
  <c r="W4" i="4"/>
  <c r="Y6" i="4"/>
  <c r="E5" i="4"/>
  <c r="O16" i="4"/>
  <c r="E4" i="4"/>
  <c r="E3" i="4"/>
  <c r="N14" i="4"/>
  <c r="O14" i="4"/>
  <c r="Q2" i="4"/>
  <c r="R2" i="4" s="1"/>
  <c r="F5" i="4"/>
  <c r="N12" i="4"/>
  <c r="O12" i="4"/>
  <c r="P24" i="4"/>
  <c r="Q24" i="4"/>
  <c r="R24" i="4" s="1"/>
  <c r="Q12" i="4"/>
  <c r="R12" i="4" s="1"/>
  <c r="X4" i="4"/>
  <c r="Q16" i="4"/>
  <c r="R16" i="4" s="1"/>
  <c r="P14" i="4"/>
  <c r="N24" i="4"/>
  <c r="O24" i="4"/>
  <c r="P12" i="4"/>
  <c r="V2" i="4"/>
  <c r="F4" i="4"/>
  <c r="N23" i="4"/>
  <c r="N11" i="4"/>
  <c r="O23" i="4"/>
  <c r="O11" i="4"/>
  <c r="P23" i="4"/>
  <c r="P11" i="4"/>
  <c r="Q23" i="4"/>
  <c r="Q11" i="4"/>
  <c r="R11" i="4" s="1"/>
  <c r="W2" i="4"/>
  <c r="Y4" i="4"/>
  <c r="F3" i="4"/>
  <c r="G3" i="4" s="1"/>
  <c r="N22" i="4"/>
  <c r="N10" i="4"/>
  <c r="O22" i="4"/>
  <c r="O10" i="4"/>
  <c r="P22" i="4"/>
  <c r="P10" i="4"/>
  <c r="Q22" i="4"/>
  <c r="Q10" i="4"/>
  <c r="U5" i="4"/>
  <c r="P4" i="4"/>
  <c r="N9" i="4"/>
  <c r="P16" i="4"/>
  <c r="Q14" i="4"/>
  <c r="R14" i="4" s="1"/>
  <c r="N20" i="4"/>
  <c r="N8" i="4"/>
  <c r="O20" i="4"/>
  <c r="O8" i="4"/>
  <c r="P20" i="4"/>
  <c r="P8" i="4"/>
  <c r="Q20" i="4"/>
  <c r="Q8" i="4"/>
  <c r="U3" i="4"/>
  <c r="W5" i="4"/>
  <c r="R13" i="4" l="1"/>
  <c r="R25" i="4"/>
  <c r="R5" i="4"/>
  <c r="R4" i="4"/>
  <c r="R3" i="4"/>
  <c r="R17" i="4"/>
  <c r="R9" i="4"/>
  <c r="R15" i="4"/>
  <c r="R8" i="4"/>
  <c r="R20" i="4"/>
  <c r="R10" i="4"/>
  <c r="R23" i="4"/>
  <c r="R22" i="4"/>
  <c r="R7" i="4"/>
  <c r="R19" i="4"/>
  <c r="G4" i="4"/>
  <c r="G5" i="4"/>
  <c r="K2" i="4" l="1" a="1"/>
  <c r="K2" i="4" s="1"/>
  <c r="J2" i="4" a="1"/>
  <c r="J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6C1B3D-2DD5-4660-98EB-655191060157}" keepAlive="1" name="Query - budget_data" description="Connection to the 'budget_data' query in the workbook." type="5" refreshedVersion="8" background="1" saveData="1">
    <dbPr connection="Provider=Microsoft.Mashup.OleDb.1;Data Source=$Workbook$;Location=budget_data;Extended Properties=&quot;&quot;" command="SELECT * FROM [budget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<sst xmlns="http://schemas.openxmlformats.org/spreadsheetml/2006/main" count="14488" uniqueCount="88">
  <si>
    <t>Date</t>
  </si>
  <si>
    <t>Month_Number</t>
  </si>
  <si>
    <t>Month_Name</t>
  </si>
  <si>
    <t>Month_Year</t>
  </si>
  <si>
    <t>Year</t>
  </si>
  <si>
    <t>Department</t>
  </si>
  <si>
    <t>Category</t>
  </si>
  <si>
    <t>Region</t>
  </si>
  <si>
    <t>Cost_Center</t>
  </si>
  <si>
    <t>Budget</t>
  </si>
  <si>
    <t>Actual</t>
  </si>
  <si>
    <t>Jan</t>
  </si>
  <si>
    <t>Jan-2023</t>
  </si>
  <si>
    <t>Marketing</t>
  </si>
  <si>
    <t>Salaries</t>
  </si>
  <si>
    <t>North</t>
  </si>
  <si>
    <t>CC-100</t>
  </si>
  <si>
    <t>South</t>
  </si>
  <si>
    <t>East</t>
  </si>
  <si>
    <t>West</t>
  </si>
  <si>
    <t>Software</t>
  </si>
  <si>
    <t>Travel</t>
  </si>
  <si>
    <t>Supplies</t>
  </si>
  <si>
    <t>Training</t>
  </si>
  <si>
    <t>IT</t>
  </si>
  <si>
    <t>CC-200</t>
  </si>
  <si>
    <t>HR</t>
  </si>
  <si>
    <t>CC-300</t>
  </si>
  <si>
    <t>Operations</t>
  </si>
  <si>
    <t>CC-400</t>
  </si>
  <si>
    <t>Finance</t>
  </si>
  <si>
    <t>CC-500</t>
  </si>
  <si>
    <t>Feb</t>
  </si>
  <si>
    <t>Feb-2023</t>
  </si>
  <si>
    <t>Mar</t>
  </si>
  <si>
    <t>Mar-2023</t>
  </si>
  <si>
    <t>Apr</t>
  </si>
  <si>
    <t>Apr-2023</t>
  </si>
  <si>
    <t>May</t>
  </si>
  <si>
    <t>May-2023</t>
  </si>
  <si>
    <t>Jun</t>
  </si>
  <si>
    <t>Jun-2023</t>
  </si>
  <si>
    <t>Jul</t>
  </si>
  <si>
    <t>Jul-2023</t>
  </si>
  <si>
    <t>Aug</t>
  </si>
  <si>
    <t>Aug-2023</t>
  </si>
  <si>
    <t>Sep</t>
  </si>
  <si>
    <t>Sep-2023</t>
  </si>
  <si>
    <t>Oct</t>
  </si>
  <si>
    <t>Oct-2023</t>
  </si>
  <si>
    <t>Nov</t>
  </si>
  <si>
    <t>Nov-2023</t>
  </si>
  <si>
    <t>Dec</t>
  </si>
  <si>
    <t>Dec-2023</t>
  </si>
  <si>
    <t>Jan-2024</t>
  </si>
  <si>
    <t>Feb-2024</t>
  </si>
  <si>
    <t>Mar-2024</t>
  </si>
  <si>
    <t>Apr-2024</t>
  </si>
  <si>
    <t>May-2024</t>
  </si>
  <si>
    <t>Jun-2024</t>
  </si>
  <si>
    <t>Jul-2024</t>
  </si>
  <si>
    <t>Aug-2024</t>
  </si>
  <si>
    <t>Sep-2024</t>
  </si>
  <si>
    <t>Oct-2024</t>
  </si>
  <si>
    <t>Nov-2024</t>
  </si>
  <si>
    <t>Dec-2024</t>
  </si>
  <si>
    <t>Status</t>
  </si>
  <si>
    <t>Lower_Limit</t>
  </si>
  <si>
    <t>Upper_Limit</t>
  </si>
  <si>
    <t>Overspend</t>
  </si>
  <si>
    <t>On Budget</t>
  </si>
  <si>
    <t>Underspend</t>
  </si>
  <si>
    <t>Variance</t>
  </si>
  <si>
    <t>Variance_%</t>
  </si>
  <si>
    <t>KPI</t>
  </si>
  <si>
    <t>Value</t>
  </si>
  <si>
    <t>Total Budget</t>
  </si>
  <si>
    <t>Total Actual</t>
  </si>
  <si>
    <t>Total Variance</t>
  </si>
  <si>
    <t>Overall Variance %</t>
  </si>
  <si>
    <t>Variance %</t>
  </si>
  <si>
    <t>Rank</t>
  </si>
  <si>
    <t>Grand Total</t>
  </si>
  <si>
    <t>Sum of Variance</t>
  </si>
  <si>
    <t>Sum of Variance_Pct</t>
  </si>
  <si>
    <t>Pivot 1: Department Variance Summary</t>
  </si>
  <si>
    <t>Sum of Variance_Pct_Cat</t>
  </si>
  <si>
    <t>Pivot 2: Category Variance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</si>
</sst>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Red][$$-409]#,##0"/>
    <numFmt numFmtId="165" formatCode="[$$-409]#,##0;[Red][$$-409]\-#,##0"/>
  </numFmts>
  <fonts count="2">
    <font>
      <sz val="11"/>
      <color theme="1"/>
      <name val="Aptos Narrow"/>
      <family val="2"/>
      <scheme val="minor"/>
    </font>
    <font>
      <sz val="10"/>
      <color theme="1"/>
      <name val="Arial Unicode MS"/>
    </font>
  </fonts>
  <fills count="4">
    <fill>
      <patternFill patternType="none"/>
    </fill>
    <fill>
      <patternFill patternType="gray125"/>
    </fill>
    <fill>
      <patternFill patternType="solid">
        <fgColor theme="7" tint="0.79998168889431442"/>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
    <xf numFmtId="0" fontId="0" fillId="0" borderId="0" xfId="0"/>
    <xf numFmtId="14" fontId="0" fillId="0" borderId="0" xfId="0" applyNumberFormat="1"/>
    <xf numFmtId="0" fontId="0" fillId="0" borderId="1" xfId="0" applyBorder="1"/>
    <xf numFmtId="9" fontId="0" fillId="0" borderId="0" xfId="0" applyNumberFormat="1"/>
    <xf numFmtId="9" fontId="0" fillId="0" borderId="1" xfId="0" applyNumberFormat="1" applyBorder="1"/>
    <xf numFmtId="0" fontId="0" fillId="2" borderId="1" xfId="0" applyFill="1" applyBorder="1"/>
    <xf numFmtId="0" fontId="0" fillId="2" borderId="1" xfId="0" applyFill="1" applyBorder="1" applyAlignment="1">
      <alignment horizontal="center"/>
    </xf>
    <xf numFmtId="0" fontId="0" fillId="0" borderId="1" xfId="0" applyBorder="1" applyAlignment="1">
      <alignment horizontal="center"/>
    </xf>
    <xf numFmtId="0" fontId="0" fillId="0" borderId="7" xfId="0" applyBorder="1"/>
    <xf numFmtId="0" fontId="0" fillId="0" borderId="6" xfId="0" applyBorder="1"/>
    <xf numFmtId="0" fontId="0" fillId="0" borderId="5" xfId="0" applyBorder="1"/>
    <xf numFmtId="0" fontId="0" fillId="0" borderId="4" xfId="0" applyBorder="1"/>
    <xf numFmtId="0" fontId="0" fillId="0" borderId="2" xfId="0" applyBorder="1"/>
    <xf numFmtId="0" fontId="0" fillId="0" borderId="3" xfId="0" applyBorder="1"/>
    <xf numFmtId="9" fontId="0" fillId="0" borderId="3" xfId="0" applyNumberFormat="1" applyBorder="1"/>
    <xf numFmtId="0" fontId="1" fillId="0" borderId="4" xfId="0" applyFont="1" applyBorder="1"/>
    <xf numFmtId="0" fontId="1" fillId="0" borderId="8" xfId="0" applyFont="1" applyBorder="1"/>
    <xf numFmtId="0" fontId="1" fillId="0" borderId="5" xfId="0" applyFont="1" applyBorder="1"/>
    <xf numFmtId="9" fontId="0" fillId="0" borderId="9" xfId="0" applyNumberFormat="1" applyBorder="1"/>
    <xf numFmtId="9" fontId="0" fillId="0" borderId="7" xfId="0" applyNumberFormat="1" applyBorder="1"/>
    <xf numFmtId="4" fontId="0" fillId="0" borderId="0" xfId="0" applyNumberFormat="1"/>
    <xf numFmtId="0" fontId="0" fillId="0" borderId="0" xfId="0" applyAlignment="1">
      <alignment horizontal="left"/>
    </xf>
    <xf numFmtId="10" fontId="0" fillId="0" borderId="1" xfId="0" applyNumberFormat="1" applyBorder="1" applyAlignment="1">
      <alignment horizontal="right"/>
    </xf>
    <xf numFmtId="165" fontId="0" fillId="0" borderId="1" xfId="0" applyNumberFormat="1" applyBorder="1" applyAlignment="1">
      <alignment horizontal="right"/>
    </xf>
    <xf numFmtId="164" fontId="0" fillId="0" borderId="1" xfId="0" applyNumberFormat="1" applyBorder="1" applyAlignment="1">
      <alignment horizontal="center"/>
    </xf>
    <xf numFmtId="10" fontId="0" fillId="0" borderId="1" xfId="0" applyNumberFormat="1" applyBorder="1" applyAlignment="1">
      <alignment horizontal="center"/>
    </xf>
    <xf numFmtId="10" fontId="0" fillId="0" borderId="0" xfId="0" applyNumberFormat="1"/>
    <xf numFmtId="10" fontId="0" fillId="0" borderId="1" xfId="0" applyNumberFormat="1" applyBorder="1"/>
    <xf numFmtId="0" fontId="0" fillId="0" borderId="0" xfId="0" pivotButton="1"/>
    <xf numFmtId="164" fontId="0" fillId="0" borderId="0" xfId="0" applyNumberFormat="1"/>
    <xf numFmtId="0" fontId="0" fillId="3" borderId="0" xfId="0" applyFill="1"/>
  </cellXfs>
  <cellStyles count="1">
    <cellStyle name="Normal" xfId="0" builtinId="0"/>
  </cellStyles>
  <dxfs count="34">
    <dxf>
      <numFmt numFmtId="14" formatCode="0.00%"/>
    </dxf>
    <dxf>
      <numFmt numFmtId="14" formatCode="0.00%"/>
    </dxf>
    <dxf>
      <numFmt numFmtId="164" formatCode="[$$-409]#,##0;[Red][$$-409]#,##0"/>
    </dxf>
    <dxf>
      <numFmt numFmtId="14" formatCode="0.00%"/>
    </dxf>
    <dxf>
      <numFmt numFmtId="13" formatCode="0%"/>
      <border diagonalUp="0" diagonalDown="0">
        <left style="thin">
          <color indexed="64"/>
        </left>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Arial Unicode MS"/>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13" formatCode="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color theme="0"/>
      </font>
    </dxf>
    <dxf>
      <fill>
        <patternFill>
          <bgColor rgb="FF002060"/>
        </patternFill>
      </fill>
    </dxf>
    <dxf>
      <font>
        <color theme="0"/>
      </font>
    </dxf>
    <dxf>
      <fill>
        <patternFill>
          <bgColor rgb="FF002060"/>
        </patternFill>
      </fill>
    </dxf>
    <dxf>
      <font>
        <color theme="0"/>
      </font>
    </dxf>
    <dxf>
      <fill>
        <patternFill>
          <bgColor rgb="FF002060"/>
        </patternFill>
      </fill>
    </dxf>
    <dxf>
      <fill>
        <patternFill>
          <bgColor rgb="FF002060"/>
        </patternFill>
      </fill>
    </dxf>
  </dxfs>
  <tableStyles count="5" defaultTableStyle="TableStyleMedium2" defaultPivotStyle="PivotStyleLight16">
    <tableStyle name="Slicer Style 1" pivot="0" table="0" count="1" xr9:uid="{C196598C-919F-4638-951A-32F9610F23EB}">
      <tableStyleElement type="wholeTable" dxfId="33"/>
    </tableStyle>
    <tableStyle name="Slicer Style 2" pivot="0" table="0" count="0" xr9:uid="{A0657890-0D17-451B-99C8-AB1941F4B2C9}"/>
    <tableStyle name="Slicer Style 3" pivot="0" table="0" count="2" xr9:uid="{7B8C6AA3-38B6-4B28-8564-DC25C7EE4964}">
      <tableStyleElement type="wholeTable" dxfId="32"/>
      <tableStyleElement type="headerRow" dxfId="31"/>
    </tableStyle>
    <tableStyle name="Slicer Style 4" pivot="0" table="0" count="6" xr9:uid="{27B340B8-70E8-42A0-B74B-44F5491F5CC7}">
      <tableStyleElement type="wholeTable" dxfId="30"/>
      <tableStyleElement type="headerRow" dxfId="29"/>
    </tableStyle>
    <tableStyle name="Slicer Style 5" pivot="0" table="0" count="10" xr9:uid="{43DC524D-0E25-4CD0-AD27-5D3B37F3BE85}">
      <tableStyleElement type="wholeTable" dxfId="28"/>
      <tableStyleElement type="headerRow" dxfId="27"/>
    </tableStyle>
  </tableStyles>
  <extLst>
    <ext xmlns:x14="http://schemas.microsoft.com/office/spreadsheetml/2009/9/main" uri="{46F421CA-312F-682f-3DD2-61675219B42D}">
      <x14:dxfs count="12">
        <dxf>
          <font>
            <color theme="0"/>
          </font>
        </dxf>
        <dxf>
          <font>
            <color theme="0"/>
          </font>
        </dxf>
        <dxf>
          <font>
            <color theme="0"/>
          </font>
        </dxf>
        <dxf>
          <font>
            <color theme="0"/>
          </font>
        </dxf>
        <dxf>
          <font>
            <color theme="0"/>
          </font>
        </dxf>
        <dxf>
          <font>
            <color theme="0"/>
          </font>
          <border diagonalUp="0" diagonalDown="0">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ont>
            <color theme="0"/>
          </font>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[budget_variance_dashboard.xlsx]Pivot Analysis!PivotTable3</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rPr>
              <a:t>Monthly Variance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Analysis'!$B$9</c:f>
              <c:strCache>
                <c:ptCount val="1"/>
                <c:pt idx="0">
                  <c:v>Total</c:v>
                </c:pt>
              </c:strCache>
            </c:strRef>
          </c:tx>
          <c:spPr>
            <a:ln w="44450" cap="rnd">
              <a:solidFill>
                <a:schemeClr val="accent1"/>
              </a:solidFill>
              <a:round/>
            </a:ln>
            <a:effectLst/>
          </c:spPr>
          <c:marker>
            <c:symbol val="none"/>
          </c:marker>
          <c:cat>
            <c:strRef>
              <c:f>'Pivot 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Analysis'!$B$10:$B$22</c:f>
              <c:numCache>
                <c:formatCode>[$$-409]#,##0;[Red][$$-409]#,##0</c:formatCode>
                <c:ptCount val="12"/>
                <c:pt idx="0">
                  <c:v>47529.22000000003</c:v>
                </c:pt>
                <c:pt idx="1">
                  <c:v>11587.959999999961</c:v>
                </c:pt>
                <c:pt idx="2">
                  <c:v>24777.340000000058</c:v>
                </c:pt>
                <c:pt idx="3">
                  <c:v>19549.049999999996</c:v>
                </c:pt>
                <c:pt idx="4">
                  <c:v>3923.0399999999863</c:v>
                </c:pt>
                <c:pt idx="5">
                  <c:v>34550.290000000015</c:v>
                </c:pt>
                <c:pt idx="6">
                  <c:v>164944.06000000006</c:v>
                </c:pt>
                <c:pt idx="7">
                  <c:v>180695.92999999996</c:v>
                </c:pt>
                <c:pt idx="8">
                  <c:v>172788.18000000011</c:v>
                </c:pt>
                <c:pt idx="9">
                  <c:v>-8129.419999999991</c:v>
                </c:pt>
                <c:pt idx="10">
                  <c:v>28410.650000000016</c:v>
                </c:pt>
                <c:pt idx="11">
                  <c:v>37145.029999999992</c:v>
                </c:pt>
              </c:numCache>
            </c:numRef>
          </c:val>
          <c:smooth val="0"/>
          <c:extLst>
            <c:ext xmlns:c16="http://schemas.microsoft.com/office/drawing/2014/chart" uri="{C3380CC4-5D6E-409C-BE32-E72D297353CC}">
              <c16:uniqueId val="{00000000-68BA-4BC1-9990-A10C93A536B1}"/>
            </c:ext>
          </c:extLst>
        </c:ser>
        <c:dLbls>
          <c:showLegendKey val="0"/>
          <c:showVal val="0"/>
          <c:showCatName val="0"/>
          <c:showSerName val="0"/>
          <c:showPercent val="0"/>
          <c:showBubbleSize val="0"/>
        </c:dLbls>
        <c:smooth val="0"/>
        <c:axId val="1431498992"/>
        <c:axId val="1431487952"/>
      </c:lineChart>
      <c:catAx>
        <c:axId val="14314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dir="2700000" algn="tl" rotWithShape="0">
                    <a:schemeClr val="tx1">
                      <a:alpha val="40000"/>
                    </a:schemeClr>
                  </a:outerShdw>
                </a:effectLst>
                <a:latin typeface="+mn-lt"/>
                <a:ea typeface="+mn-ea"/>
                <a:cs typeface="+mn-cs"/>
              </a:defRPr>
            </a:pPr>
            <a:endParaRPr lang="en-US"/>
          </a:p>
        </c:txPr>
        <c:crossAx val="1431487952"/>
        <c:crosses val="autoZero"/>
        <c:auto val="1"/>
        <c:lblAlgn val="ctr"/>
        <c:lblOffset val="100"/>
        <c:noMultiLvlLbl val="0"/>
      </c:catAx>
      <c:valAx>
        <c:axId val="143148795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crossAx val="143149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[budget_variance_dashboard.xlsx]Pivot 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Department Variance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effectLst>
                    <a:outerShdw blurRad="50800" dist="38100" dir="5400000" algn="t"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effectLst>
                    <a:outerShdw blurRad="50800" dist="38100" dir="5400000" algn="t"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effectLst>
                    <a:outerShdw blurRad="50800" dist="38100" dir="5400000" algn="t"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dLbl>
      </c:pivotFmt>
    </c:pivotFmts>
    <c:plotArea>
      <c:layout/>
      <c:barChart>
        <c:barDir val="bar"/>
        <c:grouping val="clustered"/>
        <c:varyColors val="0"/>
        <c:ser>
          <c:idx val="0"/>
          <c:order val="0"/>
          <c:tx>
            <c:strRef>
              <c:f>'Pivot Analysis'!$B$1</c:f>
              <c:strCache>
                <c:ptCount val="1"/>
                <c:pt idx="0">
                  <c:v>Total</c:v>
                </c:pt>
              </c:strCache>
            </c:strRef>
          </c:tx>
          <c:spPr>
            <a:solidFill>
              <a:srgbClr val="4EA72E"/>
            </a:solidFill>
            <a:ln>
              <a:noFill/>
            </a:ln>
            <a:effectLst/>
          </c:spPr>
          <c:invertIfNegative val="1"/>
          <c:dPt>
            <c:idx val="0"/>
            <c:invertIfNegative val="1"/>
            <c:bubble3D val="0"/>
            <c:spPr>
              <a:solidFill>
                <a:schemeClr val="accent6">
                  <a:lumMod val="50000"/>
                </a:schemeClr>
              </a:solidFill>
              <a:ln>
                <a:noFill/>
              </a:ln>
              <a:effectLst/>
            </c:spPr>
            <c:extLst>
              <c:ext xmlns:c16="http://schemas.microsoft.com/office/drawing/2014/chart" uri="{C3380CC4-5D6E-409C-BE32-E72D297353CC}">
                <c16:uniqueId val="{00000001-9EB6-48A6-A2E6-B9DE76916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effectLst>
                      <a:outerShdw blurRad="50800" dist="38100" dir="5400000" algn="t"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Analysis'!$A$2:$A$7</c:f>
              <c:strCache>
                <c:ptCount val="5"/>
                <c:pt idx="0">
                  <c:v>Marketing</c:v>
                </c:pt>
                <c:pt idx="1">
                  <c:v>Operations</c:v>
                </c:pt>
                <c:pt idx="2">
                  <c:v>HR</c:v>
                </c:pt>
                <c:pt idx="3">
                  <c:v>Finance</c:v>
                </c:pt>
                <c:pt idx="4">
                  <c:v>IT</c:v>
                </c:pt>
              </c:strCache>
            </c:strRef>
          </c:cat>
          <c:val>
            <c:numRef>
              <c:f>'Pivot Analysis'!$B$2:$B$7</c:f>
              <c:numCache>
                <c:formatCode>0.00%</c:formatCode>
                <c:ptCount val="5"/>
                <c:pt idx="0">
                  <c:v>0.156912087206765</c:v>
                </c:pt>
                <c:pt idx="1">
                  <c:v>3.561408437154244E-2</c:v>
                </c:pt>
                <c:pt idx="2">
                  <c:v>8.1803937305602609E-3</c:v>
                </c:pt>
                <c:pt idx="3">
                  <c:v>6.0345359046055412E-3</c:v>
                </c:pt>
                <c:pt idx="4">
                  <c:v>-0.11575947645063243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9EB6-48A6-A2E6-B9DE76916F4F}"/>
            </c:ext>
          </c:extLst>
        </c:ser>
        <c:dLbls>
          <c:dLblPos val="outEnd"/>
          <c:showLegendKey val="0"/>
          <c:showVal val="1"/>
          <c:showCatName val="0"/>
          <c:showSerName val="0"/>
          <c:showPercent val="0"/>
          <c:showBubbleSize val="0"/>
        </c:dLbls>
        <c:gapWidth val="150"/>
        <c:axId val="1431482192"/>
        <c:axId val="1431479312"/>
      </c:barChart>
      <c:catAx>
        <c:axId val="1431482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crossAx val="1431479312"/>
        <c:crosses val="autoZero"/>
        <c:auto val="1"/>
        <c:lblAlgn val="ctr"/>
        <c:lblOffset val="100"/>
        <c:noMultiLvlLbl val="0"/>
      </c:catAx>
      <c:valAx>
        <c:axId val="1431479312"/>
        <c:scaling>
          <c:orientation val="minMax"/>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effectLst>
                  <a:outerShdw blurRad="50800" dist="38100" dir="5400000" algn="t" rotWithShape="0">
                    <a:prstClr val="black">
                      <a:alpha val="40000"/>
                    </a:prstClr>
                  </a:outerShdw>
                </a:effectLst>
                <a:latin typeface="+mn-lt"/>
                <a:ea typeface="+mn-ea"/>
                <a:cs typeface="+mn-cs"/>
              </a:defRPr>
            </a:pPr>
            <a:endParaRPr lang="en-US"/>
          </a:p>
        </c:txPr>
        <c:crossAx val="143148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[budget_variance_dashboard.xlsx]Pivot 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Category Variance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A72E"/>
          </a:solidFill>
          <a:ln>
            <a:noFill/>
          </a:ln>
          <a:effectLst/>
        </c:spPr>
        <c:dLbl>
          <c:idx val="0"/>
          <c:layout>
            <c:manualLayout>
              <c:x val="-9.9136213036195756E-2"/>
              <c:y val="1.699872187997106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EA72E"/>
          </a:solidFill>
          <a:ln>
            <a:noFill/>
          </a:ln>
          <a:effectLst/>
        </c:spPr>
        <c:dLbl>
          <c:idx val="0"/>
          <c:layout>
            <c:manualLayout>
              <c:x val="-9.9136213036195756E-2"/>
              <c:y val="1.699872187997106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A72E"/>
          </a:solidFill>
          <a:ln>
            <a:noFill/>
          </a:ln>
          <a:effectLst/>
        </c:spPr>
        <c:dLbl>
          <c:idx val="0"/>
          <c:layout>
            <c:manualLayout>
              <c:x val="-9.9136213036195756E-2"/>
              <c:y val="1.699872187997106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
      </c:pivotFmt>
    </c:pivotFmts>
    <c:plotArea>
      <c:layout/>
      <c:barChart>
        <c:barDir val="bar"/>
        <c:grouping val="clustered"/>
        <c:varyColors val="0"/>
        <c:ser>
          <c:idx val="0"/>
          <c:order val="0"/>
          <c:tx>
            <c:strRef>
              <c:f>'Pivot Analysis'!$E$1</c:f>
              <c:strCache>
                <c:ptCount val="1"/>
                <c:pt idx="0">
                  <c:v>Total</c:v>
                </c:pt>
              </c:strCache>
            </c:strRef>
          </c:tx>
          <c:spPr>
            <a:solidFill>
              <a:srgbClr val="4EA72E"/>
            </a:solidFill>
            <a:ln>
              <a:noFill/>
            </a:ln>
            <a:effectLst/>
          </c:spPr>
          <c:invertIfNegative val="1"/>
          <c:dPt>
            <c:idx val="0"/>
            <c:invertIfNegative val="1"/>
            <c:bubble3D val="0"/>
            <c:spPr>
              <a:solidFill>
                <a:schemeClr val="accent6">
                  <a:lumMod val="50000"/>
                </a:schemeClr>
              </a:solidFill>
              <a:ln>
                <a:noFill/>
              </a:ln>
              <a:effectLst/>
            </c:spPr>
            <c:extLst>
              <c:ext xmlns:c16="http://schemas.microsoft.com/office/drawing/2014/chart" uri="{C3380CC4-5D6E-409C-BE32-E72D297353CC}">
                <c16:uniqueId val="{00000002-A6EF-42BC-86DC-1F9F0CDD5599}"/>
              </c:ext>
            </c:extLst>
          </c:dPt>
          <c:dLbls>
            <c:dLbl>
              <c:idx val="4"/>
              <c:layout>
                <c:manualLayout>
                  <c:x val="-9.9136213036195756E-2"/>
                  <c:y val="1.6998721879971062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EF-42BC-86DC-1F9F0CDD55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Analysis'!$D$2:$D$7</c:f>
              <c:strCache>
                <c:ptCount val="5"/>
                <c:pt idx="0">
                  <c:v>Travel</c:v>
                </c:pt>
                <c:pt idx="1">
                  <c:v>Training</c:v>
                </c:pt>
                <c:pt idx="2">
                  <c:v>Salaries</c:v>
                </c:pt>
                <c:pt idx="3">
                  <c:v>Supplies</c:v>
                </c:pt>
                <c:pt idx="4">
                  <c:v>Software</c:v>
                </c:pt>
              </c:strCache>
            </c:strRef>
          </c:cat>
          <c:val>
            <c:numRef>
              <c:f>'Pivot Analysis'!$E$2:$E$7</c:f>
              <c:numCache>
                <c:formatCode>0.00%</c:formatCode>
                <c:ptCount val="5"/>
                <c:pt idx="0">
                  <c:v>9.4004949096909318E-2</c:v>
                </c:pt>
                <c:pt idx="1">
                  <c:v>1.4399603901682092E-2</c:v>
                </c:pt>
                <c:pt idx="2">
                  <c:v>1.009667126915929E-2</c:v>
                </c:pt>
                <c:pt idx="3">
                  <c:v>5.514188297217594E-3</c:v>
                </c:pt>
                <c:pt idx="4">
                  <c:v>-3.3936735610854648E-3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A6EF-42BC-86DC-1F9F0CDD5599}"/>
            </c:ext>
          </c:extLst>
        </c:ser>
        <c:dLbls>
          <c:dLblPos val="outEnd"/>
          <c:showLegendKey val="0"/>
          <c:showVal val="1"/>
          <c:showCatName val="0"/>
          <c:showSerName val="0"/>
          <c:showPercent val="0"/>
          <c:showBubbleSize val="0"/>
        </c:dLbls>
        <c:gapWidth val="182"/>
        <c:axId val="1431543152"/>
        <c:axId val="1431526832"/>
      </c:barChart>
      <c:catAx>
        <c:axId val="143154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crossAx val="1431526832"/>
        <c:crosses val="autoZero"/>
        <c:auto val="1"/>
        <c:lblAlgn val="ctr"/>
        <c:lblOffset val="100"/>
        <c:noMultiLvlLbl val="0"/>
      </c:catAx>
      <c:valAx>
        <c:axId val="1431526832"/>
        <c:scaling>
          <c:orientation val="minMax"/>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effectLst>
                  <a:outerShdw blurRad="50800" dist="38100" dir="2700000" algn="tl" rotWithShape="0">
                    <a:prstClr val="black">
                      <a:alpha val="40000"/>
                    </a:prstClr>
                  </a:outerShdw>
                </a:effectLst>
                <a:latin typeface="+mn-lt"/>
                <a:ea typeface="+mn-ea"/>
                <a:cs typeface="+mn-cs"/>
              </a:defRPr>
            </a:pPr>
            <a:endParaRPr lang="en-US"/>
          </a:p>
        </c:txPr>
        <c:crossAx val="143154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615316</xdr:colOff>
      <xdr:row>8</xdr:row>
      <xdr:rowOff>1905</xdr:rowOff>
    </xdr:from>
    <xdr:to>
      <xdr:col>3</xdr:col>
      <xdr:colOff>954406</xdr:colOff>
      <xdr:row>22</xdr:row>
      <xdr:rowOff>40005</xdr:rowOff>
    </xdr:to>
    <mc:AlternateContent xmlns:mc="http://schemas.openxmlformats.org/markup-compatibility/2006">
      <mc:Choice xmlns:a14="http://schemas.microsoft.com/office/drawing/2010/main" Requires="a14">
        <xdr:graphicFrame macro="">
          <xdr:nvGraphicFramePr>
            <xdr:cNvPr id="7" name="Year 2">
              <a:extLst>
                <a:ext uri="{FF2B5EF4-FFF2-40B4-BE49-F238E27FC236}">
                  <a16:creationId xmlns:a16="http://schemas.microsoft.com/office/drawing/2014/main" id="{A91B3D6D-6148-E7CC-29EF-C270F8288F4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512946" y="1449705"/>
              <a:ext cx="1375410" cy="25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1057275</xdr:colOff>
      <xdr:row>8</xdr:row>
      <xdr:rowOff>7620</xdr:rowOff>
    </xdr:from>
    <xdr:to>
      <xdr:col>4</xdr:col>
      <xdr:colOff>0</xdr:colOff>
      <xdr:row>22</xdr:row>
      <xdr:rowOff>43815</xdr:rowOff>
    </xdr:to>
    <mc:AlternateContent xmlns:mc="http://schemas.openxmlformats.org/markup-compatibility/2006">
      <mc:Choice xmlns:a14="http://schemas.microsoft.com/office/drawing/2010/main" Requires="a14">
        <xdr:graphicFrame macro="">
          <xdr:nvGraphicFramePr>
            <xdr:cNvPr id="8" name="Department 2">
              <a:extLst>
                <a:ext uri="{FF2B5EF4-FFF2-40B4-BE49-F238E27FC236}">
                  <a16:creationId xmlns:a16="http://schemas.microsoft.com/office/drawing/2014/main" id="{E7E293D6-FA2C-CE3E-0D17-F2FBF276A55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5989320" y="1457325"/>
              <a:ext cx="1363980" cy="2569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200026</xdr:colOff>
      <xdr:row>8</xdr:row>
      <xdr:rowOff>9525</xdr:rowOff>
    </xdr:from>
    <xdr:to>
      <xdr:col>5</xdr:col>
      <xdr:colOff>1905</xdr:colOff>
      <xdr:row>22</xdr:row>
      <xdr:rowOff>38100</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3AFF9EE3-8035-0F34-D3E9-C147C4006D3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555231" y="1459230"/>
              <a:ext cx="1371599"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0</xdr:row>
      <xdr:rowOff>0</xdr:rowOff>
    </xdr:from>
    <xdr:to>
      <xdr:col>23</xdr:col>
      <xdr:colOff>320040</xdr:colOff>
      <xdr:row>39</xdr:row>
      <xdr:rowOff>28575</xdr:rowOff>
    </xdr:to>
    <xdr:sp macro="" textlink="">
      <xdr:nvSpPr>
        <xdr:cNvPr id="2" name="Rectangle 1">
          <a:extLst>
            <a:ext uri="{FF2B5EF4-FFF2-40B4-BE49-F238E27FC236}">
              <a16:creationId xmlns:a16="http://schemas.microsoft.com/office/drawing/2014/main" id="{D74CF1E9-A40B-E3C9-B576-3F9FFA3F13A9}"/>
            </a:ext>
          </a:extLst>
        </xdr:cNvPr>
        <xdr:cNvSpPr/>
      </xdr:nvSpPr>
      <xdr:spPr>
        <a:xfrm>
          <a:off x="1981200" y="0"/>
          <a:ext cx="12359640" cy="7086600"/>
        </a:xfrm>
        <a:prstGeom prst="rect">
          <a:avLst/>
        </a:prstGeom>
        <a:solidFill>
          <a:sysClr val="window" lastClr="FFFFFF"/>
        </a:solidFill>
        <a:ln>
          <a:solidFill>
            <a:schemeClr val="accent4">
              <a:shade val="15000"/>
            </a:schemeClr>
          </a:solidFill>
        </a:ln>
        <a:effectLst>
          <a:outerShdw blurRad="50800" dist="38100" dir="5400000" algn="t"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3</xdr:row>
      <xdr:rowOff>53340</xdr:rowOff>
    </xdr:from>
    <xdr:to>
      <xdr:col>8</xdr:col>
      <xdr:colOff>175260</xdr:colOff>
      <xdr:row>7</xdr:row>
      <xdr:rowOff>175260</xdr:rowOff>
    </xdr:to>
    <xdr:sp macro="" textlink="">
      <xdr:nvSpPr>
        <xdr:cNvPr id="3" name="Rectangle: Rounded Corners 2">
          <a:extLst>
            <a:ext uri="{FF2B5EF4-FFF2-40B4-BE49-F238E27FC236}">
              <a16:creationId xmlns:a16="http://schemas.microsoft.com/office/drawing/2014/main" id="{61BEB369-5B9C-DC6A-277D-09AD2AFB2751}"/>
            </a:ext>
          </a:extLst>
        </xdr:cNvPr>
        <xdr:cNvSpPr/>
      </xdr:nvSpPr>
      <xdr:spPr>
        <a:xfrm>
          <a:off x="2308860" y="601980"/>
          <a:ext cx="2743200" cy="85344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144780</xdr:colOff>
      <xdr:row>3</xdr:row>
      <xdr:rowOff>30480</xdr:rowOff>
    </xdr:from>
    <xdr:to>
      <xdr:col>22</xdr:col>
      <xdr:colOff>449580</xdr:colOff>
      <xdr:row>7</xdr:row>
      <xdr:rowOff>152400</xdr:rowOff>
    </xdr:to>
    <xdr:sp macro="" textlink="">
      <xdr:nvSpPr>
        <xdr:cNvPr id="7" name="Rectangle: Rounded Corners 6">
          <a:extLst>
            <a:ext uri="{FF2B5EF4-FFF2-40B4-BE49-F238E27FC236}">
              <a16:creationId xmlns:a16="http://schemas.microsoft.com/office/drawing/2014/main" id="{2C6F5149-10E0-44C6-BF0C-B87199EC49E8}"/>
            </a:ext>
          </a:extLst>
        </xdr:cNvPr>
        <xdr:cNvSpPr/>
      </xdr:nvSpPr>
      <xdr:spPr>
        <a:xfrm>
          <a:off x="11117580" y="579120"/>
          <a:ext cx="2743200" cy="85344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13</xdr:col>
      <xdr:colOff>256540</xdr:colOff>
      <xdr:row>3</xdr:row>
      <xdr:rowOff>45720</xdr:rowOff>
    </xdr:from>
    <xdr:to>
      <xdr:col>17</xdr:col>
      <xdr:colOff>561340</xdr:colOff>
      <xdr:row>7</xdr:row>
      <xdr:rowOff>167640</xdr:rowOff>
    </xdr:to>
    <xdr:sp macro="" textlink="">
      <xdr:nvSpPr>
        <xdr:cNvPr id="8" name="Rectangle: Rounded Corners 7">
          <a:extLst>
            <a:ext uri="{FF2B5EF4-FFF2-40B4-BE49-F238E27FC236}">
              <a16:creationId xmlns:a16="http://schemas.microsoft.com/office/drawing/2014/main" id="{C7201770-86F3-4054-8026-D3F0E87EE460}"/>
            </a:ext>
          </a:extLst>
        </xdr:cNvPr>
        <xdr:cNvSpPr/>
      </xdr:nvSpPr>
      <xdr:spPr>
        <a:xfrm>
          <a:off x="8181340" y="594360"/>
          <a:ext cx="2743200" cy="85344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368300</xdr:colOff>
      <xdr:row>3</xdr:row>
      <xdr:rowOff>53340</xdr:rowOff>
    </xdr:from>
    <xdr:to>
      <xdr:col>13</xdr:col>
      <xdr:colOff>63500</xdr:colOff>
      <xdr:row>7</xdr:row>
      <xdr:rowOff>175260</xdr:rowOff>
    </xdr:to>
    <xdr:sp macro="" textlink="">
      <xdr:nvSpPr>
        <xdr:cNvPr id="9" name="Rectangle: Rounded Corners 8">
          <a:extLst>
            <a:ext uri="{FF2B5EF4-FFF2-40B4-BE49-F238E27FC236}">
              <a16:creationId xmlns:a16="http://schemas.microsoft.com/office/drawing/2014/main" id="{7C11CF9C-9B8A-4B48-B98A-2E5F25C4026F}"/>
            </a:ext>
          </a:extLst>
        </xdr:cNvPr>
        <xdr:cNvSpPr/>
      </xdr:nvSpPr>
      <xdr:spPr>
        <a:xfrm>
          <a:off x="5245100" y="601980"/>
          <a:ext cx="2743200" cy="85344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xdr:colOff>
      <xdr:row>4</xdr:row>
      <xdr:rowOff>167640</xdr:rowOff>
    </xdr:from>
    <xdr:to>
      <xdr:col>7</xdr:col>
      <xdr:colOff>548640</xdr:colOff>
      <xdr:row>7</xdr:row>
      <xdr:rowOff>26670</xdr:rowOff>
    </xdr:to>
    <xdr:sp macro="" textlink="#REF!">
      <xdr:nvSpPr>
        <xdr:cNvPr id="11" name="TextBox 10">
          <a:extLst>
            <a:ext uri="{FF2B5EF4-FFF2-40B4-BE49-F238E27FC236}">
              <a16:creationId xmlns:a16="http://schemas.microsoft.com/office/drawing/2014/main" id="{1CCDC5F0-8451-E060-8313-ACCAFA682FFF}"/>
            </a:ext>
          </a:extLst>
        </xdr:cNvPr>
        <xdr:cNvSpPr txBox="1"/>
      </xdr:nvSpPr>
      <xdr:spPr>
        <a:xfrm>
          <a:off x="2491740" y="891540"/>
          <a:ext cx="2324100" cy="4019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764B11D-9D92-46E3-9230-3C862F4C249E}" type="TxLink">
            <a:rPr lang="en-US" sz="2400" b="0" i="0" u="none" strike="noStrike">
              <a:solidFill>
                <a:srgbClr val="000000"/>
              </a:solidFill>
              <a:latin typeface="Aptos ExtraBold" panose="020B0004020202020204" pitchFamily="34" charset="0"/>
              <a:ea typeface="+mn-ea"/>
              <a:cs typeface="+mn-cs"/>
            </a:rPr>
            <a:pPr marL="0" indent="0" algn="ctr"/>
            <a:t>$45.32M</a:t>
          </a:fld>
          <a:endParaRPr lang="en-IN" sz="2400" b="0" i="0" u="none" strike="noStrike">
            <a:solidFill>
              <a:srgbClr val="000000"/>
            </a:solidFill>
            <a:latin typeface="Aptos ExtraBold" panose="020B0004020202020204" pitchFamily="34" charset="0"/>
            <a:ea typeface="+mn-ea"/>
            <a:cs typeface="+mn-cs"/>
          </a:endParaRPr>
        </a:p>
      </xdr:txBody>
    </xdr:sp>
    <xdr:clientData/>
  </xdr:twoCellAnchor>
  <xdr:twoCellAnchor>
    <xdr:from>
      <xdr:col>18</xdr:col>
      <xdr:colOff>243840</xdr:colOff>
      <xdr:row>5</xdr:row>
      <xdr:rowOff>0</xdr:rowOff>
    </xdr:from>
    <xdr:to>
      <xdr:col>22</xdr:col>
      <xdr:colOff>295275</xdr:colOff>
      <xdr:row>7</xdr:row>
      <xdr:rowOff>38100</xdr:rowOff>
    </xdr:to>
    <xdr:sp macro="" textlink="Calculations!B5">
      <xdr:nvSpPr>
        <xdr:cNvPr id="12" name="TextBox 11">
          <a:extLst>
            <a:ext uri="{FF2B5EF4-FFF2-40B4-BE49-F238E27FC236}">
              <a16:creationId xmlns:a16="http://schemas.microsoft.com/office/drawing/2014/main" id="{F4E1355B-26F5-4F1A-AB22-AE7310F32F32}"/>
            </a:ext>
          </a:extLst>
        </xdr:cNvPr>
        <xdr:cNvSpPr txBox="1"/>
      </xdr:nvSpPr>
      <xdr:spPr>
        <a:xfrm>
          <a:off x="11216640" y="904875"/>
          <a:ext cx="248983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5C5197-0DBC-4D4B-8297-60A224EF3B44}" type="TxLink">
            <a:rPr lang="en-US" sz="2400" b="0" i="0" u="none" strike="noStrike">
              <a:solidFill>
                <a:srgbClr val="000000"/>
              </a:solidFill>
              <a:latin typeface="Aptos ExtraBold" panose="020B0004020202020204" pitchFamily="34" charset="0"/>
            </a:rPr>
            <a:pPr algn="ctr"/>
            <a:t>1.58%</a:t>
          </a:fld>
          <a:endParaRPr lang="en-IN" sz="2400">
            <a:latin typeface="Aptos ExtraBold" panose="020B0004020202020204" pitchFamily="34" charset="0"/>
          </a:endParaRPr>
        </a:p>
      </xdr:txBody>
    </xdr:sp>
    <xdr:clientData/>
  </xdr:twoCellAnchor>
  <xdr:twoCellAnchor>
    <xdr:from>
      <xdr:col>9</xdr:col>
      <xdr:colOff>87629</xdr:colOff>
      <xdr:row>5</xdr:row>
      <xdr:rowOff>26670</xdr:rowOff>
    </xdr:from>
    <xdr:to>
      <xdr:col>12</xdr:col>
      <xdr:colOff>466724</xdr:colOff>
      <xdr:row>7</xdr:row>
      <xdr:rowOff>26670</xdr:rowOff>
    </xdr:to>
    <xdr:sp macro="" textlink="#REF!">
      <xdr:nvSpPr>
        <xdr:cNvPr id="13" name="TextBox 12">
          <a:extLst>
            <a:ext uri="{FF2B5EF4-FFF2-40B4-BE49-F238E27FC236}">
              <a16:creationId xmlns:a16="http://schemas.microsoft.com/office/drawing/2014/main" id="{F9855A01-51EA-4343-B314-C33A4930D419}"/>
            </a:ext>
          </a:extLst>
        </xdr:cNvPr>
        <xdr:cNvSpPr txBox="1"/>
      </xdr:nvSpPr>
      <xdr:spPr>
        <a:xfrm>
          <a:off x="5574029" y="931545"/>
          <a:ext cx="220789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3874CE0-D6AB-4F33-866A-D5766114EED7}" type="TxLink">
            <a:rPr lang="en-US" sz="2400" b="0" i="0" u="none" strike="noStrike">
              <a:solidFill>
                <a:srgbClr val="000000"/>
              </a:solidFill>
              <a:latin typeface="Aptos ExtraBold" panose="020B0004020202020204" pitchFamily="34" charset="0"/>
              <a:ea typeface="+mn-ea"/>
              <a:cs typeface="+mn-cs"/>
            </a:rPr>
            <a:pPr marL="0" indent="0" algn="ctr"/>
            <a:t>$46.04M</a:t>
          </a:fld>
          <a:endParaRPr lang="en-IN" sz="2400" b="0" i="0" u="none" strike="noStrike">
            <a:solidFill>
              <a:srgbClr val="000000"/>
            </a:solidFill>
            <a:latin typeface="Aptos ExtraBold" panose="020B0004020202020204" pitchFamily="34" charset="0"/>
            <a:ea typeface="+mn-ea"/>
            <a:cs typeface="+mn-cs"/>
          </a:endParaRPr>
        </a:p>
      </xdr:txBody>
    </xdr:sp>
    <xdr:clientData/>
  </xdr:twoCellAnchor>
  <xdr:twoCellAnchor>
    <xdr:from>
      <xdr:col>13</xdr:col>
      <xdr:colOff>447675</xdr:colOff>
      <xdr:row>5</xdr:row>
      <xdr:rowOff>19050</xdr:rowOff>
    </xdr:from>
    <xdr:to>
      <xdr:col>17</xdr:col>
      <xdr:colOff>447675</xdr:colOff>
      <xdr:row>7</xdr:row>
      <xdr:rowOff>95250</xdr:rowOff>
    </xdr:to>
    <xdr:sp macro="" textlink="#REF!">
      <xdr:nvSpPr>
        <xdr:cNvPr id="14" name="TextBox 13">
          <a:extLst>
            <a:ext uri="{FF2B5EF4-FFF2-40B4-BE49-F238E27FC236}">
              <a16:creationId xmlns:a16="http://schemas.microsoft.com/office/drawing/2014/main" id="{9D6BA31D-4119-4664-9221-272D352ED854}"/>
            </a:ext>
          </a:extLst>
        </xdr:cNvPr>
        <xdr:cNvSpPr txBox="1"/>
      </xdr:nvSpPr>
      <xdr:spPr>
        <a:xfrm>
          <a:off x="8372475" y="923925"/>
          <a:ext cx="2438400" cy="4381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0B1D23-0D6B-4AB0-B5C5-D002FFA07402}" type="TxLink">
            <a:rPr lang="en-US" sz="2400" b="0" i="0" u="none" strike="noStrike">
              <a:solidFill>
                <a:srgbClr val="C00000"/>
              </a:solidFill>
              <a:latin typeface="Aptos ExtraBold" panose="020B0004020202020204" pitchFamily="34" charset="0"/>
              <a:ea typeface="+mn-ea"/>
              <a:cs typeface="+mn-cs"/>
            </a:rPr>
            <a:pPr marL="0" indent="0" algn="ctr"/>
            <a:t>$0.72M</a:t>
          </a:fld>
          <a:endParaRPr lang="en-IN" sz="2400" b="0" i="0" u="none" strike="noStrike">
            <a:solidFill>
              <a:srgbClr val="C00000"/>
            </a:solidFill>
            <a:latin typeface="Aptos ExtraBold" panose="020B0004020202020204" pitchFamily="34" charset="0"/>
            <a:ea typeface="+mn-ea"/>
            <a:cs typeface="+mn-cs"/>
          </a:endParaRPr>
        </a:p>
      </xdr:txBody>
    </xdr:sp>
    <xdr:clientData/>
  </xdr:twoCellAnchor>
  <xdr:twoCellAnchor>
    <xdr:from>
      <xdr:col>4</xdr:col>
      <xdr:colOff>95249</xdr:colOff>
      <xdr:row>3</xdr:row>
      <xdr:rowOff>95250</xdr:rowOff>
    </xdr:from>
    <xdr:to>
      <xdr:col>7</xdr:col>
      <xdr:colOff>600074</xdr:colOff>
      <xdr:row>5</xdr:row>
      <xdr:rowOff>47625</xdr:rowOff>
    </xdr:to>
    <xdr:sp macro="" textlink="">
      <xdr:nvSpPr>
        <xdr:cNvPr id="15" name="TextBox 14">
          <a:extLst>
            <a:ext uri="{FF2B5EF4-FFF2-40B4-BE49-F238E27FC236}">
              <a16:creationId xmlns:a16="http://schemas.microsoft.com/office/drawing/2014/main" id="{BEFB3C8F-DD43-FD25-4BD8-3655C05A7B6C}"/>
            </a:ext>
          </a:extLst>
        </xdr:cNvPr>
        <xdr:cNvSpPr txBox="1"/>
      </xdr:nvSpPr>
      <xdr:spPr>
        <a:xfrm>
          <a:off x="2533649" y="638175"/>
          <a:ext cx="2333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tos SemiBold" panose="020B0004020202020204" pitchFamily="34" charset="0"/>
            </a:rPr>
            <a:t>Total Budget</a:t>
          </a:r>
        </a:p>
      </xdr:txBody>
    </xdr:sp>
    <xdr:clientData/>
  </xdr:twoCellAnchor>
  <xdr:twoCellAnchor>
    <xdr:from>
      <xdr:col>18</xdr:col>
      <xdr:colOff>333375</xdr:colOff>
      <xdr:row>3</xdr:row>
      <xdr:rowOff>95250</xdr:rowOff>
    </xdr:from>
    <xdr:to>
      <xdr:col>22</xdr:col>
      <xdr:colOff>219075</xdr:colOff>
      <xdr:row>5</xdr:row>
      <xdr:rowOff>47625</xdr:rowOff>
    </xdr:to>
    <xdr:sp macro="" textlink="">
      <xdr:nvSpPr>
        <xdr:cNvPr id="16" name="TextBox 15">
          <a:extLst>
            <a:ext uri="{FF2B5EF4-FFF2-40B4-BE49-F238E27FC236}">
              <a16:creationId xmlns:a16="http://schemas.microsoft.com/office/drawing/2014/main" id="{4F2A4D87-542D-4805-883F-6FCF2AA36BF3}"/>
            </a:ext>
          </a:extLst>
        </xdr:cNvPr>
        <xdr:cNvSpPr txBox="1"/>
      </xdr:nvSpPr>
      <xdr:spPr>
        <a:xfrm>
          <a:off x="11306175" y="638175"/>
          <a:ext cx="232410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tos SemiBold" panose="020B0004020202020204" pitchFamily="34" charset="0"/>
            </a:rPr>
            <a:t>Variance % </a:t>
          </a:r>
        </a:p>
      </xdr:txBody>
    </xdr:sp>
    <xdr:clientData/>
  </xdr:twoCellAnchor>
  <xdr:twoCellAnchor>
    <xdr:from>
      <xdr:col>13</xdr:col>
      <xdr:colOff>457199</xdr:colOff>
      <xdr:row>3</xdr:row>
      <xdr:rowOff>87630</xdr:rowOff>
    </xdr:from>
    <xdr:to>
      <xdr:col>17</xdr:col>
      <xdr:colOff>430529</xdr:colOff>
      <xdr:row>5</xdr:row>
      <xdr:rowOff>38100</xdr:rowOff>
    </xdr:to>
    <xdr:sp macro="" textlink="">
      <xdr:nvSpPr>
        <xdr:cNvPr id="17" name="TextBox 16">
          <a:extLst>
            <a:ext uri="{FF2B5EF4-FFF2-40B4-BE49-F238E27FC236}">
              <a16:creationId xmlns:a16="http://schemas.microsoft.com/office/drawing/2014/main" id="{EC176805-0935-4F60-B5E4-4B9F47290B6D}"/>
            </a:ext>
          </a:extLst>
        </xdr:cNvPr>
        <xdr:cNvSpPr txBox="1"/>
      </xdr:nvSpPr>
      <xdr:spPr>
        <a:xfrm>
          <a:off x="8381999" y="630555"/>
          <a:ext cx="241173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tos SemiBold" panose="020B0004020202020204" pitchFamily="34" charset="0"/>
            </a:rPr>
            <a:t>Total Variance ($)</a:t>
          </a:r>
        </a:p>
      </xdr:txBody>
    </xdr:sp>
    <xdr:clientData/>
  </xdr:twoCellAnchor>
  <xdr:twoCellAnchor>
    <xdr:from>
      <xdr:col>9</xdr:col>
      <xdr:colOff>11429</xdr:colOff>
      <xdr:row>3</xdr:row>
      <xdr:rowOff>114300</xdr:rowOff>
    </xdr:from>
    <xdr:to>
      <xdr:col>12</xdr:col>
      <xdr:colOff>365759</xdr:colOff>
      <xdr:row>5</xdr:row>
      <xdr:rowOff>64770</xdr:rowOff>
    </xdr:to>
    <xdr:sp macro="" textlink="">
      <xdr:nvSpPr>
        <xdr:cNvPr id="18" name="TextBox 17">
          <a:extLst>
            <a:ext uri="{FF2B5EF4-FFF2-40B4-BE49-F238E27FC236}">
              <a16:creationId xmlns:a16="http://schemas.microsoft.com/office/drawing/2014/main" id="{CD7C38FB-3479-476C-8800-A9D1CF4261EC}"/>
            </a:ext>
          </a:extLst>
        </xdr:cNvPr>
        <xdr:cNvSpPr txBox="1"/>
      </xdr:nvSpPr>
      <xdr:spPr>
        <a:xfrm>
          <a:off x="5497829" y="657225"/>
          <a:ext cx="218313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tos SemiBold" panose="020B0004020202020204" pitchFamily="34" charset="0"/>
            </a:rPr>
            <a:t>Total Actual</a:t>
          </a:r>
        </a:p>
      </xdr:txBody>
    </xdr:sp>
    <xdr:clientData/>
  </xdr:twoCellAnchor>
  <xdr:twoCellAnchor editAs="oneCell">
    <xdr:from>
      <xdr:col>0</xdr:col>
      <xdr:colOff>228600</xdr:colOff>
      <xdr:row>3</xdr:row>
      <xdr:rowOff>38101</xdr:rowOff>
    </xdr:from>
    <xdr:to>
      <xdr:col>2</xdr:col>
      <xdr:colOff>533399</xdr:colOff>
      <xdr:row>8</xdr:row>
      <xdr:rowOff>133350</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F73768F3-2BC7-43E0-9AE4-243577F15C4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8600" y="581026"/>
              <a:ext cx="1523999" cy="99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240030</xdr:colOff>
      <xdr:row>9</xdr:row>
      <xdr:rowOff>129540</xdr:rowOff>
    </xdr:from>
    <xdr:to>
      <xdr:col>2</xdr:col>
      <xdr:colOff>514350</xdr:colOff>
      <xdr:row>20</xdr:row>
      <xdr:rowOff>15240</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C8AA6B9D-1946-43FB-A29D-320B0E2E9E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3840" y="1762125"/>
              <a:ext cx="148590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243842</xdr:colOff>
      <xdr:row>21</xdr:row>
      <xdr:rowOff>19050</xdr:rowOff>
    </xdr:from>
    <xdr:to>
      <xdr:col>2</xdr:col>
      <xdr:colOff>510541</xdr:colOff>
      <xdr:row>32</xdr:row>
      <xdr:rowOff>57151</xdr:rowOff>
    </xdr:to>
    <mc:AlternateContent xmlns:mc="http://schemas.openxmlformats.org/markup-compatibility/2006" xmlns:a14="http://schemas.microsoft.com/office/drawing/2010/main">
      <mc:Choice Requires="a14">
        <xdr:graphicFrame macro="">
          <xdr:nvGraphicFramePr>
            <xdr:cNvPr id="28" name="Department 1">
              <a:extLst>
                <a:ext uri="{FF2B5EF4-FFF2-40B4-BE49-F238E27FC236}">
                  <a16:creationId xmlns:a16="http://schemas.microsoft.com/office/drawing/2014/main" id="{AB7ABCAF-D76A-4151-82BF-34422A665E4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7652" y="3815715"/>
              <a:ext cx="1485899" cy="2028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0</xdr:row>
      <xdr:rowOff>137160</xdr:rowOff>
    </xdr:from>
    <xdr:to>
      <xdr:col>3</xdr:col>
      <xdr:colOff>106680</xdr:colOff>
      <xdr:row>2</xdr:row>
      <xdr:rowOff>99060</xdr:rowOff>
    </xdr:to>
    <xdr:sp macro="" textlink="">
      <xdr:nvSpPr>
        <xdr:cNvPr id="29" name="TextBox 28">
          <a:extLst>
            <a:ext uri="{FF2B5EF4-FFF2-40B4-BE49-F238E27FC236}">
              <a16:creationId xmlns:a16="http://schemas.microsoft.com/office/drawing/2014/main" id="{32E093CF-2429-9854-C81D-D040617EBAD4}"/>
            </a:ext>
          </a:extLst>
        </xdr:cNvPr>
        <xdr:cNvSpPr txBox="1"/>
      </xdr:nvSpPr>
      <xdr:spPr>
        <a:xfrm>
          <a:off x="60960" y="137160"/>
          <a:ext cx="1874520" cy="32766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ptos ExtraBold" panose="020B0004020202020204" pitchFamily="34" charset="0"/>
            </a:rPr>
            <a:t>BUDGET ANALYTICS</a:t>
          </a:r>
        </a:p>
      </xdr:txBody>
    </xdr:sp>
    <xdr:clientData/>
  </xdr:twoCellAnchor>
  <xdr:twoCellAnchor>
    <xdr:from>
      <xdr:col>3</xdr:col>
      <xdr:colOff>556260</xdr:colOff>
      <xdr:row>0</xdr:row>
      <xdr:rowOff>106680</xdr:rowOff>
    </xdr:from>
    <xdr:to>
      <xdr:col>9</xdr:col>
      <xdr:colOff>304800</xdr:colOff>
      <xdr:row>2</xdr:row>
      <xdr:rowOff>68580</xdr:rowOff>
    </xdr:to>
    <xdr:sp macro="" textlink="">
      <xdr:nvSpPr>
        <xdr:cNvPr id="31" name="TextBox 30">
          <a:extLst>
            <a:ext uri="{FF2B5EF4-FFF2-40B4-BE49-F238E27FC236}">
              <a16:creationId xmlns:a16="http://schemas.microsoft.com/office/drawing/2014/main" id="{ABD42FA6-AD8F-4B7D-B492-4C94D582B2DE}"/>
            </a:ext>
          </a:extLst>
        </xdr:cNvPr>
        <xdr:cNvSpPr txBox="1"/>
      </xdr:nvSpPr>
      <xdr:spPr>
        <a:xfrm>
          <a:off x="2385060" y="106680"/>
          <a:ext cx="340614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Aptos SemiBold" panose="020B0004020202020204" pitchFamily="34" charset="0"/>
            </a:rPr>
            <a:t>Executive Variance Dashboard</a:t>
          </a:r>
        </a:p>
      </xdr:txBody>
    </xdr:sp>
    <xdr:clientData/>
  </xdr:twoCellAnchor>
  <xdr:twoCellAnchor>
    <xdr:from>
      <xdr:col>3</xdr:col>
      <xdr:colOff>495300</xdr:colOff>
      <xdr:row>8</xdr:row>
      <xdr:rowOff>97155</xdr:rowOff>
    </xdr:from>
    <xdr:to>
      <xdr:col>13</xdr:col>
      <xdr:colOff>133350</xdr:colOff>
      <xdr:row>21</xdr:row>
      <xdr:rowOff>161925</xdr:rowOff>
    </xdr:to>
    <xdr:graphicFrame macro="">
      <xdr:nvGraphicFramePr>
        <xdr:cNvPr id="5" name="Chart 4">
          <a:extLst>
            <a:ext uri="{FF2B5EF4-FFF2-40B4-BE49-F238E27FC236}">
              <a16:creationId xmlns:a16="http://schemas.microsoft.com/office/drawing/2014/main" id="{83A7F7C6-6345-4897-AC54-50B3BE29A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276226</xdr:colOff>
      <xdr:row>22</xdr:row>
      <xdr:rowOff>133350</xdr:rowOff>
    </xdr:from>
    <xdr:to>
      <xdr:col>22</xdr:col>
      <xdr:colOff>457200</xdr:colOff>
      <xdr:row>36</xdr:row>
      <xdr:rowOff>38100</xdr:rowOff>
    </xdr:to>
    <xdr:graphicFrame macro="">
      <xdr:nvGraphicFramePr>
        <xdr:cNvPr id="6" name="Chart 5">
          <a:extLst>
            <a:ext uri="{FF2B5EF4-FFF2-40B4-BE49-F238E27FC236}">
              <a16:creationId xmlns:a16="http://schemas.microsoft.com/office/drawing/2014/main" id="{DEEA7335-0A25-462A-B2AD-3F9B991CC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510539</xdr:colOff>
      <xdr:row>22</xdr:row>
      <xdr:rowOff>129540</xdr:rowOff>
    </xdr:from>
    <xdr:to>
      <xdr:col>13</xdr:col>
      <xdr:colOff>142874</xdr:colOff>
      <xdr:row>36</xdr:row>
      <xdr:rowOff>38099</xdr:rowOff>
    </xdr:to>
    <xdr:graphicFrame macro="">
      <xdr:nvGraphicFramePr>
        <xdr:cNvPr id="10" name="Chart 9">
          <a:extLst>
            <a:ext uri="{FF2B5EF4-FFF2-40B4-BE49-F238E27FC236}">
              <a16:creationId xmlns:a16="http://schemas.microsoft.com/office/drawing/2014/main" id="{22455C9E-3073-46F6-A72D-00327ABC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285751</xdr:colOff>
      <xdr:row>8</xdr:row>
      <xdr:rowOff>104775</xdr:rowOff>
    </xdr:from>
    <xdr:to>
      <xdr:col>22</xdr:col>
      <xdr:colOff>457200</xdr:colOff>
      <xdr:row>21</xdr:row>
      <xdr:rowOff>142875</xdr:rowOff>
    </xdr:to>
    <xdr:sp macro="" textlink="">
      <xdr:nvSpPr>
        <xdr:cNvPr id="19" name="Rectangle 18">
          <a:extLst>
            <a:ext uri="{FF2B5EF4-FFF2-40B4-BE49-F238E27FC236}">
              <a16:creationId xmlns:a16="http://schemas.microsoft.com/office/drawing/2014/main" id="{56CDD2F1-EE7B-2BE0-804E-675DACD29596}"/>
            </a:ext>
          </a:extLst>
        </xdr:cNvPr>
        <xdr:cNvSpPr/>
      </xdr:nvSpPr>
      <xdr:spPr>
        <a:xfrm>
          <a:off x="8210551" y="1552575"/>
          <a:ext cx="5657849" cy="23907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419099</xdr:colOff>
      <xdr:row>9</xdr:row>
      <xdr:rowOff>40005</xdr:rowOff>
    </xdr:from>
    <xdr:to>
      <xdr:col>19</xdr:col>
      <xdr:colOff>401954</xdr:colOff>
      <xdr:row>10</xdr:row>
      <xdr:rowOff>163830</xdr:rowOff>
    </xdr:to>
    <xdr:sp macro="" textlink="">
      <xdr:nvSpPr>
        <xdr:cNvPr id="23" name="TextBox 22">
          <a:extLst>
            <a:ext uri="{FF2B5EF4-FFF2-40B4-BE49-F238E27FC236}">
              <a16:creationId xmlns:a16="http://schemas.microsoft.com/office/drawing/2014/main" id="{BBDE1467-0C23-466A-8BAC-85C0B9181370}"/>
            </a:ext>
          </a:extLst>
        </xdr:cNvPr>
        <xdr:cNvSpPr txBox="1"/>
      </xdr:nvSpPr>
      <xdr:spPr>
        <a:xfrm>
          <a:off x="9563099" y="1668780"/>
          <a:ext cx="242125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tos ExtraBold" panose="020B0004020202020204" pitchFamily="34" charset="0"/>
            </a:rPr>
            <a:t>Key</a:t>
          </a:r>
          <a:r>
            <a:rPr lang="en-IN" sz="1400" baseline="0">
              <a:latin typeface="Aptos ExtraBold" panose="020B0004020202020204" pitchFamily="34" charset="0"/>
            </a:rPr>
            <a:t> Insights</a:t>
          </a:r>
          <a:endParaRPr lang="en-IN" sz="1400">
            <a:latin typeface="Aptos ExtraBold" panose="020B0004020202020204" pitchFamily="34" charset="0"/>
          </a:endParaRPr>
        </a:p>
      </xdr:txBody>
    </xdr:sp>
    <xdr:clientData/>
  </xdr:twoCellAnchor>
  <xdr:twoCellAnchor>
    <xdr:from>
      <xdr:col>13</xdr:col>
      <xdr:colOff>474345</xdr:colOff>
      <xdr:row>11</xdr:row>
      <xdr:rowOff>112394</xdr:rowOff>
    </xdr:from>
    <xdr:to>
      <xdr:col>22</xdr:col>
      <xdr:colOff>320040</xdr:colOff>
      <xdr:row>21</xdr:row>
      <xdr:rowOff>47625</xdr:rowOff>
    </xdr:to>
    <xdr:sp macro="" textlink="">
      <xdr:nvSpPr>
        <xdr:cNvPr id="30" name="TextBox 29">
          <a:extLst>
            <a:ext uri="{FF2B5EF4-FFF2-40B4-BE49-F238E27FC236}">
              <a16:creationId xmlns:a16="http://schemas.microsoft.com/office/drawing/2014/main" id="{F106D51E-91E9-84CC-5190-AEC5BE7EF902}"/>
            </a:ext>
          </a:extLst>
        </xdr:cNvPr>
        <xdr:cNvSpPr txBox="1"/>
      </xdr:nvSpPr>
      <xdr:spPr>
        <a:xfrm>
          <a:off x="8399145" y="2103119"/>
          <a:ext cx="5332095" cy="17449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solidFill>
              <a:effectLst>
                <a:outerShdw blurRad="50800" dist="38100" dir="2700000" algn="tl" rotWithShape="0">
                  <a:prstClr val="black">
                    <a:alpha val="40000"/>
                  </a:prstClr>
                </a:outerShdw>
              </a:effectLst>
              <a:latin typeface="+mj-lt"/>
            </a:rPr>
            <a:t>• Marketing is overspending (+15.69%) — control costs</a:t>
          </a:r>
          <a:br>
            <a:rPr lang="en-IN" sz="1400">
              <a:solidFill>
                <a:schemeClr val="tx1"/>
              </a:solidFill>
              <a:effectLst>
                <a:outerShdw blurRad="50800" dist="38100" dir="2700000" algn="tl" rotWithShape="0">
                  <a:prstClr val="black">
                    <a:alpha val="40000"/>
                  </a:prstClr>
                </a:outerShdw>
              </a:effectLst>
              <a:latin typeface="+mj-lt"/>
            </a:rPr>
          </a:br>
          <a:endParaRPr lang="en-IN" sz="1400">
            <a:solidFill>
              <a:schemeClr val="tx1"/>
            </a:solidFill>
            <a:effectLst>
              <a:outerShdw blurRad="50800" dist="38100" dir="2700000" algn="tl" rotWithShape="0">
                <a:prstClr val="black">
                  <a:alpha val="40000"/>
                </a:prstClr>
              </a:outerShdw>
            </a:effectLst>
            <a:latin typeface="+mj-lt"/>
          </a:endParaRPr>
        </a:p>
        <a:p>
          <a:pPr algn="l"/>
          <a:r>
            <a:rPr lang="en-IN" sz="1400">
              <a:solidFill>
                <a:schemeClr val="tx1"/>
              </a:solidFill>
              <a:effectLst>
                <a:outerShdw blurRad="50800" dist="38100" dir="2700000" algn="tl" rotWithShape="0">
                  <a:prstClr val="black">
                    <a:alpha val="40000"/>
                  </a:prstClr>
                </a:outerShdw>
              </a:effectLst>
              <a:latin typeface="+mj-lt"/>
            </a:rPr>
            <a:t>• IT underutilized </a:t>
          </a:r>
          <a:r>
            <a:rPr lang="en-IN" sz="1400">
              <a:solidFill>
                <a:sysClr val="windowText" lastClr="000000"/>
              </a:solidFill>
              <a:effectLst>
                <a:outerShdw blurRad="50800" dist="38100" dir="2700000" algn="tl" rotWithShape="0">
                  <a:prstClr val="black">
                    <a:alpha val="40000"/>
                  </a:prstClr>
                </a:outerShdw>
              </a:effectLst>
              <a:latin typeface="+mj-lt"/>
            </a:rPr>
            <a:t>(</a:t>
          </a:r>
          <a:r>
            <a:rPr lang="en-IN" sz="1400">
              <a:solidFill>
                <a:srgbClr val="FF0000"/>
              </a:solidFill>
              <a:effectLst>
                <a:outerShdw blurRad="50800" dist="38100" dir="2700000" algn="tl" rotWithShape="0">
                  <a:prstClr val="black">
                    <a:alpha val="40000"/>
                  </a:prstClr>
                </a:outerShdw>
              </a:effectLst>
              <a:latin typeface="+mj-lt"/>
            </a:rPr>
            <a:t>-11.58%</a:t>
          </a:r>
          <a:r>
            <a:rPr lang="en-IN" sz="1400">
              <a:solidFill>
                <a:schemeClr val="tx1"/>
              </a:solidFill>
              <a:effectLst>
                <a:outerShdw blurRad="50800" dist="38100" dir="2700000" algn="tl" rotWithShape="0">
                  <a:prstClr val="black">
                    <a:alpha val="40000"/>
                  </a:prstClr>
                </a:outerShdw>
              </a:effectLst>
              <a:latin typeface="+mj-lt"/>
            </a:rPr>
            <a:t>) — review allocation </a:t>
          </a:r>
          <a:br>
            <a:rPr lang="en-IN" sz="1400">
              <a:solidFill>
                <a:schemeClr val="tx1"/>
              </a:solidFill>
              <a:effectLst>
                <a:outerShdw blurRad="50800" dist="38100" dir="2700000" algn="tl" rotWithShape="0">
                  <a:prstClr val="black">
                    <a:alpha val="40000"/>
                  </a:prstClr>
                </a:outerShdw>
              </a:effectLst>
              <a:latin typeface="+mj-lt"/>
            </a:rPr>
          </a:br>
          <a:endParaRPr lang="en-IN" sz="1400">
            <a:solidFill>
              <a:schemeClr val="tx1"/>
            </a:solidFill>
            <a:effectLst>
              <a:outerShdw blurRad="50800" dist="38100" dir="2700000" algn="tl" rotWithShape="0">
                <a:prstClr val="black">
                  <a:alpha val="40000"/>
                </a:prstClr>
              </a:outerShdw>
            </a:effectLst>
            <a:latin typeface="+mj-lt"/>
          </a:endParaRPr>
        </a:p>
        <a:p>
          <a:pPr algn="l"/>
          <a:r>
            <a:rPr lang="en-IN" sz="1400">
              <a:solidFill>
                <a:schemeClr val="tx1"/>
              </a:solidFill>
              <a:effectLst>
                <a:outerShdw blurRad="50800" dist="38100" dir="2700000" algn="tl" rotWithShape="0">
                  <a:prstClr val="black">
                    <a:alpha val="40000"/>
                  </a:prstClr>
                </a:outerShdw>
              </a:effectLst>
              <a:latin typeface="+mj-lt"/>
            </a:rPr>
            <a:t>• Travel category has highest variance (+9.40%) — monitor expenses </a:t>
          </a:r>
          <a:br>
            <a:rPr lang="en-IN" sz="1400">
              <a:solidFill>
                <a:schemeClr val="tx1"/>
              </a:solidFill>
              <a:effectLst>
                <a:outerShdw blurRad="50800" dist="38100" dir="2700000" algn="tl" rotWithShape="0">
                  <a:prstClr val="black">
                    <a:alpha val="40000"/>
                  </a:prstClr>
                </a:outerShdw>
              </a:effectLst>
              <a:latin typeface="+mj-lt"/>
            </a:rPr>
          </a:br>
          <a:endParaRPr lang="en-IN" sz="1400">
            <a:solidFill>
              <a:schemeClr val="tx1"/>
            </a:solidFill>
            <a:effectLst>
              <a:outerShdw blurRad="50800" dist="38100" dir="2700000" algn="tl" rotWithShape="0">
                <a:prstClr val="black">
                  <a:alpha val="40000"/>
                </a:prstClr>
              </a:outerShdw>
            </a:effectLst>
            <a:latin typeface="+mj-lt"/>
          </a:endParaRPr>
        </a:p>
        <a:p>
          <a:pPr algn="l"/>
          <a:r>
            <a:rPr lang="en-IN" sz="1400">
              <a:solidFill>
                <a:schemeClr val="tx1"/>
              </a:solidFill>
              <a:effectLst>
                <a:outerShdw blurRad="50800" dist="38100" dir="2700000" algn="tl" rotWithShape="0">
                  <a:prstClr val="black">
                    <a:alpha val="40000"/>
                  </a:prstClr>
                </a:outerShdw>
              </a:effectLst>
              <a:latin typeface="+mj-lt"/>
            </a:rPr>
            <a:t>• Overall variance low (1.58%) — stable budget </a:t>
          </a:r>
        </a:p>
      </xdr:txBody>
    </xdr:sp>
    <xdr:clientData/>
  </xdr:twoCellAnchor>
  <xdr:twoCellAnchor editAs="oneCell">
    <xdr:from>
      <xdr:col>18</xdr:col>
      <xdr:colOff>508634</xdr:colOff>
      <xdr:row>5</xdr:row>
      <xdr:rowOff>29394</xdr:rowOff>
    </xdr:from>
    <xdr:to>
      <xdr:col>19</xdr:col>
      <xdr:colOff>464819</xdr:colOff>
      <xdr:row>7</xdr:row>
      <xdr:rowOff>87631</xdr:rowOff>
    </xdr:to>
    <xdr:pic>
      <xdr:nvPicPr>
        <xdr:cNvPr id="32" name="Picture 31">
          <a:extLst>
            <a:ext uri="{FF2B5EF4-FFF2-40B4-BE49-F238E27FC236}">
              <a16:creationId xmlns:a16="http://schemas.microsoft.com/office/drawing/2014/main" id="{7F2F38BF-2927-80C3-0179-06EBF091E366}"/>
            </a:ext>
          </a:extLst>
        </xdr:cNvPr>
        <xdr:cNvPicPr>
          <a:picLocks noChangeAspect="1"/>
        </xdr:cNvPicPr>
      </xdr:nvPicPr>
      <xdr:blipFill>
        <a:blip xmlns:r="http://schemas.openxmlformats.org/officeDocument/2006/relationships" r:embed="rId4"/>
        <a:stretch>
          <a:fillRect/>
        </a:stretch>
      </xdr:blipFill>
      <xdr:spPr>
        <a:xfrm>
          <a:off x="11481434" y="934269"/>
          <a:ext cx="565785" cy="420187"/>
        </a:xfrm>
        <a:prstGeom prst="rect">
          <a:avLst/>
        </a:prstGeom>
      </xdr:spPr>
    </xdr:pic>
    <xdr:clientData/>
  </xdr:twoCellAnchor>
  <xdr:twoCellAnchor editAs="oneCell">
    <xdr:from>
      <xdr:col>7</xdr:col>
      <xdr:colOff>381001</xdr:colOff>
      <xdr:row>3</xdr:row>
      <xdr:rowOff>108311</xdr:rowOff>
    </xdr:from>
    <xdr:to>
      <xdr:col>8</xdr:col>
      <xdr:colOff>114301</xdr:colOff>
      <xdr:row>5</xdr:row>
      <xdr:rowOff>28608</xdr:rowOff>
    </xdr:to>
    <xdr:pic>
      <xdr:nvPicPr>
        <xdr:cNvPr id="33" name="Picture 32">
          <a:extLst>
            <a:ext uri="{FF2B5EF4-FFF2-40B4-BE49-F238E27FC236}">
              <a16:creationId xmlns:a16="http://schemas.microsoft.com/office/drawing/2014/main" id="{1434298E-B860-C340-0388-08DBB7DBFB64}"/>
            </a:ext>
          </a:extLst>
        </xdr:cNvPr>
        <xdr:cNvPicPr>
          <a:picLocks noChangeAspect="1"/>
        </xdr:cNvPicPr>
      </xdr:nvPicPr>
      <xdr:blipFill>
        <a:blip xmlns:r="http://schemas.openxmlformats.org/officeDocument/2006/relationships" r:embed="rId5"/>
        <a:stretch>
          <a:fillRect/>
        </a:stretch>
      </xdr:blipFill>
      <xdr:spPr>
        <a:xfrm>
          <a:off x="4648201" y="651236"/>
          <a:ext cx="342900" cy="282247"/>
        </a:xfrm>
        <a:prstGeom prst="rect">
          <a:avLst/>
        </a:prstGeom>
      </xdr:spPr>
    </xdr:pic>
    <xdr:clientData/>
  </xdr:twoCellAnchor>
  <xdr:twoCellAnchor editAs="oneCell">
    <xdr:from>
      <xdr:col>12</xdr:col>
      <xdr:colOff>228600</xdr:colOff>
      <xdr:row>3</xdr:row>
      <xdr:rowOff>104775</xdr:rowOff>
    </xdr:from>
    <xdr:to>
      <xdr:col>12</xdr:col>
      <xdr:colOff>584235</xdr:colOff>
      <xdr:row>5</xdr:row>
      <xdr:rowOff>19050</xdr:rowOff>
    </xdr:to>
    <xdr:pic>
      <xdr:nvPicPr>
        <xdr:cNvPr id="34" name="Picture 33">
          <a:extLst>
            <a:ext uri="{FF2B5EF4-FFF2-40B4-BE49-F238E27FC236}">
              <a16:creationId xmlns:a16="http://schemas.microsoft.com/office/drawing/2014/main" id="{24EA9991-4135-911B-5AE8-E5364665FEE3}"/>
            </a:ext>
          </a:extLst>
        </xdr:cNvPr>
        <xdr:cNvPicPr>
          <a:picLocks noChangeAspect="1"/>
        </xdr:cNvPicPr>
      </xdr:nvPicPr>
      <xdr:blipFill>
        <a:blip xmlns:r="http://schemas.openxmlformats.org/officeDocument/2006/relationships" r:embed="rId6"/>
        <a:stretch>
          <a:fillRect/>
        </a:stretch>
      </xdr:blipFill>
      <xdr:spPr>
        <a:xfrm>
          <a:off x="7543800" y="647700"/>
          <a:ext cx="355635" cy="2762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Dongre" refreshedDate="46129.485216782406" createdVersion="8" refreshedVersion="8" minRefreshableVersion="3" recordCount="2400" xr:uid="{E4D1DC77-0219-4B31-A186-45B1D54E637E}">
  <cacheSource type="worksheet">
    <worksheetSource name="tbl_Budget"/>
  </cacheSource>
  <cacheFields count="16">
    <cacheField name="Date" numFmtId="14">
      <sharedItems containsSemiMixedTypes="0" containsNonDate="0" containsDate="1" containsString="0" minDate="2023-01-01T00:00:00" maxDate="2024-12-02T00:00:00"/>
    </cacheField>
    <cacheField name="Month_Number" numFmtId="0">
      <sharedItems containsSemiMixedTypes="0" containsString="0" containsNumber="1" containsInteger="1" minValue="1" maxValue="12" count="12">
        <n v="1"/>
        <n v="2"/>
        <n v="3"/>
        <n v="4"/>
        <n v="5"/>
        <n v="6"/>
        <n v="7"/>
        <n v="8"/>
        <n v="9"/>
        <n v="10"/>
        <n v="11"/>
        <n v="12"/>
      </sharedItems>
    </cacheField>
    <cacheField name="Month_Name" numFmtId="0">
      <sharedItems count="12">
        <s v="Jan"/>
        <s v="Feb"/>
        <s v="Mar"/>
        <s v="Apr"/>
        <s v="May"/>
        <s v="Jun"/>
        <s v="Jul"/>
        <s v="Aug"/>
        <s v="Sep"/>
        <s v="Oct"/>
        <s v="Nov"/>
        <s v="Dec"/>
      </sharedItems>
    </cacheField>
    <cacheField name="Month_Year" numFmtId="0">
      <sharedItems/>
    </cacheField>
    <cacheField name="Year" numFmtId="0">
      <sharedItems containsSemiMixedTypes="0" containsString="0" containsNumber="1" containsInteger="1" minValue="2023" maxValue="2024" count="2">
        <n v="2023"/>
        <n v="2024"/>
      </sharedItems>
    </cacheField>
    <cacheField name="Department" numFmtId="0">
      <sharedItems count="5">
        <s v="Marketing"/>
        <s v="IT"/>
        <s v="HR"/>
        <s v="Operations"/>
        <s v="Finance"/>
      </sharedItems>
    </cacheField>
    <cacheField name="Category" numFmtId="0">
      <sharedItems count="5">
        <s v="Salaries"/>
        <s v="Software"/>
        <s v="Travel"/>
        <s v="Supplies"/>
        <s v="Training"/>
      </sharedItems>
    </cacheField>
    <cacheField name="Region" numFmtId="0">
      <sharedItems count="4">
        <s v="North"/>
        <s v="South"/>
        <s v="East"/>
        <s v="West"/>
      </sharedItems>
    </cacheField>
    <cacheField name="Cost_Center" numFmtId="0">
      <sharedItems/>
    </cacheField>
    <cacheField name="Budget" numFmtId="0">
      <sharedItems containsSemiMixedTypes="0" containsString="0" containsNumber="1" minValue="5325.76" maxValue="61146.47"/>
    </cacheField>
    <cacheField name="Actual" numFmtId="0">
      <sharedItems containsSemiMixedTypes="0" containsString="0" containsNumber="1" minValue="5254.4" maxValue="67118.429999999993"/>
    </cacheField>
    <cacheField name="Variance" numFmtId="4">
      <sharedItems containsSemiMixedTypes="0" containsString="0" containsNumber="1" minValue="-7963.75" maxValue="10777.43"/>
    </cacheField>
    <cacheField name="Variance_%" numFmtId="9">
      <sharedItems containsSemiMixedTypes="0" containsString="0" containsNumber="1" minValue="-0.15717303201920652" maxValue="0.56803999866019339"/>
    </cacheField>
    <cacheField name="Status" numFmtId="0">
      <sharedItems/>
    </cacheField>
    <cacheField name="Variance_Pct" numFmtId="0" formula="Variance/Budget" databaseField="0"/>
    <cacheField name="Variance_Pct_Cat" numFmtId="0" formula="Variance/Budget" databaseField="0"/>
  </cacheFields>
  <extLst>
    <ext xmlns:x14="http://schemas.microsoft.com/office/spreadsheetml/2009/9/main" uri="{725AE2AE-9491-48be-B2B4-4EB974FC3084}">
      <x14:pivotCacheDefinition pivotCacheId="170814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d v="2023-01-01T00:00:00"/>
    <x v="0"/>
    <x v="0"/>
    <s v="Jan-2023"/>
    <x v="0"/>
    <x v="0"/>
    <x v="0"/>
    <x v="0"/>
    <s v="CC-100"/>
    <n v="49247.61"/>
    <n v="56737.77"/>
    <n v="7490.1599999999962"/>
    <n v="0.15209184770590889"/>
    <s v="Overspend"/>
  </r>
  <r>
    <d v="2023-01-01T00:00:00"/>
    <x v="0"/>
    <x v="0"/>
    <s v="Jan-2023"/>
    <x v="0"/>
    <x v="0"/>
    <x v="0"/>
    <x v="1"/>
    <s v="CC-100"/>
    <n v="46645.11"/>
    <n v="52241.17"/>
    <n v="5596.0599999999977"/>
    <n v="0.11997098945634382"/>
    <s v="Overspend"/>
  </r>
  <r>
    <d v="2023-01-01T00:00:00"/>
    <x v="0"/>
    <x v="0"/>
    <s v="Jan-2023"/>
    <x v="0"/>
    <x v="0"/>
    <x v="0"/>
    <x v="2"/>
    <s v="CC-100"/>
    <n v="47777.04"/>
    <n v="55891.51"/>
    <n v="8114.4700000000012"/>
    <n v="0.16984036683729259"/>
    <s v="Overspend"/>
  </r>
  <r>
    <d v="2023-01-01T00:00:00"/>
    <x v="0"/>
    <x v="0"/>
    <s v="Jan-2023"/>
    <x v="0"/>
    <x v="0"/>
    <x v="0"/>
    <x v="3"/>
    <s v="CC-100"/>
    <n v="50182.97"/>
    <n v="57549.08"/>
    <n v="7366.1100000000006"/>
    <n v="0.14678505477057258"/>
    <s v="Overspend"/>
  </r>
  <r>
    <d v="2023-01-01T00:00:00"/>
    <x v="0"/>
    <x v="0"/>
    <s v="Jan-2023"/>
    <x v="0"/>
    <x v="0"/>
    <x v="1"/>
    <x v="0"/>
    <s v="CC-100"/>
    <n v="18616.919999999998"/>
    <n v="21985.43"/>
    <n v="3368.510000000002"/>
    <n v="0.18093809287465393"/>
    <s v="Overspend"/>
  </r>
  <r>
    <d v="2023-01-01T00:00:00"/>
    <x v="0"/>
    <x v="0"/>
    <s v="Jan-2023"/>
    <x v="0"/>
    <x v="0"/>
    <x v="1"/>
    <x v="1"/>
    <s v="CC-100"/>
    <n v="17274.189999999999"/>
    <n v="19785.490000000002"/>
    <n v="2511.3000000000029"/>
    <n v="0.14537874134764078"/>
    <s v="Overspend"/>
  </r>
  <r>
    <d v="2023-01-01T00:00:00"/>
    <x v="0"/>
    <x v="0"/>
    <s v="Jan-2023"/>
    <x v="0"/>
    <x v="0"/>
    <x v="1"/>
    <x v="2"/>
    <s v="CC-100"/>
    <n v="18272.27"/>
    <n v="21363.4"/>
    <n v="3091.130000000001"/>
    <n v="0.16917055187997992"/>
    <s v="Overspend"/>
  </r>
  <r>
    <d v="2023-01-01T00:00:00"/>
    <x v="0"/>
    <x v="0"/>
    <s v="Jan-2023"/>
    <x v="0"/>
    <x v="0"/>
    <x v="1"/>
    <x v="3"/>
    <s v="CC-100"/>
    <n v="19007.04"/>
    <n v="22931.65"/>
    <n v="3924.6100000000006"/>
    <n v="0.20648191406973418"/>
    <s v="Overspend"/>
  </r>
  <r>
    <d v="2023-01-01T00:00:00"/>
    <x v="0"/>
    <x v="0"/>
    <s v="Jan-2023"/>
    <x v="0"/>
    <x v="0"/>
    <x v="2"/>
    <x v="0"/>
    <s v="CC-100"/>
    <n v="10555.82"/>
    <n v="11808.99"/>
    <n v="1253.17"/>
    <n v="0.11871839421286079"/>
    <s v="Overspend"/>
  </r>
  <r>
    <d v="2023-01-01T00:00:00"/>
    <x v="0"/>
    <x v="0"/>
    <s v="Jan-2023"/>
    <x v="0"/>
    <x v="0"/>
    <x v="2"/>
    <x v="1"/>
    <s v="CC-100"/>
    <n v="9608.01"/>
    <n v="10756.29"/>
    <n v="1148.2800000000007"/>
    <n v="0.11951278152291687"/>
    <s v="Overspend"/>
  </r>
  <r>
    <d v="2023-01-01T00:00:00"/>
    <x v="0"/>
    <x v="0"/>
    <s v="Jan-2023"/>
    <x v="0"/>
    <x v="0"/>
    <x v="2"/>
    <x v="2"/>
    <s v="CC-100"/>
    <n v="10228.030000000001"/>
    <n v="12197.77"/>
    <n v="1969.7399999999998"/>
    <n v="0.19258254033279132"/>
    <s v="Overspend"/>
  </r>
  <r>
    <d v="2023-01-01T00:00:00"/>
    <x v="0"/>
    <x v="0"/>
    <s v="Jan-2023"/>
    <x v="0"/>
    <x v="0"/>
    <x v="2"/>
    <x v="3"/>
    <s v="CC-100"/>
    <n v="10701.77"/>
    <n v="12198.22"/>
    <n v="1496.4499999999989"/>
    <n v="0.13983200909756038"/>
    <s v="Overspend"/>
  </r>
  <r>
    <d v="2023-01-01T00:00:00"/>
    <x v="0"/>
    <x v="0"/>
    <s v="Jan-2023"/>
    <x v="0"/>
    <x v="0"/>
    <x v="3"/>
    <x v="0"/>
    <s v="CC-100"/>
    <n v="7895.89"/>
    <n v="9011.6"/>
    <n v="1115.71"/>
    <n v="0.14130262706294033"/>
    <s v="Overspend"/>
  </r>
  <r>
    <d v="2023-01-01T00:00:00"/>
    <x v="0"/>
    <x v="0"/>
    <s v="Jan-2023"/>
    <x v="0"/>
    <x v="0"/>
    <x v="3"/>
    <x v="1"/>
    <s v="CC-100"/>
    <n v="7761.48"/>
    <n v="8935.99"/>
    <n v="1174.5100000000002"/>
    <n v="0.15132552039044103"/>
    <s v="Overspend"/>
  </r>
  <r>
    <d v="2023-01-01T00:00:00"/>
    <x v="0"/>
    <x v="0"/>
    <s v="Jan-2023"/>
    <x v="0"/>
    <x v="0"/>
    <x v="3"/>
    <x v="2"/>
    <s v="CC-100"/>
    <n v="7934.2"/>
    <n v="9035.1"/>
    <n v="1100.9000000000005"/>
    <n v="0.13875374959038095"/>
    <s v="Overspend"/>
  </r>
  <r>
    <d v="2023-01-01T00:00:00"/>
    <x v="0"/>
    <x v="0"/>
    <s v="Jan-2023"/>
    <x v="0"/>
    <x v="0"/>
    <x v="3"/>
    <x v="3"/>
    <s v="CC-100"/>
    <n v="8542.2000000000007"/>
    <n v="9686.23"/>
    <n v="1144.0299999999988"/>
    <n v="0.13392685724988865"/>
    <s v="Overspend"/>
  </r>
  <r>
    <d v="2023-01-01T00:00:00"/>
    <x v="0"/>
    <x v="0"/>
    <s v="Jan-2023"/>
    <x v="0"/>
    <x v="0"/>
    <x v="4"/>
    <x v="0"/>
    <s v="CC-100"/>
    <n v="8396.8700000000008"/>
    <n v="9297.76"/>
    <n v="900.88999999999942"/>
    <n v="0.10728878736957929"/>
    <s v="Overspend"/>
  </r>
  <r>
    <d v="2023-01-01T00:00:00"/>
    <x v="0"/>
    <x v="0"/>
    <s v="Jan-2023"/>
    <x v="0"/>
    <x v="0"/>
    <x v="4"/>
    <x v="1"/>
    <s v="CC-100"/>
    <n v="7669.13"/>
    <n v="9069.35"/>
    <n v="1400.2200000000003"/>
    <n v="0.18257872796523208"/>
    <s v="Overspend"/>
  </r>
  <r>
    <d v="2023-01-01T00:00:00"/>
    <x v="0"/>
    <x v="0"/>
    <s v="Jan-2023"/>
    <x v="0"/>
    <x v="0"/>
    <x v="4"/>
    <x v="2"/>
    <s v="CC-100"/>
    <n v="8163.27"/>
    <n v="9609.0300000000007"/>
    <n v="1445.7600000000002"/>
    <n v="0.17710549816433857"/>
    <s v="Overspend"/>
  </r>
  <r>
    <d v="2023-01-01T00:00:00"/>
    <x v="0"/>
    <x v="0"/>
    <s v="Jan-2023"/>
    <x v="0"/>
    <x v="0"/>
    <x v="4"/>
    <x v="3"/>
    <s v="CC-100"/>
    <n v="8664.07"/>
    <n v="9577.19"/>
    <n v="913.1200000000008"/>
    <n v="0.10539157693785955"/>
    <s v="Overspend"/>
  </r>
  <r>
    <d v="2023-01-01T00:00:00"/>
    <x v="0"/>
    <x v="0"/>
    <s v="Jan-2023"/>
    <x v="0"/>
    <x v="1"/>
    <x v="0"/>
    <x v="0"/>
    <s v="CC-200"/>
    <n v="51562.59"/>
    <n v="45101.52"/>
    <n v="-6461.07"/>
    <n v="-0.12530538128515267"/>
    <s v="Underspend"/>
  </r>
  <r>
    <d v="2023-01-01T00:00:00"/>
    <x v="0"/>
    <x v="0"/>
    <s v="Jan-2023"/>
    <x v="0"/>
    <x v="1"/>
    <x v="0"/>
    <x v="1"/>
    <s v="CC-200"/>
    <n v="49341.04"/>
    <n v="43552.39"/>
    <n v="-5788.6500000000015"/>
    <n v="-0.11731917284272891"/>
    <s v="Underspend"/>
  </r>
  <r>
    <d v="2023-01-01T00:00:00"/>
    <x v="0"/>
    <x v="0"/>
    <s v="Jan-2023"/>
    <x v="0"/>
    <x v="1"/>
    <x v="0"/>
    <x v="2"/>
    <s v="CC-200"/>
    <n v="49736.06"/>
    <n v="42627.72"/>
    <n v="-7108.3399999999965"/>
    <n v="-0.14292125270879916"/>
    <s v="Underspend"/>
  </r>
  <r>
    <d v="2023-01-01T00:00:00"/>
    <x v="0"/>
    <x v="0"/>
    <s v="Jan-2023"/>
    <x v="0"/>
    <x v="1"/>
    <x v="0"/>
    <x v="3"/>
    <s v="CC-200"/>
    <n v="52827.85"/>
    <n v="45387.29"/>
    <n v="-7440.5599999999977"/>
    <n v="-0.14084540635289905"/>
    <s v="Underspend"/>
  </r>
  <r>
    <d v="2023-01-01T00:00:00"/>
    <x v="0"/>
    <x v="0"/>
    <s v="Jan-2023"/>
    <x v="0"/>
    <x v="1"/>
    <x v="1"/>
    <x v="0"/>
    <s v="CC-200"/>
    <n v="28795.18"/>
    <n v="24593.53"/>
    <n v="-4201.6500000000015"/>
    <n v="-0.14591504550414344"/>
    <s v="Underspend"/>
  </r>
  <r>
    <d v="2023-01-01T00:00:00"/>
    <x v="0"/>
    <x v="0"/>
    <s v="Jan-2023"/>
    <x v="0"/>
    <x v="1"/>
    <x v="1"/>
    <x v="1"/>
    <s v="CC-200"/>
    <n v="26476.57"/>
    <n v="22967.89"/>
    <n v="-3508.6800000000003"/>
    <n v="-0.13252018671602855"/>
    <s v="Underspend"/>
  </r>
  <r>
    <d v="2023-01-01T00:00:00"/>
    <x v="0"/>
    <x v="0"/>
    <s v="Jan-2023"/>
    <x v="0"/>
    <x v="1"/>
    <x v="1"/>
    <x v="2"/>
    <s v="CC-200"/>
    <n v="27469.68"/>
    <n v="24506.17"/>
    <n v="-2963.510000000002"/>
    <n v="-0.1078829458515717"/>
    <s v="Underspend"/>
  </r>
  <r>
    <d v="2023-01-01T00:00:00"/>
    <x v="0"/>
    <x v="0"/>
    <s v="Jan-2023"/>
    <x v="0"/>
    <x v="1"/>
    <x v="1"/>
    <x v="3"/>
    <s v="CC-200"/>
    <n v="29127.79"/>
    <n v="25771.35"/>
    <n v="-3356.4400000000023"/>
    <n v="-0.1152315366184665"/>
    <s v="Underspend"/>
  </r>
  <r>
    <d v="2023-01-01T00:00:00"/>
    <x v="0"/>
    <x v="0"/>
    <s v="Jan-2023"/>
    <x v="0"/>
    <x v="1"/>
    <x v="2"/>
    <x v="0"/>
    <s v="CC-200"/>
    <n v="10625.35"/>
    <n v="9119.76"/>
    <n v="-1505.5900000000001"/>
    <n v="-0.14169792053908814"/>
    <s v="Underspend"/>
  </r>
  <r>
    <d v="2023-01-01T00:00:00"/>
    <x v="0"/>
    <x v="0"/>
    <s v="Jan-2023"/>
    <x v="0"/>
    <x v="1"/>
    <x v="2"/>
    <x v="1"/>
    <s v="CC-200"/>
    <n v="10383.790000000001"/>
    <n v="8910.14"/>
    <n v="-1473.6500000000015"/>
    <n v="-0.14191831691511494"/>
    <s v="Underspend"/>
  </r>
  <r>
    <d v="2023-01-01T00:00:00"/>
    <x v="0"/>
    <x v="0"/>
    <s v="Jan-2023"/>
    <x v="0"/>
    <x v="1"/>
    <x v="2"/>
    <x v="2"/>
    <s v="CC-200"/>
    <n v="10398.450000000001"/>
    <n v="9190.81"/>
    <n v="-1207.6400000000012"/>
    <n v="-0.11613653958041835"/>
    <s v="Underspend"/>
  </r>
  <r>
    <d v="2023-01-01T00:00:00"/>
    <x v="0"/>
    <x v="0"/>
    <s v="Jan-2023"/>
    <x v="0"/>
    <x v="1"/>
    <x v="2"/>
    <x v="3"/>
    <s v="CC-200"/>
    <n v="11282.28"/>
    <n v="9785.4599999999991"/>
    <n v="-1496.8200000000015"/>
    <n v="-0.13266999223561207"/>
    <s v="Underspend"/>
  </r>
  <r>
    <d v="2023-01-01T00:00:00"/>
    <x v="0"/>
    <x v="0"/>
    <s v="Jan-2023"/>
    <x v="0"/>
    <x v="1"/>
    <x v="3"/>
    <x v="0"/>
    <s v="CC-200"/>
    <n v="8437.26"/>
    <n v="7153.57"/>
    <n v="-1283.6900000000005"/>
    <n v="-0.15214536472741155"/>
    <s v="Underspend"/>
  </r>
  <r>
    <d v="2023-01-01T00:00:00"/>
    <x v="0"/>
    <x v="0"/>
    <s v="Jan-2023"/>
    <x v="0"/>
    <x v="1"/>
    <x v="3"/>
    <x v="1"/>
    <s v="CC-200"/>
    <n v="8319.14"/>
    <n v="7478.95"/>
    <n v="-840.1899999999996"/>
    <n v="-0.10099481436783125"/>
    <s v="Underspend"/>
  </r>
  <r>
    <d v="2023-01-01T00:00:00"/>
    <x v="0"/>
    <x v="0"/>
    <s v="Jan-2023"/>
    <x v="0"/>
    <x v="1"/>
    <x v="3"/>
    <x v="2"/>
    <s v="CC-200"/>
    <n v="8143.97"/>
    <n v="7357.81"/>
    <n v="-786.15999999999985"/>
    <n v="-9.6532772100093672E-2"/>
    <s v="Underspend"/>
  </r>
  <r>
    <d v="2023-01-01T00:00:00"/>
    <x v="0"/>
    <x v="0"/>
    <s v="Jan-2023"/>
    <x v="0"/>
    <x v="1"/>
    <x v="3"/>
    <x v="3"/>
    <s v="CC-200"/>
    <n v="8953.2199999999993"/>
    <n v="7775.82"/>
    <n v="-1177.3999999999996"/>
    <n v="-0.13150575993888231"/>
    <s v="Underspend"/>
  </r>
  <r>
    <d v="2023-01-01T00:00:00"/>
    <x v="0"/>
    <x v="0"/>
    <s v="Jan-2023"/>
    <x v="0"/>
    <x v="1"/>
    <x v="4"/>
    <x v="0"/>
    <s v="CC-200"/>
    <n v="7115.8"/>
    <n v="6363.93"/>
    <n v="-751.86999999999989"/>
    <n v="-0.10566204783720733"/>
    <s v="Underspend"/>
  </r>
  <r>
    <d v="2023-01-01T00:00:00"/>
    <x v="0"/>
    <x v="0"/>
    <s v="Jan-2023"/>
    <x v="0"/>
    <x v="1"/>
    <x v="4"/>
    <x v="1"/>
    <s v="CC-200"/>
    <n v="6814.49"/>
    <n v="5905.91"/>
    <n v="-908.57999999999993"/>
    <n v="-0.13333059407233702"/>
    <s v="Underspend"/>
  </r>
  <r>
    <d v="2023-01-01T00:00:00"/>
    <x v="0"/>
    <x v="0"/>
    <s v="Jan-2023"/>
    <x v="0"/>
    <x v="1"/>
    <x v="4"/>
    <x v="2"/>
    <s v="CC-200"/>
    <n v="6942.69"/>
    <n v="6230.7"/>
    <n v="-711.98999999999978"/>
    <n v="-0.10255246885573169"/>
    <s v="Underspend"/>
  </r>
  <r>
    <d v="2023-01-01T00:00:00"/>
    <x v="0"/>
    <x v="0"/>
    <s v="Jan-2023"/>
    <x v="0"/>
    <x v="1"/>
    <x v="4"/>
    <x v="3"/>
    <s v="CC-200"/>
    <n v="7675.35"/>
    <n v="6706.9"/>
    <n v="-968.45000000000073"/>
    <n v="-0.12617665643912013"/>
    <s v="Underspend"/>
  </r>
  <r>
    <d v="2023-01-01T00:00:00"/>
    <x v="0"/>
    <x v="0"/>
    <s v="Jan-2023"/>
    <x v="0"/>
    <x v="2"/>
    <x v="0"/>
    <x v="0"/>
    <s v="CC-300"/>
    <n v="44800.02"/>
    <n v="44827.12"/>
    <n v="27.100000000005821"/>
    <n v="6.0491044423653878E-4"/>
    <s v="On Budget"/>
  </r>
  <r>
    <d v="2023-01-01T00:00:00"/>
    <x v="0"/>
    <x v="0"/>
    <s v="Jan-2023"/>
    <x v="0"/>
    <x v="2"/>
    <x v="0"/>
    <x v="1"/>
    <s v="CC-300"/>
    <n v="42197.02"/>
    <n v="41031.54"/>
    <n v="-1165.4799999999959"/>
    <n v="-2.7619959892902297E-2"/>
    <s v="On Budget"/>
  </r>
  <r>
    <d v="2023-01-01T00:00:00"/>
    <x v="0"/>
    <x v="0"/>
    <s v="Jan-2023"/>
    <x v="0"/>
    <x v="2"/>
    <x v="0"/>
    <x v="2"/>
    <s v="CC-300"/>
    <n v="42835.02"/>
    <n v="41588.89"/>
    <n v="-1246.1299999999974"/>
    <n v="-2.9091383638901007E-2"/>
    <s v="On Budget"/>
  </r>
  <r>
    <d v="2023-01-01T00:00:00"/>
    <x v="0"/>
    <x v="0"/>
    <s v="Jan-2023"/>
    <x v="0"/>
    <x v="2"/>
    <x v="0"/>
    <x v="3"/>
    <s v="CC-300"/>
    <n v="46549.69"/>
    <n v="46017.62"/>
    <n v="-532.06999999999971"/>
    <n v="-1.1430151307130073E-2"/>
    <s v="On Budget"/>
  </r>
  <r>
    <d v="2023-01-01T00:00:00"/>
    <x v="0"/>
    <x v="0"/>
    <s v="Jan-2023"/>
    <x v="0"/>
    <x v="2"/>
    <x v="1"/>
    <x v="0"/>
    <s v="CC-300"/>
    <n v="15235.34"/>
    <n v="15122.81"/>
    <n v="-112.53000000000065"/>
    <n v="-7.386116752235306E-3"/>
    <s v="On Budget"/>
  </r>
  <r>
    <d v="2023-01-01T00:00:00"/>
    <x v="0"/>
    <x v="0"/>
    <s v="Jan-2023"/>
    <x v="0"/>
    <x v="2"/>
    <x v="1"/>
    <x v="1"/>
    <s v="CC-300"/>
    <n v="14012.57"/>
    <n v="14393.01"/>
    <n v="380.44000000000051"/>
    <n v="2.7149908974585E-2"/>
    <s v="On Budget"/>
  </r>
  <r>
    <d v="2023-01-01T00:00:00"/>
    <x v="0"/>
    <x v="0"/>
    <s v="Jan-2023"/>
    <x v="0"/>
    <x v="2"/>
    <x v="1"/>
    <x v="2"/>
    <s v="CC-300"/>
    <n v="14969.71"/>
    <n v="14591.03"/>
    <n v="-378.67999999999847"/>
    <n v="-2.5296415227816605E-2"/>
    <s v="On Budget"/>
  </r>
  <r>
    <d v="2023-01-01T00:00:00"/>
    <x v="0"/>
    <x v="0"/>
    <s v="Jan-2023"/>
    <x v="0"/>
    <x v="2"/>
    <x v="1"/>
    <x v="3"/>
    <s v="CC-300"/>
    <n v="15741.62"/>
    <n v="16178.32"/>
    <n v="436.69999999999891"/>
    <n v="2.7741744496436762E-2"/>
    <s v="On Budget"/>
  </r>
  <r>
    <d v="2023-01-01T00:00:00"/>
    <x v="0"/>
    <x v="0"/>
    <s v="Jan-2023"/>
    <x v="0"/>
    <x v="2"/>
    <x v="2"/>
    <x v="0"/>
    <s v="CC-300"/>
    <n v="8514.83"/>
    <n v="8367.5"/>
    <n v="-147.32999999999993"/>
    <n v="-1.730275296159758E-2"/>
    <s v="On Budget"/>
  </r>
  <r>
    <d v="2023-01-01T00:00:00"/>
    <x v="0"/>
    <x v="0"/>
    <s v="Jan-2023"/>
    <x v="0"/>
    <x v="2"/>
    <x v="2"/>
    <x v="1"/>
    <s v="CC-300"/>
    <n v="8124.46"/>
    <n v="8017.23"/>
    <n v="-107.23000000000047"/>
    <n v="-1.3198415648547778E-2"/>
    <s v="On Budget"/>
  </r>
  <r>
    <d v="2023-01-01T00:00:00"/>
    <x v="0"/>
    <x v="0"/>
    <s v="Jan-2023"/>
    <x v="0"/>
    <x v="2"/>
    <x v="2"/>
    <x v="2"/>
    <s v="CC-300"/>
    <n v="8442.1"/>
    <n v="8580.58"/>
    <n v="138.47999999999956"/>
    <n v="1.6403501498442278E-2"/>
    <s v="On Budget"/>
  </r>
  <r>
    <d v="2023-01-01T00:00:00"/>
    <x v="0"/>
    <x v="0"/>
    <s v="Jan-2023"/>
    <x v="0"/>
    <x v="2"/>
    <x v="2"/>
    <x v="3"/>
    <s v="CC-300"/>
    <n v="8888.32"/>
    <n v="8709.4699999999993"/>
    <n v="-178.85000000000036"/>
    <n v="-2.0121912802419397E-2"/>
    <s v="On Budget"/>
  </r>
  <r>
    <d v="2023-01-01T00:00:00"/>
    <x v="0"/>
    <x v="0"/>
    <s v="Jan-2023"/>
    <x v="0"/>
    <x v="2"/>
    <x v="3"/>
    <x v="0"/>
    <s v="CC-300"/>
    <n v="6546.13"/>
    <n v="6638.75"/>
    <n v="92.619999999999891"/>
    <n v="1.414881769839583E-2"/>
    <s v="On Budget"/>
  </r>
  <r>
    <d v="2023-01-01T00:00:00"/>
    <x v="0"/>
    <x v="0"/>
    <s v="Jan-2023"/>
    <x v="0"/>
    <x v="2"/>
    <x v="3"/>
    <x v="1"/>
    <s v="CC-300"/>
    <n v="6412.93"/>
    <n v="6314.1"/>
    <n v="-98.829999999999927"/>
    <n v="-1.5411052358282395E-2"/>
    <s v="On Budget"/>
  </r>
  <r>
    <d v="2023-01-01T00:00:00"/>
    <x v="0"/>
    <x v="0"/>
    <s v="Jan-2023"/>
    <x v="0"/>
    <x v="2"/>
    <x v="3"/>
    <x v="2"/>
    <s v="CC-300"/>
    <n v="6335.75"/>
    <n v="6166.66"/>
    <n v="-169.09000000000015"/>
    <n v="-2.6688237383103837E-2"/>
    <s v="On Budget"/>
  </r>
  <r>
    <d v="2023-01-01T00:00:00"/>
    <x v="0"/>
    <x v="0"/>
    <s v="Jan-2023"/>
    <x v="0"/>
    <x v="2"/>
    <x v="3"/>
    <x v="3"/>
    <s v="CC-300"/>
    <n v="6837.43"/>
    <n v="7015.71"/>
    <n v="178.27999999999975"/>
    <n v="2.6074124342040757E-2"/>
    <s v="On Budget"/>
  </r>
  <r>
    <d v="2023-01-01T00:00:00"/>
    <x v="0"/>
    <x v="0"/>
    <s v="Jan-2023"/>
    <x v="0"/>
    <x v="2"/>
    <x v="4"/>
    <x v="0"/>
    <s v="CC-300"/>
    <n v="5623.22"/>
    <n v="5751.87"/>
    <n v="128.64999999999964"/>
    <n v="2.2878350838131823E-2"/>
    <s v="On Budget"/>
  </r>
  <r>
    <d v="2023-01-01T00:00:00"/>
    <x v="0"/>
    <x v="0"/>
    <s v="Jan-2023"/>
    <x v="0"/>
    <x v="2"/>
    <x v="4"/>
    <x v="1"/>
    <s v="CC-300"/>
    <n v="5414.49"/>
    <n v="5381.74"/>
    <n v="-32.75"/>
    <n v="-6.0485844465499065E-3"/>
    <s v="On Budget"/>
  </r>
  <r>
    <d v="2023-01-01T00:00:00"/>
    <x v="0"/>
    <x v="0"/>
    <s v="Jan-2023"/>
    <x v="0"/>
    <x v="2"/>
    <x v="4"/>
    <x v="2"/>
    <s v="CC-300"/>
    <n v="5408.92"/>
    <n v="5254.4"/>
    <n v="-154.52000000000044"/>
    <n v="-2.8567625330010508E-2"/>
    <s v="On Budget"/>
  </r>
  <r>
    <d v="2023-01-01T00:00:00"/>
    <x v="0"/>
    <x v="0"/>
    <s v="Jan-2023"/>
    <x v="0"/>
    <x v="2"/>
    <x v="4"/>
    <x v="3"/>
    <s v="CC-300"/>
    <n v="6080.89"/>
    <n v="6254.74"/>
    <n v="173.84999999999945"/>
    <n v="2.8589565014331693E-2"/>
    <s v="On Budget"/>
  </r>
  <r>
    <d v="2023-01-01T00:00:00"/>
    <x v="0"/>
    <x v="0"/>
    <s v="Jan-2023"/>
    <x v="0"/>
    <x v="3"/>
    <x v="0"/>
    <x v="0"/>
    <s v="CC-400"/>
    <n v="55342.93"/>
    <n v="63441.54"/>
    <n v="8098.6100000000006"/>
    <n v="0.14633504225381636"/>
    <s v="Overspend"/>
  </r>
  <r>
    <d v="2023-01-01T00:00:00"/>
    <x v="0"/>
    <x v="0"/>
    <s v="Jan-2023"/>
    <x v="0"/>
    <x v="3"/>
    <x v="0"/>
    <x v="1"/>
    <s v="CC-400"/>
    <n v="50881.77"/>
    <n v="56510.48"/>
    <n v="5628.7100000000064"/>
    <n v="0.11062331361507288"/>
    <s v="Overspend"/>
  </r>
  <r>
    <d v="2023-01-01T00:00:00"/>
    <x v="0"/>
    <x v="0"/>
    <s v="Jan-2023"/>
    <x v="0"/>
    <x v="3"/>
    <x v="0"/>
    <x v="2"/>
    <s v="CC-400"/>
    <n v="52102.02"/>
    <n v="46611.68"/>
    <n v="-5490.3399999999965"/>
    <n v="-0.10537672051870535"/>
    <s v="Underspend"/>
  </r>
  <r>
    <d v="2023-01-01T00:00:00"/>
    <x v="0"/>
    <x v="0"/>
    <s v="Jan-2023"/>
    <x v="0"/>
    <x v="3"/>
    <x v="0"/>
    <x v="3"/>
    <s v="CC-400"/>
    <n v="55374.37"/>
    <n v="63889.39"/>
    <n v="8515.0199999999968"/>
    <n v="0.15377186232547652"/>
    <s v="Overspend"/>
  </r>
  <r>
    <d v="2023-01-01T00:00:00"/>
    <x v="0"/>
    <x v="0"/>
    <s v="Jan-2023"/>
    <x v="0"/>
    <x v="3"/>
    <x v="1"/>
    <x v="0"/>
    <s v="CC-400"/>
    <n v="20133.73"/>
    <n v="22512.5"/>
    <n v="2378.7700000000004"/>
    <n v="0.11814850005438637"/>
    <s v="Overspend"/>
  </r>
  <r>
    <d v="2023-01-01T00:00:00"/>
    <x v="0"/>
    <x v="0"/>
    <s v="Jan-2023"/>
    <x v="0"/>
    <x v="3"/>
    <x v="1"/>
    <x v="1"/>
    <s v="CC-400"/>
    <n v="19222.82"/>
    <n v="20370.07"/>
    <n v="1147.25"/>
    <n v="5.9681670015117448E-2"/>
    <s v="Overspend"/>
  </r>
  <r>
    <d v="2023-01-01T00:00:00"/>
    <x v="0"/>
    <x v="0"/>
    <s v="Jan-2023"/>
    <x v="0"/>
    <x v="3"/>
    <x v="1"/>
    <x v="2"/>
    <s v="CC-400"/>
    <n v="19635.72"/>
    <n v="18941.12"/>
    <n v="-694.60000000000218"/>
    <n v="-3.53743076393431E-2"/>
    <s v="On Budget"/>
  </r>
  <r>
    <d v="2023-01-01T00:00:00"/>
    <x v="0"/>
    <x v="0"/>
    <s v="Jan-2023"/>
    <x v="0"/>
    <x v="3"/>
    <x v="1"/>
    <x v="3"/>
    <s v="CC-400"/>
    <n v="22005.83"/>
    <n v="22291.27"/>
    <n v="285.43999999999869"/>
    <n v="1.2971108110896006E-2"/>
    <s v="On Budget"/>
  </r>
  <r>
    <d v="2023-01-01T00:00:00"/>
    <x v="0"/>
    <x v="0"/>
    <s v="Jan-2023"/>
    <x v="0"/>
    <x v="3"/>
    <x v="2"/>
    <x v="0"/>
    <s v="CC-400"/>
    <n v="11249.56"/>
    <n v="10424.02"/>
    <n v="-825.53999999999905"/>
    <n v="-7.3384203471069012E-2"/>
    <s v="Underspend"/>
  </r>
  <r>
    <d v="2023-01-01T00:00:00"/>
    <x v="0"/>
    <x v="0"/>
    <s v="Jan-2023"/>
    <x v="0"/>
    <x v="3"/>
    <x v="2"/>
    <x v="1"/>
    <s v="CC-400"/>
    <n v="11142.52"/>
    <n v="10018.24"/>
    <n v="-1124.2800000000007"/>
    <n v="-0.10089997594799027"/>
    <s v="Underspend"/>
  </r>
  <r>
    <d v="2023-01-01T00:00:00"/>
    <x v="0"/>
    <x v="0"/>
    <s v="Jan-2023"/>
    <x v="0"/>
    <x v="3"/>
    <x v="2"/>
    <x v="2"/>
    <s v="CC-400"/>
    <n v="11381.13"/>
    <n v="11832.7"/>
    <n v="451.57000000000153"/>
    <n v="3.9677079516708937E-2"/>
    <s v="On Budget"/>
  </r>
  <r>
    <d v="2023-01-01T00:00:00"/>
    <x v="0"/>
    <x v="0"/>
    <s v="Jan-2023"/>
    <x v="0"/>
    <x v="3"/>
    <x v="2"/>
    <x v="3"/>
    <s v="CC-400"/>
    <n v="12257.15"/>
    <n v="13410.98"/>
    <n v="1153.83"/>
    <n v="9.4135259827937162E-2"/>
    <s v="Overspend"/>
  </r>
  <r>
    <d v="2023-01-01T00:00:00"/>
    <x v="0"/>
    <x v="0"/>
    <s v="Jan-2023"/>
    <x v="0"/>
    <x v="3"/>
    <x v="3"/>
    <x v="0"/>
    <s v="CC-400"/>
    <n v="11897.54"/>
    <n v="10794.57"/>
    <n v="-1102.9700000000012"/>
    <n v="-9.2705718997372663E-2"/>
    <s v="Underspend"/>
  </r>
  <r>
    <d v="2023-01-01T00:00:00"/>
    <x v="0"/>
    <x v="0"/>
    <s v="Jan-2023"/>
    <x v="0"/>
    <x v="3"/>
    <x v="3"/>
    <x v="1"/>
    <s v="CC-400"/>
    <n v="11505.11"/>
    <n v="10999.87"/>
    <n v="-505.23999999999978"/>
    <n v="-4.3914399775404123E-2"/>
    <s v="On Budget"/>
  </r>
  <r>
    <d v="2023-01-01T00:00:00"/>
    <x v="0"/>
    <x v="0"/>
    <s v="Jan-2023"/>
    <x v="0"/>
    <x v="3"/>
    <x v="3"/>
    <x v="2"/>
    <s v="CC-400"/>
    <n v="11927.93"/>
    <n v="13846.18"/>
    <n v="1918.25"/>
    <n v="0.16082002493307723"/>
    <s v="Overspend"/>
  </r>
  <r>
    <d v="2023-01-01T00:00:00"/>
    <x v="0"/>
    <x v="0"/>
    <s v="Jan-2023"/>
    <x v="0"/>
    <x v="3"/>
    <x v="3"/>
    <x v="3"/>
    <s v="CC-400"/>
    <n v="12961.53"/>
    <n v="11262.44"/>
    <n v="-1699.0900000000001"/>
    <n v="-0.13108714789071971"/>
    <s v="Underspend"/>
  </r>
  <r>
    <d v="2023-01-01T00:00:00"/>
    <x v="0"/>
    <x v="0"/>
    <s v="Jan-2023"/>
    <x v="0"/>
    <x v="3"/>
    <x v="4"/>
    <x v="0"/>
    <s v="CC-400"/>
    <n v="7787.1"/>
    <n v="6910.72"/>
    <n v="-876.38000000000011"/>
    <n v="-0.11254253830052267"/>
    <s v="Underspend"/>
  </r>
  <r>
    <d v="2023-01-01T00:00:00"/>
    <x v="0"/>
    <x v="0"/>
    <s v="Jan-2023"/>
    <x v="0"/>
    <x v="3"/>
    <x v="4"/>
    <x v="1"/>
    <s v="CC-400"/>
    <n v="7314.33"/>
    <n v="8568.2999999999993"/>
    <n v="1253.9699999999993"/>
    <n v="0.17144017292082794"/>
    <s v="Overspend"/>
  </r>
  <r>
    <d v="2023-01-01T00:00:00"/>
    <x v="0"/>
    <x v="0"/>
    <s v="Jan-2023"/>
    <x v="0"/>
    <x v="3"/>
    <x v="4"/>
    <x v="2"/>
    <s v="CC-400"/>
    <n v="7694.86"/>
    <n v="8592.59"/>
    <n v="897.73000000000047"/>
    <n v="0.1166661901581056"/>
    <s v="Overspend"/>
  </r>
  <r>
    <d v="2023-01-01T00:00:00"/>
    <x v="0"/>
    <x v="0"/>
    <s v="Jan-2023"/>
    <x v="0"/>
    <x v="3"/>
    <x v="4"/>
    <x v="3"/>
    <s v="CC-400"/>
    <n v="8162.11"/>
    <n v="7010.77"/>
    <n v="-1151.3399999999992"/>
    <n v="-0.14105911339102259"/>
    <s v="Underspend"/>
  </r>
  <r>
    <d v="2023-01-01T00:00:00"/>
    <x v="0"/>
    <x v="0"/>
    <s v="Jan-2023"/>
    <x v="0"/>
    <x v="4"/>
    <x v="0"/>
    <x v="0"/>
    <s v="CC-500"/>
    <n v="44115.06"/>
    <n v="45181.58"/>
    <n v="1066.5200000000041"/>
    <n v="2.4175871006409243E-2"/>
    <s v="On Budget"/>
  </r>
  <r>
    <d v="2023-01-01T00:00:00"/>
    <x v="0"/>
    <x v="0"/>
    <s v="Jan-2023"/>
    <x v="0"/>
    <x v="4"/>
    <x v="0"/>
    <x v="1"/>
    <s v="CC-500"/>
    <n v="41235.99"/>
    <n v="41979.65"/>
    <n v="743.66000000000349"/>
    <n v="1.8034246297954859E-2"/>
    <s v="On Budget"/>
  </r>
  <r>
    <d v="2023-01-01T00:00:00"/>
    <x v="0"/>
    <x v="0"/>
    <s v="Jan-2023"/>
    <x v="0"/>
    <x v="4"/>
    <x v="0"/>
    <x v="2"/>
    <s v="CC-500"/>
    <n v="42259.83"/>
    <n v="41784.949999999997"/>
    <n v="-474.88000000000466"/>
    <n v="-1.1237148847972285E-2"/>
    <s v="On Budget"/>
  </r>
  <r>
    <d v="2023-01-01T00:00:00"/>
    <x v="0"/>
    <x v="0"/>
    <s v="Jan-2023"/>
    <x v="0"/>
    <x v="4"/>
    <x v="0"/>
    <x v="3"/>
    <s v="CC-500"/>
    <n v="44740.15"/>
    <n v="45753.72"/>
    <n v="1013.5699999999997"/>
    <n v="2.2654595480792971E-2"/>
    <s v="On Budget"/>
  </r>
  <r>
    <d v="2023-01-01T00:00:00"/>
    <x v="0"/>
    <x v="0"/>
    <s v="Jan-2023"/>
    <x v="0"/>
    <x v="4"/>
    <x v="1"/>
    <x v="0"/>
    <s v="CC-500"/>
    <n v="16434.41"/>
    <n v="15935.63"/>
    <n v="-498.78000000000065"/>
    <n v="-3.0349735706970964E-2"/>
    <s v="On Budget"/>
  </r>
  <r>
    <d v="2023-01-01T00:00:00"/>
    <x v="0"/>
    <x v="0"/>
    <s v="Jan-2023"/>
    <x v="0"/>
    <x v="4"/>
    <x v="1"/>
    <x v="1"/>
    <s v="CC-500"/>
    <n v="15911.45"/>
    <n v="16285.57"/>
    <n v="374.11999999999898"/>
    <n v="2.3512627698921151E-2"/>
    <s v="On Budget"/>
  </r>
  <r>
    <d v="2023-01-01T00:00:00"/>
    <x v="0"/>
    <x v="0"/>
    <s v="Jan-2023"/>
    <x v="0"/>
    <x v="4"/>
    <x v="1"/>
    <x v="2"/>
    <s v="CC-500"/>
    <n v="15583.9"/>
    <n v="15619.74"/>
    <n v="35.840000000000146"/>
    <n v="2.2998094186949445E-3"/>
    <s v="On Budget"/>
  </r>
  <r>
    <d v="2023-01-01T00:00:00"/>
    <x v="0"/>
    <x v="0"/>
    <s v="Jan-2023"/>
    <x v="0"/>
    <x v="4"/>
    <x v="1"/>
    <x v="3"/>
    <s v="CC-500"/>
    <n v="17453.5"/>
    <n v="17000.509999999998"/>
    <n v="-452.9900000000016"/>
    <n v="-2.5954106626178221E-2"/>
    <s v="On Budget"/>
  </r>
  <r>
    <d v="2023-01-01T00:00:00"/>
    <x v="0"/>
    <x v="0"/>
    <s v="Jan-2023"/>
    <x v="0"/>
    <x v="4"/>
    <x v="2"/>
    <x v="0"/>
    <s v="CC-500"/>
    <n v="7128.11"/>
    <n v="6860.03"/>
    <n v="-268.07999999999993"/>
    <n v="-3.7608847225982754E-2"/>
    <s v="On Budget"/>
  </r>
  <r>
    <d v="2023-01-01T00:00:00"/>
    <x v="0"/>
    <x v="0"/>
    <s v="Jan-2023"/>
    <x v="0"/>
    <x v="4"/>
    <x v="2"/>
    <x v="1"/>
    <s v="CC-500"/>
    <n v="6477.52"/>
    <n v="6168.8"/>
    <n v="-308.72000000000025"/>
    <n v="-4.7660215638083744E-2"/>
    <s v="On Budget"/>
  </r>
  <r>
    <d v="2023-01-01T00:00:00"/>
    <x v="0"/>
    <x v="0"/>
    <s v="Jan-2023"/>
    <x v="0"/>
    <x v="4"/>
    <x v="2"/>
    <x v="2"/>
    <s v="CC-500"/>
    <n v="6569.94"/>
    <n v="6299.41"/>
    <n v="-270.52999999999975"/>
    <n v="-4.1176936166844716E-2"/>
    <s v="On Budget"/>
  </r>
  <r>
    <d v="2023-01-01T00:00:00"/>
    <x v="0"/>
    <x v="0"/>
    <s v="Jan-2023"/>
    <x v="0"/>
    <x v="4"/>
    <x v="2"/>
    <x v="3"/>
    <s v="CC-500"/>
    <n v="7262"/>
    <n v="7377.51"/>
    <n v="115.51000000000022"/>
    <n v="1.5906086477554423E-2"/>
    <s v="On Budget"/>
  </r>
  <r>
    <d v="2023-01-01T00:00:00"/>
    <x v="0"/>
    <x v="0"/>
    <s v="Jan-2023"/>
    <x v="0"/>
    <x v="4"/>
    <x v="3"/>
    <x v="0"/>
    <s v="CC-500"/>
    <n v="7131.26"/>
    <n v="7188"/>
    <n v="56.739999999999782"/>
    <n v="7.9565182029542863E-3"/>
    <s v="On Budget"/>
  </r>
  <r>
    <d v="2023-01-01T00:00:00"/>
    <x v="0"/>
    <x v="0"/>
    <s v="Jan-2023"/>
    <x v="0"/>
    <x v="4"/>
    <x v="3"/>
    <x v="1"/>
    <s v="CC-500"/>
    <n v="7004.53"/>
    <n v="6642.17"/>
    <n v="-362.35999999999967"/>
    <n v="-5.1732236138613108E-2"/>
    <s v="Underspend"/>
  </r>
  <r>
    <d v="2023-01-01T00:00:00"/>
    <x v="0"/>
    <x v="0"/>
    <s v="Jan-2023"/>
    <x v="0"/>
    <x v="4"/>
    <x v="3"/>
    <x v="2"/>
    <s v="CC-500"/>
    <n v="6889.43"/>
    <n v="6726.34"/>
    <n v="-163.09000000000015"/>
    <n v="-2.3672495402377286E-2"/>
    <s v="On Budget"/>
  </r>
  <r>
    <d v="2023-01-01T00:00:00"/>
    <x v="0"/>
    <x v="0"/>
    <s v="Jan-2023"/>
    <x v="0"/>
    <x v="4"/>
    <x v="3"/>
    <x v="3"/>
    <s v="CC-500"/>
    <n v="7452.37"/>
    <n v="7098.47"/>
    <n v="-353.89999999999964"/>
    <n v="-4.7488248704774409E-2"/>
    <s v="On Budget"/>
  </r>
  <r>
    <d v="2023-01-01T00:00:00"/>
    <x v="0"/>
    <x v="0"/>
    <s v="Jan-2023"/>
    <x v="0"/>
    <x v="4"/>
    <x v="4"/>
    <x v="0"/>
    <s v="CC-500"/>
    <n v="6188.81"/>
    <n v="5981.92"/>
    <n v="-206.89000000000033"/>
    <n v="-3.3429690037341642E-2"/>
    <s v="On Budget"/>
  </r>
  <r>
    <d v="2023-01-01T00:00:00"/>
    <x v="0"/>
    <x v="0"/>
    <s v="Jan-2023"/>
    <x v="0"/>
    <x v="4"/>
    <x v="4"/>
    <x v="1"/>
    <s v="CC-500"/>
    <n v="5721.93"/>
    <n v="5917.2"/>
    <n v="195.26999999999953"/>
    <n v="3.4126597144669632E-2"/>
    <s v="On Budget"/>
  </r>
  <r>
    <d v="2023-01-01T00:00:00"/>
    <x v="0"/>
    <x v="0"/>
    <s v="Jan-2023"/>
    <x v="0"/>
    <x v="4"/>
    <x v="4"/>
    <x v="2"/>
    <s v="CC-500"/>
    <n v="6123.69"/>
    <n v="6431.36"/>
    <n v="307.67000000000007"/>
    <n v="5.0242582495194907E-2"/>
    <s v="Overspend"/>
  </r>
  <r>
    <d v="2023-01-01T00:00:00"/>
    <x v="0"/>
    <x v="0"/>
    <s v="Jan-2023"/>
    <x v="0"/>
    <x v="4"/>
    <x v="4"/>
    <x v="3"/>
    <s v="CC-500"/>
    <n v="6536.34"/>
    <n v="6738.16"/>
    <n v="201.81999999999971"/>
    <n v="3.0876606786060655E-2"/>
    <s v="On Budget"/>
  </r>
  <r>
    <d v="2023-02-01T00:00:00"/>
    <x v="1"/>
    <x v="1"/>
    <s v="Feb-2023"/>
    <x v="0"/>
    <x v="0"/>
    <x v="0"/>
    <x v="0"/>
    <s v="CC-100"/>
    <n v="49754.89"/>
    <n v="55439.81"/>
    <n v="5684.9199999999983"/>
    <n v="0.11425851810746639"/>
    <s v="Overspend"/>
  </r>
  <r>
    <d v="2023-02-01T00:00:00"/>
    <x v="1"/>
    <x v="1"/>
    <s v="Feb-2023"/>
    <x v="0"/>
    <x v="0"/>
    <x v="0"/>
    <x v="1"/>
    <s v="CC-100"/>
    <n v="46599.93"/>
    <n v="55215.09"/>
    <n v="8615.1599999999962"/>
    <n v="0.184874955820749"/>
    <s v="Overspend"/>
  </r>
  <r>
    <d v="2023-02-01T00:00:00"/>
    <x v="1"/>
    <x v="1"/>
    <s v="Feb-2023"/>
    <x v="0"/>
    <x v="0"/>
    <x v="0"/>
    <x v="2"/>
    <s v="CC-100"/>
    <n v="47182.83"/>
    <n v="54662.239999999998"/>
    <n v="7479.4099999999962"/>
    <n v="0.15851974118551168"/>
    <s v="Overspend"/>
  </r>
  <r>
    <d v="2023-02-01T00:00:00"/>
    <x v="1"/>
    <x v="1"/>
    <s v="Feb-2023"/>
    <x v="0"/>
    <x v="0"/>
    <x v="0"/>
    <x v="3"/>
    <s v="CC-100"/>
    <n v="49737.36"/>
    <n v="56993.04"/>
    <n v="7255.68"/>
    <n v="0.14587987782222459"/>
    <s v="Overspend"/>
  </r>
  <r>
    <d v="2023-02-01T00:00:00"/>
    <x v="1"/>
    <x v="1"/>
    <s v="Feb-2023"/>
    <x v="0"/>
    <x v="0"/>
    <x v="1"/>
    <x v="0"/>
    <s v="CC-100"/>
    <n v="18343.05"/>
    <n v="20795.77"/>
    <n v="2452.7200000000012"/>
    <n v="0.13371385892749577"/>
    <s v="Overspend"/>
  </r>
  <r>
    <d v="2023-02-01T00:00:00"/>
    <x v="1"/>
    <x v="1"/>
    <s v="Feb-2023"/>
    <x v="0"/>
    <x v="0"/>
    <x v="1"/>
    <x v="1"/>
    <s v="CC-100"/>
    <n v="17553.63"/>
    <n v="20049.3"/>
    <n v="2495.6699999999983"/>
    <n v="0.14217401187104878"/>
    <s v="Overspend"/>
  </r>
  <r>
    <d v="2023-02-01T00:00:00"/>
    <x v="1"/>
    <x v="1"/>
    <s v="Feb-2023"/>
    <x v="0"/>
    <x v="0"/>
    <x v="1"/>
    <x v="2"/>
    <s v="CC-100"/>
    <n v="17878.62"/>
    <n v="21540.799999999999"/>
    <n v="3662.1800000000003"/>
    <n v="0.20483571998286224"/>
    <s v="Overspend"/>
  </r>
  <r>
    <d v="2023-02-01T00:00:00"/>
    <x v="1"/>
    <x v="1"/>
    <s v="Feb-2023"/>
    <x v="0"/>
    <x v="0"/>
    <x v="1"/>
    <x v="3"/>
    <s v="CC-100"/>
    <n v="19343.96"/>
    <n v="21929.07"/>
    <n v="2585.1100000000006"/>
    <n v="0.13363913076743339"/>
    <s v="Overspend"/>
  </r>
  <r>
    <d v="2023-02-01T00:00:00"/>
    <x v="1"/>
    <x v="1"/>
    <s v="Feb-2023"/>
    <x v="0"/>
    <x v="0"/>
    <x v="2"/>
    <x v="0"/>
    <s v="CC-100"/>
    <n v="10705.53"/>
    <n v="12550.66"/>
    <n v="1845.1299999999992"/>
    <n v="0.17235298018874348"/>
    <s v="Overspend"/>
  </r>
  <r>
    <d v="2023-02-01T00:00:00"/>
    <x v="1"/>
    <x v="1"/>
    <s v="Feb-2023"/>
    <x v="0"/>
    <x v="0"/>
    <x v="2"/>
    <x v="1"/>
    <s v="CC-100"/>
    <n v="9996.77"/>
    <n v="11579.89"/>
    <n v="1583.119999999999"/>
    <n v="0.1583631512978691"/>
    <s v="Overspend"/>
  </r>
  <r>
    <d v="2023-02-01T00:00:00"/>
    <x v="1"/>
    <x v="1"/>
    <s v="Feb-2023"/>
    <x v="0"/>
    <x v="0"/>
    <x v="2"/>
    <x v="2"/>
    <s v="CC-100"/>
    <n v="10324.280000000001"/>
    <n v="11610.74"/>
    <n v="1286.4599999999991"/>
    <n v="0.12460529935259398"/>
    <s v="Overspend"/>
  </r>
  <r>
    <d v="2023-02-01T00:00:00"/>
    <x v="1"/>
    <x v="1"/>
    <s v="Feb-2023"/>
    <x v="0"/>
    <x v="0"/>
    <x v="2"/>
    <x v="3"/>
    <s v="CC-100"/>
    <n v="11129.22"/>
    <n v="12417.5"/>
    <n v="1288.2800000000007"/>
    <n v="0.11575653999112254"/>
    <s v="Overspend"/>
  </r>
  <r>
    <d v="2023-02-01T00:00:00"/>
    <x v="1"/>
    <x v="1"/>
    <s v="Feb-2023"/>
    <x v="0"/>
    <x v="0"/>
    <x v="3"/>
    <x v="0"/>
    <s v="CC-100"/>
    <n v="7957.81"/>
    <n v="9253.56"/>
    <n v="1295.7499999999991"/>
    <n v="0.16282746132415815"/>
    <s v="Overspend"/>
  </r>
  <r>
    <d v="2023-02-01T00:00:00"/>
    <x v="1"/>
    <x v="1"/>
    <s v="Feb-2023"/>
    <x v="0"/>
    <x v="0"/>
    <x v="3"/>
    <x v="1"/>
    <s v="CC-100"/>
    <n v="7963.01"/>
    <n v="8950.1200000000008"/>
    <n v="987.11000000000058"/>
    <n v="0.12396191892261853"/>
    <s v="Overspend"/>
  </r>
  <r>
    <d v="2023-02-01T00:00:00"/>
    <x v="1"/>
    <x v="1"/>
    <s v="Feb-2023"/>
    <x v="0"/>
    <x v="0"/>
    <x v="3"/>
    <x v="2"/>
    <s v="CC-100"/>
    <n v="8061.35"/>
    <n v="9398.9"/>
    <n v="1337.5499999999993"/>
    <n v="0.16592134071836592"/>
    <s v="Overspend"/>
  </r>
  <r>
    <d v="2023-02-01T00:00:00"/>
    <x v="1"/>
    <x v="1"/>
    <s v="Feb-2023"/>
    <x v="0"/>
    <x v="0"/>
    <x v="3"/>
    <x v="3"/>
    <s v="CC-100"/>
    <n v="8622.7099999999991"/>
    <n v="10249.91"/>
    <n v="1627.2000000000007"/>
    <n v="0.18871097369620465"/>
    <s v="Overspend"/>
  </r>
  <r>
    <d v="2023-02-01T00:00:00"/>
    <x v="1"/>
    <x v="1"/>
    <s v="Feb-2023"/>
    <x v="0"/>
    <x v="0"/>
    <x v="4"/>
    <x v="0"/>
    <s v="CC-100"/>
    <n v="8434.32"/>
    <n v="9379.66"/>
    <n v="945.34000000000015"/>
    <n v="0.11208253895986875"/>
    <s v="Overspend"/>
  </r>
  <r>
    <d v="2023-02-01T00:00:00"/>
    <x v="1"/>
    <x v="1"/>
    <s v="Feb-2023"/>
    <x v="0"/>
    <x v="0"/>
    <x v="4"/>
    <x v="1"/>
    <s v="CC-100"/>
    <n v="7824.33"/>
    <n v="9061.91"/>
    <n v="1237.58"/>
    <n v="0.15817073155145553"/>
    <s v="Overspend"/>
  </r>
  <r>
    <d v="2023-02-01T00:00:00"/>
    <x v="1"/>
    <x v="1"/>
    <s v="Feb-2023"/>
    <x v="0"/>
    <x v="0"/>
    <x v="4"/>
    <x v="2"/>
    <s v="CC-100"/>
    <n v="8128.02"/>
    <n v="9415.0499999999993"/>
    <n v="1287.0299999999988"/>
    <n v="0.15834483674990943"/>
    <s v="Overspend"/>
  </r>
  <r>
    <d v="2023-02-01T00:00:00"/>
    <x v="1"/>
    <x v="1"/>
    <s v="Feb-2023"/>
    <x v="0"/>
    <x v="0"/>
    <x v="4"/>
    <x v="3"/>
    <s v="CC-100"/>
    <n v="8871.24"/>
    <n v="10215.27"/>
    <n v="1344.0300000000007"/>
    <n v="0.15150418656241976"/>
    <s v="Overspend"/>
  </r>
  <r>
    <d v="2023-02-01T00:00:00"/>
    <x v="1"/>
    <x v="1"/>
    <s v="Feb-2023"/>
    <x v="0"/>
    <x v="1"/>
    <x v="0"/>
    <x v="0"/>
    <s v="CC-200"/>
    <n v="52891.27"/>
    <n v="44927.519999999997"/>
    <n v="-7963.75"/>
    <n v="-0.150568326304133"/>
    <s v="Underspend"/>
  </r>
  <r>
    <d v="2023-02-01T00:00:00"/>
    <x v="1"/>
    <x v="1"/>
    <s v="Feb-2023"/>
    <x v="0"/>
    <x v="1"/>
    <x v="0"/>
    <x v="1"/>
    <s v="CC-200"/>
    <n v="47841"/>
    <n v="42169.73"/>
    <n v="-5671.2699999999968"/>
    <n v="-0.11854413578311483"/>
    <s v="Underspend"/>
  </r>
  <r>
    <d v="2023-02-01T00:00:00"/>
    <x v="1"/>
    <x v="1"/>
    <s v="Feb-2023"/>
    <x v="0"/>
    <x v="1"/>
    <x v="0"/>
    <x v="2"/>
    <s v="CC-200"/>
    <n v="50879.48"/>
    <n v="44805.58"/>
    <n v="-6073.9000000000015"/>
    <n v="-0.11937818546887667"/>
    <s v="Underspend"/>
  </r>
  <r>
    <d v="2023-02-01T00:00:00"/>
    <x v="1"/>
    <x v="1"/>
    <s v="Feb-2023"/>
    <x v="0"/>
    <x v="1"/>
    <x v="0"/>
    <x v="3"/>
    <s v="CC-200"/>
    <n v="54839.67"/>
    <n v="48481.05"/>
    <n v="-6358.6199999999953"/>
    <n v="-0.11594927540592413"/>
    <s v="Underspend"/>
  </r>
  <r>
    <d v="2023-02-01T00:00:00"/>
    <x v="1"/>
    <x v="1"/>
    <s v="Feb-2023"/>
    <x v="0"/>
    <x v="1"/>
    <x v="1"/>
    <x v="0"/>
    <s v="CC-200"/>
    <n v="28247.19"/>
    <n v="24286.76"/>
    <n v="-3960.4300000000003"/>
    <n v="-0.14020615855948859"/>
    <s v="Underspend"/>
  </r>
  <r>
    <d v="2023-02-01T00:00:00"/>
    <x v="1"/>
    <x v="1"/>
    <s v="Feb-2023"/>
    <x v="0"/>
    <x v="1"/>
    <x v="1"/>
    <x v="1"/>
    <s v="CC-200"/>
    <n v="26524.13"/>
    <n v="23757.47"/>
    <n v="-2766.66"/>
    <n v="-0.10430728547929752"/>
    <s v="Underspend"/>
  </r>
  <r>
    <d v="2023-02-01T00:00:00"/>
    <x v="1"/>
    <x v="1"/>
    <s v="Feb-2023"/>
    <x v="0"/>
    <x v="1"/>
    <x v="1"/>
    <x v="2"/>
    <s v="CC-200"/>
    <n v="27456.19"/>
    <n v="24365.279999999999"/>
    <n v="-3090.91"/>
    <n v="-0.11257607118831855"/>
    <s v="Underspend"/>
  </r>
  <r>
    <d v="2023-02-01T00:00:00"/>
    <x v="1"/>
    <x v="1"/>
    <s v="Feb-2023"/>
    <x v="0"/>
    <x v="1"/>
    <x v="1"/>
    <x v="3"/>
    <s v="CC-200"/>
    <n v="30359.439999999999"/>
    <n v="26978.86"/>
    <n v="-3380.5799999999981"/>
    <n v="-0.11135185629247438"/>
    <s v="Underspend"/>
  </r>
  <r>
    <d v="2023-02-01T00:00:00"/>
    <x v="1"/>
    <x v="1"/>
    <s v="Feb-2023"/>
    <x v="0"/>
    <x v="1"/>
    <x v="2"/>
    <x v="0"/>
    <s v="CC-200"/>
    <n v="10966.03"/>
    <n v="9905.0499999999993"/>
    <n v="-1060.9800000000014"/>
    <n v="-9.6751513537716133E-2"/>
    <s v="Underspend"/>
  </r>
  <r>
    <d v="2023-02-01T00:00:00"/>
    <x v="1"/>
    <x v="1"/>
    <s v="Feb-2023"/>
    <x v="0"/>
    <x v="1"/>
    <x v="2"/>
    <x v="1"/>
    <s v="CC-200"/>
    <n v="10796.24"/>
    <n v="9305.5400000000009"/>
    <n v="-1490.6999999999989"/>
    <n v="-0.13807584862878178"/>
    <s v="Underspend"/>
  </r>
  <r>
    <d v="2023-02-01T00:00:00"/>
    <x v="1"/>
    <x v="1"/>
    <s v="Feb-2023"/>
    <x v="0"/>
    <x v="1"/>
    <x v="2"/>
    <x v="2"/>
    <s v="CC-200"/>
    <n v="10814.42"/>
    <n v="9274.52"/>
    <n v="-1539.8999999999996"/>
    <n v="-0.14239321202616503"/>
    <s v="Underspend"/>
  </r>
  <r>
    <d v="2023-02-01T00:00:00"/>
    <x v="1"/>
    <x v="1"/>
    <s v="Feb-2023"/>
    <x v="0"/>
    <x v="1"/>
    <x v="2"/>
    <x v="3"/>
    <s v="CC-200"/>
    <n v="11605.18"/>
    <n v="9862.52"/>
    <n v="-1742.6599999999999"/>
    <n v="-0.15016225513089843"/>
    <s v="Underspend"/>
  </r>
  <r>
    <d v="2023-02-01T00:00:00"/>
    <x v="1"/>
    <x v="1"/>
    <s v="Feb-2023"/>
    <x v="0"/>
    <x v="1"/>
    <x v="3"/>
    <x v="0"/>
    <s v="CC-200"/>
    <n v="8760.65"/>
    <n v="7569.65"/>
    <n v="-1191"/>
    <n v="-0.1359488165832444"/>
    <s v="Underspend"/>
  </r>
  <r>
    <d v="2023-02-01T00:00:00"/>
    <x v="1"/>
    <x v="1"/>
    <s v="Feb-2023"/>
    <x v="0"/>
    <x v="1"/>
    <x v="3"/>
    <x v="1"/>
    <s v="CC-200"/>
    <n v="8147.45"/>
    <n v="7107.32"/>
    <n v="-1040.1300000000001"/>
    <n v="-0.12766325660175884"/>
    <s v="Underspend"/>
  </r>
  <r>
    <d v="2023-02-01T00:00:00"/>
    <x v="1"/>
    <x v="1"/>
    <s v="Feb-2023"/>
    <x v="0"/>
    <x v="1"/>
    <x v="3"/>
    <x v="2"/>
    <s v="CC-200"/>
    <n v="8483.4"/>
    <n v="7329.95"/>
    <n v="-1153.4499999999998"/>
    <n v="-0.13596553268736589"/>
    <s v="Underspend"/>
  </r>
  <r>
    <d v="2023-02-01T00:00:00"/>
    <x v="1"/>
    <x v="1"/>
    <s v="Feb-2023"/>
    <x v="0"/>
    <x v="1"/>
    <x v="3"/>
    <x v="3"/>
    <s v="CC-200"/>
    <n v="9129.68"/>
    <n v="7942.99"/>
    <n v="-1186.6900000000005"/>
    <n v="-0.12998155466566194"/>
    <s v="Underspend"/>
  </r>
  <r>
    <d v="2023-02-01T00:00:00"/>
    <x v="1"/>
    <x v="1"/>
    <s v="Feb-2023"/>
    <x v="0"/>
    <x v="1"/>
    <x v="4"/>
    <x v="0"/>
    <s v="CC-200"/>
    <n v="7191.39"/>
    <n v="6493.38"/>
    <n v="-698.01000000000022"/>
    <n v="-9.70619031925678E-2"/>
    <s v="Underspend"/>
  </r>
  <r>
    <d v="2023-02-01T00:00:00"/>
    <x v="1"/>
    <x v="1"/>
    <s v="Feb-2023"/>
    <x v="0"/>
    <x v="1"/>
    <x v="4"/>
    <x v="1"/>
    <s v="CC-200"/>
    <n v="7070.91"/>
    <n v="6090.23"/>
    <n v="-980.68000000000029"/>
    <n v="-0.13869219096269084"/>
    <s v="Underspend"/>
  </r>
  <r>
    <d v="2023-02-01T00:00:00"/>
    <x v="1"/>
    <x v="1"/>
    <s v="Feb-2023"/>
    <x v="0"/>
    <x v="1"/>
    <x v="4"/>
    <x v="2"/>
    <s v="CC-200"/>
    <n v="6948.72"/>
    <n v="5947.32"/>
    <n v="-1001.4000000000005"/>
    <n v="-0.14411287258660596"/>
    <s v="Underspend"/>
  </r>
  <r>
    <d v="2023-02-01T00:00:00"/>
    <x v="1"/>
    <x v="1"/>
    <s v="Feb-2023"/>
    <x v="0"/>
    <x v="1"/>
    <x v="4"/>
    <x v="3"/>
    <s v="CC-200"/>
    <n v="7778.42"/>
    <n v="6743.68"/>
    <n v="-1034.7399999999998"/>
    <n v="-0.13302701576926931"/>
    <s v="Underspend"/>
  </r>
  <r>
    <d v="2023-02-01T00:00:00"/>
    <x v="1"/>
    <x v="1"/>
    <s v="Feb-2023"/>
    <x v="0"/>
    <x v="2"/>
    <x v="0"/>
    <x v="0"/>
    <s v="CC-300"/>
    <n v="45442.98"/>
    <n v="43741.31"/>
    <n v="-1701.6700000000055"/>
    <n v="-3.7446267828386372E-2"/>
    <s v="On Budget"/>
  </r>
  <r>
    <d v="2023-02-01T00:00:00"/>
    <x v="1"/>
    <x v="1"/>
    <s v="Feb-2023"/>
    <x v="0"/>
    <x v="2"/>
    <x v="0"/>
    <x v="1"/>
    <s v="CC-300"/>
    <n v="41683.08"/>
    <n v="42200.93"/>
    <n v="517.84999999999854"/>
    <n v="1.2423506132464264E-2"/>
    <s v="On Budget"/>
  </r>
  <r>
    <d v="2023-02-01T00:00:00"/>
    <x v="1"/>
    <x v="1"/>
    <s v="Feb-2023"/>
    <x v="0"/>
    <x v="2"/>
    <x v="0"/>
    <x v="2"/>
    <s v="CC-300"/>
    <n v="43023.9"/>
    <n v="43536.9"/>
    <n v="513"/>
    <n v="1.1923605251964606E-2"/>
    <s v="On Budget"/>
  </r>
  <r>
    <d v="2023-02-01T00:00:00"/>
    <x v="1"/>
    <x v="1"/>
    <s v="Feb-2023"/>
    <x v="0"/>
    <x v="2"/>
    <x v="0"/>
    <x v="3"/>
    <s v="CC-300"/>
    <n v="47613.79"/>
    <n v="49101.7"/>
    <n v="1487.9099999999962"/>
    <n v="3.1249560263948664E-2"/>
    <s v="On Budget"/>
  </r>
  <r>
    <d v="2023-02-01T00:00:00"/>
    <x v="1"/>
    <x v="1"/>
    <s v="Feb-2023"/>
    <x v="0"/>
    <x v="2"/>
    <x v="1"/>
    <x v="0"/>
    <s v="CC-300"/>
    <n v="15495.25"/>
    <n v="15664.08"/>
    <n v="168.82999999999993"/>
    <n v="1.0895597037801902E-2"/>
    <s v="On Budget"/>
  </r>
  <r>
    <d v="2023-02-01T00:00:00"/>
    <x v="1"/>
    <x v="1"/>
    <s v="Feb-2023"/>
    <x v="0"/>
    <x v="2"/>
    <x v="1"/>
    <x v="1"/>
    <s v="CC-300"/>
    <n v="14309.16"/>
    <n v="13988.41"/>
    <n v="-320.75"/>
    <n v="-2.2415711334557723E-2"/>
    <s v="On Budget"/>
  </r>
  <r>
    <d v="2023-02-01T00:00:00"/>
    <x v="1"/>
    <x v="1"/>
    <s v="Feb-2023"/>
    <x v="0"/>
    <x v="2"/>
    <x v="1"/>
    <x v="2"/>
    <s v="CC-300"/>
    <n v="15085.92"/>
    <n v="15310.37"/>
    <n v="224.45000000000073"/>
    <n v="1.4878111510600662E-2"/>
    <s v="On Budget"/>
  </r>
  <r>
    <d v="2023-02-01T00:00:00"/>
    <x v="1"/>
    <x v="1"/>
    <s v="Feb-2023"/>
    <x v="0"/>
    <x v="2"/>
    <x v="1"/>
    <x v="3"/>
    <s v="CC-300"/>
    <n v="15578.81"/>
    <n v="15701.13"/>
    <n v="122.31999999999971"/>
    <n v="7.8516908544362315E-3"/>
    <s v="On Budget"/>
  </r>
  <r>
    <d v="2023-02-01T00:00:00"/>
    <x v="1"/>
    <x v="1"/>
    <s v="Feb-2023"/>
    <x v="0"/>
    <x v="2"/>
    <x v="2"/>
    <x v="0"/>
    <s v="CC-300"/>
    <n v="8495.2099999999991"/>
    <n v="8684.82"/>
    <n v="189.61000000000058"/>
    <n v="2.2319636595210784E-2"/>
    <s v="On Budget"/>
  </r>
  <r>
    <d v="2023-02-01T00:00:00"/>
    <x v="1"/>
    <x v="1"/>
    <s v="Feb-2023"/>
    <x v="0"/>
    <x v="2"/>
    <x v="2"/>
    <x v="1"/>
    <s v="CC-300"/>
    <n v="8250.39"/>
    <n v="8048.54"/>
    <n v="-201.84999999999945"/>
    <n v="-2.4465510115279334E-2"/>
    <s v="On Budget"/>
  </r>
  <r>
    <d v="2023-02-01T00:00:00"/>
    <x v="1"/>
    <x v="1"/>
    <s v="Feb-2023"/>
    <x v="0"/>
    <x v="2"/>
    <x v="2"/>
    <x v="2"/>
    <s v="CC-300"/>
    <n v="8133.17"/>
    <n v="8355.51"/>
    <n v="222.34000000000015"/>
    <n v="2.7337434235359663E-2"/>
    <s v="On Budget"/>
  </r>
  <r>
    <d v="2023-02-01T00:00:00"/>
    <x v="1"/>
    <x v="1"/>
    <s v="Feb-2023"/>
    <x v="0"/>
    <x v="2"/>
    <x v="2"/>
    <x v="3"/>
    <s v="CC-300"/>
    <n v="8772.7000000000007"/>
    <n v="8503.6299999999992"/>
    <n v="-269.07000000000153"/>
    <n v="-3.0671287060996217E-2"/>
    <s v="On Budget"/>
  </r>
  <r>
    <d v="2023-02-01T00:00:00"/>
    <x v="1"/>
    <x v="1"/>
    <s v="Feb-2023"/>
    <x v="0"/>
    <x v="2"/>
    <x v="3"/>
    <x v="0"/>
    <s v="CC-300"/>
    <n v="6892.49"/>
    <n v="6914.42"/>
    <n v="21.930000000000291"/>
    <n v="3.1817238762769755E-3"/>
    <s v="On Budget"/>
  </r>
  <r>
    <d v="2023-02-01T00:00:00"/>
    <x v="1"/>
    <x v="1"/>
    <s v="Feb-2023"/>
    <x v="0"/>
    <x v="2"/>
    <x v="3"/>
    <x v="1"/>
    <s v="CC-300"/>
    <n v="6426.48"/>
    <n v="6408.59"/>
    <n v="-17.889999999999418"/>
    <n v="-2.783794550049081E-3"/>
    <s v="On Budget"/>
  </r>
  <r>
    <d v="2023-02-01T00:00:00"/>
    <x v="1"/>
    <x v="1"/>
    <s v="Feb-2023"/>
    <x v="0"/>
    <x v="2"/>
    <x v="3"/>
    <x v="2"/>
    <s v="CC-300"/>
    <n v="6678.47"/>
    <n v="6609.16"/>
    <n v="-69.3100000000004"/>
    <n v="-1.0378125528751406E-2"/>
    <s v="On Budget"/>
  </r>
  <r>
    <d v="2023-02-01T00:00:00"/>
    <x v="1"/>
    <x v="1"/>
    <s v="Feb-2023"/>
    <x v="0"/>
    <x v="2"/>
    <x v="3"/>
    <x v="3"/>
    <s v="CC-300"/>
    <n v="7043.13"/>
    <n v="7168.81"/>
    <n v="125.68000000000029"/>
    <n v="1.7844339093556458E-2"/>
    <s v="On Budget"/>
  </r>
  <r>
    <d v="2023-02-01T00:00:00"/>
    <x v="1"/>
    <x v="1"/>
    <s v="Feb-2023"/>
    <x v="0"/>
    <x v="2"/>
    <x v="4"/>
    <x v="0"/>
    <s v="CC-300"/>
    <n v="5621.33"/>
    <n v="5613.35"/>
    <n v="-7.9799999999995634"/>
    <n v="-1.4195928721493958E-3"/>
    <s v="On Budget"/>
  </r>
  <r>
    <d v="2023-02-01T00:00:00"/>
    <x v="1"/>
    <x v="1"/>
    <s v="Feb-2023"/>
    <x v="0"/>
    <x v="2"/>
    <x v="4"/>
    <x v="1"/>
    <s v="CC-300"/>
    <n v="5455.23"/>
    <n v="5291.58"/>
    <n v="-163.64999999999964"/>
    <n v="-2.9998735158737515E-2"/>
    <s v="On Budget"/>
  </r>
  <r>
    <d v="2023-02-01T00:00:00"/>
    <x v="1"/>
    <x v="1"/>
    <s v="Feb-2023"/>
    <x v="0"/>
    <x v="2"/>
    <x v="4"/>
    <x v="2"/>
    <s v="CC-300"/>
    <n v="5500.96"/>
    <n v="5428.66"/>
    <n v="-72.300000000000182"/>
    <n v="-1.3143160466536782E-2"/>
    <s v="On Budget"/>
  </r>
  <r>
    <d v="2023-02-01T00:00:00"/>
    <x v="1"/>
    <x v="1"/>
    <s v="Feb-2023"/>
    <x v="0"/>
    <x v="2"/>
    <x v="4"/>
    <x v="3"/>
    <s v="CC-300"/>
    <n v="6005.19"/>
    <n v="6043.02"/>
    <n v="37.830000000000837"/>
    <n v="6.2995508884816035E-3"/>
    <s v="On Budget"/>
  </r>
  <r>
    <d v="2023-02-01T00:00:00"/>
    <x v="1"/>
    <x v="1"/>
    <s v="Feb-2023"/>
    <x v="0"/>
    <x v="3"/>
    <x v="0"/>
    <x v="0"/>
    <s v="CC-400"/>
    <n v="54316.84"/>
    <n v="50584.35"/>
    <n v="-3732.489999999998"/>
    <n v="-6.8716994582159019E-2"/>
    <s v="Underspend"/>
  </r>
  <r>
    <d v="2023-02-01T00:00:00"/>
    <x v="1"/>
    <x v="1"/>
    <s v="Feb-2023"/>
    <x v="0"/>
    <x v="3"/>
    <x v="0"/>
    <x v="1"/>
    <s v="CC-400"/>
    <n v="51394.06"/>
    <n v="44718.83"/>
    <n v="-6675.2299999999959"/>
    <n v="-0.12988329779744967"/>
    <s v="Underspend"/>
  </r>
  <r>
    <d v="2023-02-01T00:00:00"/>
    <x v="1"/>
    <x v="1"/>
    <s v="Feb-2023"/>
    <x v="0"/>
    <x v="3"/>
    <x v="0"/>
    <x v="2"/>
    <s v="CC-400"/>
    <n v="52942.7"/>
    <n v="49424.160000000003"/>
    <n v="-3518.5399999999936"/>
    <n v="-6.6459398557308064E-2"/>
    <s v="Underspend"/>
  </r>
  <r>
    <d v="2023-02-01T00:00:00"/>
    <x v="1"/>
    <x v="1"/>
    <s v="Feb-2023"/>
    <x v="0"/>
    <x v="3"/>
    <x v="0"/>
    <x v="3"/>
    <s v="CC-400"/>
    <n v="56960.65"/>
    <n v="61964.65"/>
    <n v="5004"/>
    <n v="8.7850121092368144E-2"/>
    <s v="Overspend"/>
  </r>
  <r>
    <d v="2023-02-01T00:00:00"/>
    <x v="1"/>
    <x v="1"/>
    <s v="Feb-2023"/>
    <x v="0"/>
    <x v="3"/>
    <x v="1"/>
    <x v="0"/>
    <s v="CC-400"/>
    <n v="20996.29"/>
    <n v="20297.41"/>
    <n v="-698.88000000000102"/>
    <n v="-3.3285880505556031E-2"/>
    <s v="On Budget"/>
  </r>
  <r>
    <d v="2023-02-01T00:00:00"/>
    <x v="1"/>
    <x v="1"/>
    <s v="Feb-2023"/>
    <x v="0"/>
    <x v="3"/>
    <x v="1"/>
    <x v="1"/>
    <s v="CC-400"/>
    <n v="19854.37"/>
    <n v="19865.669999999998"/>
    <n v="11.299999999999272"/>
    <n v="5.6914422366457725E-4"/>
    <s v="On Budget"/>
  </r>
  <r>
    <d v="2023-02-01T00:00:00"/>
    <x v="1"/>
    <x v="1"/>
    <s v="Feb-2023"/>
    <x v="0"/>
    <x v="3"/>
    <x v="1"/>
    <x v="2"/>
    <s v="CC-400"/>
    <n v="20031.12"/>
    <n v="20610.509999999998"/>
    <n v="579.38999999999942"/>
    <n v="2.892449348813244E-2"/>
    <s v="On Budget"/>
  </r>
  <r>
    <d v="2023-02-01T00:00:00"/>
    <x v="1"/>
    <x v="1"/>
    <s v="Feb-2023"/>
    <x v="0"/>
    <x v="3"/>
    <x v="1"/>
    <x v="3"/>
    <s v="CC-400"/>
    <n v="22115.1"/>
    <n v="25539.01"/>
    <n v="3423.91"/>
    <n v="0.15482227075618016"/>
    <s v="Overspend"/>
  </r>
  <r>
    <d v="2023-02-01T00:00:00"/>
    <x v="1"/>
    <x v="1"/>
    <s v="Feb-2023"/>
    <x v="0"/>
    <x v="3"/>
    <x v="2"/>
    <x v="0"/>
    <s v="CC-400"/>
    <n v="11717.61"/>
    <n v="13027.84"/>
    <n v="1310.2299999999996"/>
    <n v="0.1118171709077192"/>
    <s v="Overspend"/>
  </r>
  <r>
    <d v="2023-02-01T00:00:00"/>
    <x v="1"/>
    <x v="1"/>
    <s v="Feb-2023"/>
    <x v="0"/>
    <x v="3"/>
    <x v="2"/>
    <x v="1"/>
    <s v="CC-400"/>
    <n v="11360.66"/>
    <n v="11477.71"/>
    <n v="117.04999999999927"/>
    <n v="1.0303098587581995E-2"/>
    <s v="On Budget"/>
  </r>
  <r>
    <d v="2023-02-01T00:00:00"/>
    <x v="1"/>
    <x v="1"/>
    <s v="Feb-2023"/>
    <x v="0"/>
    <x v="3"/>
    <x v="2"/>
    <x v="2"/>
    <s v="CC-400"/>
    <n v="11070.75"/>
    <n v="12392.58"/>
    <n v="1321.83"/>
    <n v="0.11939841474154866"/>
    <s v="Overspend"/>
  </r>
  <r>
    <d v="2023-02-01T00:00:00"/>
    <x v="1"/>
    <x v="1"/>
    <s v="Feb-2023"/>
    <x v="0"/>
    <x v="3"/>
    <x v="2"/>
    <x v="3"/>
    <s v="CC-400"/>
    <n v="11997.84"/>
    <n v="11525.1"/>
    <n v="-472.73999999999978"/>
    <n v="-3.9402092376627777E-2"/>
    <s v="On Budget"/>
  </r>
  <r>
    <d v="2023-02-01T00:00:00"/>
    <x v="1"/>
    <x v="1"/>
    <s v="Feb-2023"/>
    <x v="0"/>
    <x v="3"/>
    <x v="3"/>
    <x v="0"/>
    <s v="CC-400"/>
    <n v="12151.32"/>
    <n v="13208.57"/>
    <n v="1057.25"/>
    <n v="8.7007008292103241E-2"/>
    <s v="Overspend"/>
  </r>
  <r>
    <d v="2023-02-01T00:00:00"/>
    <x v="1"/>
    <x v="1"/>
    <s v="Feb-2023"/>
    <x v="0"/>
    <x v="3"/>
    <x v="3"/>
    <x v="1"/>
    <s v="CC-400"/>
    <n v="11921.53"/>
    <n v="13485.61"/>
    <n v="1564.08"/>
    <n v="0.1311979250985402"/>
    <s v="Overspend"/>
  </r>
  <r>
    <d v="2023-02-01T00:00:00"/>
    <x v="1"/>
    <x v="1"/>
    <s v="Feb-2023"/>
    <x v="0"/>
    <x v="3"/>
    <x v="3"/>
    <x v="2"/>
    <s v="CC-400"/>
    <n v="11682.67"/>
    <n v="12199.8"/>
    <n v="517.1299999999992"/>
    <n v="4.4264710036318683E-2"/>
    <s v="On Budget"/>
  </r>
  <r>
    <d v="2023-02-01T00:00:00"/>
    <x v="1"/>
    <x v="1"/>
    <s v="Feb-2023"/>
    <x v="0"/>
    <x v="3"/>
    <x v="3"/>
    <x v="3"/>
    <s v="CC-400"/>
    <n v="12662.3"/>
    <n v="14919.46"/>
    <n v="2257.16"/>
    <n v="0.17825829430672152"/>
    <s v="Overspend"/>
  </r>
  <r>
    <d v="2023-02-01T00:00:00"/>
    <x v="1"/>
    <x v="1"/>
    <s v="Feb-2023"/>
    <x v="0"/>
    <x v="3"/>
    <x v="4"/>
    <x v="0"/>
    <s v="CC-400"/>
    <n v="7929.63"/>
    <n v="7637.1"/>
    <n v="-292.52999999999975"/>
    <n v="-3.6890750261992018E-2"/>
    <s v="On Budget"/>
  </r>
  <r>
    <d v="2023-02-01T00:00:00"/>
    <x v="1"/>
    <x v="1"/>
    <s v="Feb-2023"/>
    <x v="0"/>
    <x v="3"/>
    <x v="4"/>
    <x v="1"/>
    <s v="CC-400"/>
    <n v="7514.99"/>
    <n v="7416.41"/>
    <n v="-98.579999999999927"/>
    <n v="-1.3117781926522847E-2"/>
    <s v="On Budget"/>
  </r>
  <r>
    <d v="2023-02-01T00:00:00"/>
    <x v="1"/>
    <x v="1"/>
    <s v="Feb-2023"/>
    <x v="0"/>
    <x v="3"/>
    <x v="4"/>
    <x v="2"/>
    <s v="CC-400"/>
    <n v="7352.63"/>
    <n v="6818.56"/>
    <n v="-534.06999999999971"/>
    <n v="-7.2636593980657221E-2"/>
    <s v="Underspend"/>
  </r>
  <r>
    <d v="2023-02-01T00:00:00"/>
    <x v="1"/>
    <x v="1"/>
    <s v="Feb-2023"/>
    <x v="0"/>
    <x v="3"/>
    <x v="4"/>
    <x v="3"/>
    <s v="CC-400"/>
    <n v="7941.73"/>
    <n v="7300.29"/>
    <n v="-641.4399999999996"/>
    <n v="-8.0768296076547508E-2"/>
    <s v="Underspend"/>
  </r>
  <r>
    <d v="2023-02-01T00:00:00"/>
    <x v="1"/>
    <x v="1"/>
    <s v="Feb-2023"/>
    <x v="0"/>
    <x v="4"/>
    <x v="0"/>
    <x v="0"/>
    <s v="CC-500"/>
    <n v="44974.89"/>
    <n v="45533.31"/>
    <n v="558.41999999999825"/>
    <n v="1.2416261607310174E-2"/>
    <s v="On Budget"/>
  </r>
  <r>
    <d v="2023-02-01T00:00:00"/>
    <x v="1"/>
    <x v="1"/>
    <s v="Feb-2023"/>
    <x v="0"/>
    <x v="4"/>
    <x v="0"/>
    <x v="1"/>
    <s v="CC-500"/>
    <n v="42794.61"/>
    <n v="41218.129999999997"/>
    <n v="-1576.4800000000032"/>
    <n v="-3.6838284073625237E-2"/>
    <s v="On Budget"/>
  </r>
  <r>
    <d v="2023-02-01T00:00:00"/>
    <x v="1"/>
    <x v="1"/>
    <s v="Feb-2023"/>
    <x v="0"/>
    <x v="4"/>
    <x v="0"/>
    <x v="2"/>
    <s v="CC-500"/>
    <n v="42146.58"/>
    <n v="40582.82"/>
    <n v="-1563.760000000002"/>
    <n v="-3.7102891859790328E-2"/>
    <s v="On Budget"/>
  </r>
  <r>
    <d v="2023-02-01T00:00:00"/>
    <x v="1"/>
    <x v="1"/>
    <s v="Feb-2023"/>
    <x v="0"/>
    <x v="4"/>
    <x v="0"/>
    <x v="3"/>
    <s v="CC-500"/>
    <n v="45209.06"/>
    <n v="44755.5"/>
    <n v="-453.55999999999767"/>
    <n v="-1.0032502334708966E-2"/>
    <s v="On Budget"/>
  </r>
  <r>
    <d v="2023-02-01T00:00:00"/>
    <x v="1"/>
    <x v="1"/>
    <s v="Feb-2023"/>
    <x v="0"/>
    <x v="4"/>
    <x v="1"/>
    <x v="0"/>
    <s v="CC-500"/>
    <n v="16326.15"/>
    <n v="16836.060000000001"/>
    <n v="509.91000000000167"/>
    <n v="3.1232715612682822E-2"/>
    <s v="On Budget"/>
  </r>
  <r>
    <d v="2023-02-01T00:00:00"/>
    <x v="1"/>
    <x v="1"/>
    <s v="Feb-2023"/>
    <x v="0"/>
    <x v="4"/>
    <x v="1"/>
    <x v="1"/>
    <s v="CC-500"/>
    <n v="15582.95"/>
    <n v="15255.93"/>
    <n v="-327.02000000000044"/>
    <n v="-2.0985756868885572E-2"/>
    <s v="On Budget"/>
  </r>
  <r>
    <d v="2023-02-01T00:00:00"/>
    <x v="1"/>
    <x v="1"/>
    <s v="Feb-2023"/>
    <x v="0"/>
    <x v="4"/>
    <x v="1"/>
    <x v="2"/>
    <s v="CC-500"/>
    <n v="16243.82"/>
    <n v="16097.9"/>
    <n v="-145.92000000000007"/>
    <n v="-8.9831086530138896E-3"/>
    <s v="On Budget"/>
  </r>
  <r>
    <d v="2023-02-01T00:00:00"/>
    <x v="1"/>
    <x v="1"/>
    <s v="Feb-2023"/>
    <x v="0"/>
    <x v="4"/>
    <x v="1"/>
    <x v="3"/>
    <s v="CC-500"/>
    <n v="17025.259999999998"/>
    <n v="17658.689999999999"/>
    <n v="633.43000000000029"/>
    <n v="3.7205305528373742E-2"/>
    <s v="On Budget"/>
  </r>
  <r>
    <d v="2023-02-01T00:00:00"/>
    <x v="1"/>
    <x v="1"/>
    <s v="Feb-2023"/>
    <x v="0"/>
    <x v="4"/>
    <x v="2"/>
    <x v="0"/>
    <s v="CC-500"/>
    <n v="7084.86"/>
    <n v="7243.33"/>
    <n v="158.47000000000025"/>
    <n v="2.2367414458436759E-2"/>
    <s v="On Budget"/>
  </r>
  <r>
    <d v="2023-02-01T00:00:00"/>
    <x v="1"/>
    <x v="1"/>
    <s v="Feb-2023"/>
    <x v="0"/>
    <x v="4"/>
    <x v="2"/>
    <x v="1"/>
    <s v="CC-500"/>
    <n v="6504.01"/>
    <n v="6422.33"/>
    <n v="-81.680000000000291"/>
    <n v="-1.2558406275513152E-2"/>
    <s v="On Budget"/>
  </r>
  <r>
    <d v="2023-02-01T00:00:00"/>
    <x v="1"/>
    <x v="1"/>
    <s v="Feb-2023"/>
    <x v="0"/>
    <x v="4"/>
    <x v="2"/>
    <x v="2"/>
    <s v="CC-500"/>
    <n v="6751.42"/>
    <n v="6981.56"/>
    <n v="230.14000000000033"/>
    <n v="3.408764378456685E-2"/>
    <s v="On Budget"/>
  </r>
  <r>
    <d v="2023-02-01T00:00:00"/>
    <x v="1"/>
    <x v="1"/>
    <s v="Feb-2023"/>
    <x v="0"/>
    <x v="4"/>
    <x v="2"/>
    <x v="3"/>
    <s v="CC-500"/>
    <n v="7412.3"/>
    <n v="7673.96"/>
    <n v="261.65999999999985"/>
    <n v="3.5300783832278762E-2"/>
    <s v="On Budget"/>
  </r>
  <r>
    <d v="2023-02-01T00:00:00"/>
    <x v="1"/>
    <x v="1"/>
    <s v="Feb-2023"/>
    <x v="0"/>
    <x v="4"/>
    <x v="3"/>
    <x v="0"/>
    <s v="CC-500"/>
    <n v="7461.04"/>
    <n v="7578.77"/>
    <n v="117.73000000000047"/>
    <n v="1.5779301545092973E-2"/>
    <s v="On Budget"/>
  </r>
  <r>
    <d v="2023-02-01T00:00:00"/>
    <x v="1"/>
    <x v="1"/>
    <s v="Feb-2023"/>
    <x v="0"/>
    <x v="4"/>
    <x v="3"/>
    <x v="1"/>
    <s v="CC-500"/>
    <n v="6862.33"/>
    <n v="6865.83"/>
    <n v="3.5"/>
    <n v="5.1003084958024466E-4"/>
    <s v="On Budget"/>
  </r>
  <r>
    <d v="2023-02-01T00:00:00"/>
    <x v="1"/>
    <x v="1"/>
    <s v="Feb-2023"/>
    <x v="0"/>
    <x v="4"/>
    <x v="3"/>
    <x v="2"/>
    <s v="CC-500"/>
    <n v="6902.43"/>
    <n v="6889.43"/>
    <n v="-13"/>
    <n v="-1.8833946885372253E-3"/>
    <s v="On Budget"/>
  </r>
  <r>
    <d v="2023-02-01T00:00:00"/>
    <x v="1"/>
    <x v="1"/>
    <s v="Feb-2023"/>
    <x v="0"/>
    <x v="4"/>
    <x v="3"/>
    <x v="3"/>
    <s v="CC-500"/>
    <n v="7624.28"/>
    <n v="7354.62"/>
    <n v="-269.65999999999985"/>
    <n v="-3.5368585623822821E-2"/>
    <s v="On Budget"/>
  </r>
  <r>
    <d v="2023-02-01T00:00:00"/>
    <x v="1"/>
    <x v="1"/>
    <s v="Feb-2023"/>
    <x v="0"/>
    <x v="4"/>
    <x v="4"/>
    <x v="0"/>
    <s v="CC-500"/>
    <n v="6126.3"/>
    <n v="5885.08"/>
    <n v="-241.22000000000025"/>
    <n v="-3.9374500106099969E-2"/>
    <s v="On Budget"/>
  </r>
  <r>
    <d v="2023-02-01T00:00:00"/>
    <x v="1"/>
    <x v="1"/>
    <s v="Feb-2023"/>
    <x v="0"/>
    <x v="4"/>
    <x v="4"/>
    <x v="1"/>
    <s v="CC-500"/>
    <n v="5920.34"/>
    <n v="5817.83"/>
    <n v="-102.51000000000022"/>
    <n v="-1.7314883942476312E-2"/>
    <s v="On Budget"/>
  </r>
  <r>
    <d v="2023-02-01T00:00:00"/>
    <x v="1"/>
    <x v="1"/>
    <s v="Feb-2023"/>
    <x v="0"/>
    <x v="4"/>
    <x v="4"/>
    <x v="2"/>
    <s v="CC-500"/>
    <n v="5880.86"/>
    <n v="5773.67"/>
    <n v="-107.1899999999996"/>
    <n v="-1.8226925993817165E-2"/>
    <s v="On Budget"/>
  </r>
  <r>
    <d v="2023-02-01T00:00:00"/>
    <x v="1"/>
    <x v="1"/>
    <s v="Feb-2023"/>
    <x v="0"/>
    <x v="4"/>
    <x v="4"/>
    <x v="3"/>
    <s v="CC-500"/>
    <n v="6536.24"/>
    <n v="6867.65"/>
    <n v="331.40999999999985"/>
    <n v="5.0703462541155139E-2"/>
    <s v="Overspend"/>
  </r>
  <r>
    <d v="2023-03-01T00:00:00"/>
    <x v="2"/>
    <x v="2"/>
    <s v="Mar-2023"/>
    <x v="0"/>
    <x v="0"/>
    <x v="0"/>
    <x v="0"/>
    <s v="CC-100"/>
    <n v="49223.87"/>
    <n v="58361.33"/>
    <n v="9137.4599999999991"/>
    <n v="0.18563067064820379"/>
    <s v="Overspend"/>
  </r>
  <r>
    <d v="2023-03-01T00:00:00"/>
    <x v="2"/>
    <x v="2"/>
    <s v="Mar-2023"/>
    <x v="0"/>
    <x v="0"/>
    <x v="0"/>
    <x v="1"/>
    <s v="CC-100"/>
    <n v="47518.67"/>
    <n v="57168.21"/>
    <n v="9649.5400000000009"/>
    <n v="0.20306839395967946"/>
    <s v="Overspend"/>
  </r>
  <r>
    <d v="2023-03-01T00:00:00"/>
    <x v="2"/>
    <x v="2"/>
    <s v="Mar-2023"/>
    <x v="0"/>
    <x v="0"/>
    <x v="0"/>
    <x v="2"/>
    <s v="CC-100"/>
    <n v="48907.95"/>
    <n v="54609.47"/>
    <n v="5701.5200000000041"/>
    <n v="0.11657654839346168"/>
    <s v="Overspend"/>
  </r>
  <r>
    <d v="2023-03-01T00:00:00"/>
    <x v="2"/>
    <x v="2"/>
    <s v="Mar-2023"/>
    <x v="0"/>
    <x v="0"/>
    <x v="0"/>
    <x v="3"/>
    <s v="CC-100"/>
    <n v="51020.53"/>
    <n v="59126.22"/>
    <n v="8105.6900000000023"/>
    <n v="0.1588711446157067"/>
    <s v="Overspend"/>
  </r>
  <r>
    <d v="2023-03-01T00:00:00"/>
    <x v="2"/>
    <x v="2"/>
    <s v="Mar-2023"/>
    <x v="0"/>
    <x v="0"/>
    <x v="1"/>
    <x v="0"/>
    <s v="CC-100"/>
    <n v="19306.61"/>
    <n v="23040.16"/>
    <n v="3733.5499999999993"/>
    <n v="0.19338195571361308"/>
    <s v="Overspend"/>
  </r>
  <r>
    <d v="2023-03-01T00:00:00"/>
    <x v="2"/>
    <x v="2"/>
    <s v="Mar-2023"/>
    <x v="0"/>
    <x v="0"/>
    <x v="1"/>
    <x v="1"/>
    <s v="CC-100"/>
    <n v="18116.349999999999"/>
    <n v="21221.33"/>
    <n v="3104.9800000000032"/>
    <n v="0.17139103627386329"/>
    <s v="Overspend"/>
  </r>
  <r>
    <d v="2023-03-01T00:00:00"/>
    <x v="2"/>
    <x v="2"/>
    <s v="Mar-2023"/>
    <x v="0"/>
    <x v="0"/>
    <x v="1"/>
    <x v="2"/>
    <s v="CC-100"/>
    <n v="17818.96"/>
    <n v="19782.95"/>
    <n v="1963.9900000000016"/>
    <n v="0.11021911492028726"/>
    <s v="Overspend"/>
  </r>
  <r>
    <d v="2023-03-01T00:00:00"/>
    <x v="2"/>
    <x v="2"/>
    <s v="Mar-2023"/>
    <x v="0"/>
    <x v="0"/>
    <x v="1"/>
    <x v="3"/>
    <s v="CC-100"/>
    <n v="19494.46"/>
    <n v="23348.799999999999"/>
    <n v="3854.34"/>
    <n v="0.19771463277259285"/>
    <s v="Overspend"/>
  </r>
  <r>
    <d v="2023-03-01T00:00:00"/>
    <x v="2"/>
    <x v="2"/>
    <s v="Mar-2023"/>
    <x v="0"/>
    <x v="0"/>
    <x v="2"/>
    <x v="0"/>
    <s v="CC-100"/>
    <n v="10865.1"/>
    <n v="12471.62"/>
    <n v="1606.5200000000004"/>
    <n v="0.1478605811267269"/>
    <s v="Overspend"/>
  </r>
  <r>
    <d v="2023-03-01T00:00:00"/>
    <x v="2"/>
    <x v="2"/>
    <s v="Mar-2023"/>
    <x v="0"/>
    <x v="0"/>
    <x v="2"/>
    <x v="1"/>
    <s v="CC-100"/>
    <n v="9799.16"/>
    <n v="11391.79"/>
    <n v="1592.630000000001"/>
    <n v="0.16252719620865472"/>
    <s v="Overspend"/>
  </r>
  <r>
    <d v="2023-03-01T00:00:00"/>
    <x v="2"/>
    <x v="2"/>
    <s v="Mar-2023"/>
    <x v="0"/>
    <x v="0"/>
    <x v="2"/>
    <x v="2"/>
    <s v="CC-100"/>
    <n v="10515.9"/>
    <n v="12317.38"/>
    <n v="1801.4799999999996"/>
    <n v="0.17131011135518592"/>
    <s v="Overspend"/>
  </r>
  <r>
    <d v="2023-03-01T00:00:00"/>
    <x v="2"/>
    <x v="2"/>
    <s v="Mar-2023"/>
    <x v="0"/>
    <x v="0"/>
    <x v="2"/>
    <x v="3"/>
    <s v="CC-100"/>
    <n v="10888.61"/>
    <n v="11936.49"/>
    <n v="1047.8799999999992"/>
    <n v="9.6236342379789439E-2"/>
    <s v="Overspend"/>
  </r>
  <r>
    <d v="2023-03-01T00:00:00"/>
    <x v="2"/>
    <x v="2"/>
    <s v="Mar-2023"/>
    <x v="0"/>
    <x v="0"/>
    <x v="3"/>
    <x v="0"/>
    <s v="CC-100"/>
    <n v="8301.48"/>
    <n v="9776.9699999999993"/>
    <n v="1475.4899999999998"/>
    <n v="0.17773818644386299"/>
    <s v="Overspend"/>
  </r>
  <r>
    <d v="2023-03-01T00:00:00"/>
    <x v="2"/>
    <x v="2"/>
    <s v="Mar-2023"/>
    <x v="0"/>
    <x v="0"/>
    <x v="3"/>
    <x v="1"/>
    <s v="CC-100"/>
    <n v="7987.67"/>
    <n v="9433.5"/>
    <n v="1445.83"/>
    <n v="0.18100772816102817"/>
    <s v="Overspend"/>
  </r>
  <r>
    <d v="2023-03-01T00:00:00"/>
    <x v="2"/>
    <x v="2"/>
    <s v="Mar-2023"/>
    <x v="0"/>
    <x v="0"/>
    <x v="3"/>
    <x v="2"/>
    <s v="CC-100"/>
    <n v="7759.95"/>
    <n v="8739.2000000000007"/>
    <n v="979.25000000000091"/>
    <n v="0.12619282340736743"/>
    <s v="Overspend"/>
  </r>
  <r>
    <d v="2023-03-01T00:00:00"/>
    <x v="2"/>
    <x v="2"/>
    <s v="Mar-2023"/>
    <x v="0"/>
    <x v="0"/>
    <x v="3"/>
    <x v="3"/>
    <s v="CC-100"/>
    <n v="8717.4699999999993"/>
    <n v="9595.9500000000007"/>
    <n v="878.48000000000138"/>
    <n v="0.10077235711737481"/>
    <s v="Overspend"/>
  </r>
  <r>
    <d v="2023-03-01T00:00:00"/>
    <x v="2"/>
    <x v="2"/>
    <s v="Mar-2023"/>
    <x v="0"/>
    <x v="0"/>
    <x v="4"/>
    <x v="0"/>
    <s v="CC-100"/>
    <n v="8539.67"/>
    <n v="9400.34"/>
    <n v="860.67000000000007"/>
    <n v="0.10078492494440652"/>
    <s v="Overspend"/>
  </r>
  <r>
    <d v="2023-03-01T00:00:00"/>
    <x v="2"/>
    <x v="2"/>
    <s v="Mar-2023"/>
    <x v="0"/>
    <x v="0"/>
    <x v="4"/>
    <x v="1"/>
    <s v="CC-100"/>
    <n v="8230.44"/>
    <n v="9555.85"/>
    <n v="1325.4099999999999"/>
    <n v="0.16103756299784699"/>
    <s v="Overspend"/>
  </r>
  <r>
    <d v="2023-03-01T00:00:00"/>
    <x v="2"/>
    <x v="2"/>
    <s v="Mar-2023"/>
    <x v="0"/>
    <x v="0"/>
    <x v="4"/>
    <x v="2"/>
    <s v="CC-100"/>
    <n v="8377.32"/>
    <n v="9573.7900000000009"/>
    <n v="1196.4700000000012"/>
    <n v="0.14282252558097353"/>
    <s v="Overspend"/>
  </r>
  <r>
    <d v="2023-03-01T00:00:00"/>
    <x v="2"/>
    <x v="2"/>
    <s v="Mar-2023"/>
    <x v="0"/>
    <x v="0"/>
    <x v="4"/>
    <x v="3"/>
    <s v="CC-100"/>
    <n v="8672.0400000000009"/>
    <n v="10030.450000000001"/>
    <n v="1358.4099999999999"/>
    <n v="0.15664249703645275"/>
    <s v="Overspend"/>
  </r>
  <r>
    <d v="2023-03-01T00:00:00"/>
    <x v="2"/>
    <x v="2"/>
    <s v="Mar-2023"/>
    <x v="0"/>
    <x v="1"/>
    <x v="0"/>
    <x v="0"/>
    <s v="CC-200"/>
    <n v="51229.34"/>
    <n v="45529.56"/>
    <n v="-5699.7799999999988"/>
    <n v="-0.11126007088906473"/>
    <s v="Underspend"/>
  </r>
  <r>
    <d v="2023-03-01T00:00:00"/>
    <x v="2"/>
    <x v="2"/>
    <s v="Mar-2023"/>
    <x v="0"/>
    <x v="1"/>
    <x v="0"/>
    <x v="1"/>
    <s v="CC-200"/>
    <n v="48179.17"/>
    <n v="41957.82"/>
    <n v="-6221.3499999999985"/>
    <n v="-0.12912945573782195"/>
    <s v="Underspend"/>
  </r>
  <r>
    <d v="2023-03-01T00:00:00"/>
    <x v="2"/>
    <x v="2"/>
    <s v="Mar-2023"/>
    <x v="0"/>
    <x v="1"/>
    <x v="0"/>
    <x v="2"/>
    <s v="CC-200"/>
    <n v="51348.42"/>
    <n v="46022.15"/>
    <n v="-5326.2699999999968"/>
    <n v="-0.10372802123220144"/>
    <s v="Underspend"/>
  </r>
  <r>
    <d v="2023-03-01T00:00:00"/>
    <x v="2"/>
    <x v="2"/>
    <s v="Mar-2023"/>
    <x v="0"/>
    <x v="1"/>
    <x v="0"/>
    <x v="3"/>
    <s v="CC-200"/>
    <n v="53649.71"/>
    <n v="46038.11"/>
    <n v="-7611.5999999999985"/>
    <n v="-0.14187588339247312"/>
    <s v="Underspend"/>
  </r>
  <r>
    <d v="2023-03-01T00:00:00"/>
    <x v="2"/>
    <x v="2"/>
    <s v="Mar-2023"/>
    <x v="0"/>
    <x v="1"/>
    <x v="1"/>
    <x v="0"/>
    <s v="CC-200"/>
    <n v="29542.080000000002"/>
    <n v="26195.83"/>
    <n v="-3346.25"/>
    <n v="-0.11327062955621268"/>
    <s v="Underspend"/>
  </r>
  <r>
    <d v="2023-03-01T00:00:00"/>
    <x v="2"/>
    <x v="2"/>
    <s v="Mar-2023"/>
    <x v="0"/>
    <x v="1"/>
    <x v="1"/>
    <x v="1"/>
    <s v="CC-200"/>
    <n v="27116.91"/>
    <n v="24288.880000000001"/>
    <n v="-2828.0299999999988"/>
    <n v="-0.10429027496126951"/>
    <s v="Underspend"/>
  </r>
  <r>
    <d v="2023-03-01T00:00:00"/>
    <x v="2"/>
    <x v="2"/>
    <s v="Mar-2023"/>
    <x v="0"/>
    <x v="1"/>
    <x v="1"/>
    <x v="2"/>
    <s v="CC-200"/>
    <n v="27239.19"/>
    <n v="23446.2"/>
    <n v="-3792.989999999998"/>
    <n v="-0.13924753269095"/>
    <s v="Underspend"/>
  </r>
  <r>
    <d v="2023-03-01T00:00:00"/>
    <x v="2"/>
    <x v="2"/>
    <s v="Mar-2023"/>
    <x v="0"/>
    <x v="1"/>
    <x v="1"/>
    <x v="3"/>
    <s v="CC-200"/>
    <n v="29266.82"/>
    <n v="24879.38"/>
    <n v="-4387.4399999999987"/>
    <n v="-0.14991174305920488"/>
    <s v="Underspend"/>
  </r>
  <r>
    <d v="2023-03-01T00:00:00"/>
    <x v="2"/>
    <x v="2"/>
    <s v="Mar-2023"/>
    <x v="0"/>
    <x v="1"/>
    <x v="2"/>
    <x v="0"/>
    <s v="CC-200"/>
    <n v="11217.89"/>
    <n v="9712.27"/>
    <n v="-1505.619999999999"/>
    <n v="-0.13421597109616862"/>
    <s v="Underspend"/>
  </r>
  <r>
    <d v="2023-03-01T00:00:00"/>
    <x v="2"/>
    <x v="2"/>
    <s v="Mar-2023"/>
    <x v="0"/>
    <x v="1"/>
    <x v="2"/>
    <x v="1"/>
    <s v="CC-200"/>
    <n v="10879.59"/>
    <n v="9664.59"/>
    <n v="-1215"/>
    <n v="-0.11167700253410284"/>
    <s v="Underspend"/>
  </r>
  <r>
    <d v="2023-03-01T00:00:00"/>
    <x v="2"/>
    <x v="2"/>
    <s v="Mar-2023"/>
    <x v="0"/>
    <x v="1"/>
    <x v="2"/>
    <x v="2"/>
    <s v="CC-200"/>
    <n v="10664.28"/>
    <n v="9492.3700000000008"/>
    <n v="-1171.9099999999999"/>
    <n v="-0.10989115064495679"/>
    <s v="Underspend"/>
  </r>
  <r>
    <d v="2023-03-01T00:00:00"/>
    <x v="2"/>
    <x v="2"/>
    <s v="Mar-2023"/>
    <x v="0"/>
    <x v="1"/>
    <x v="2"/>
    <x v="3"/>
    <s v="CC-200"/>
    <n v="11439.08"/>
    <n v="10249.209999999999"/>
    <n v="-1189.8700000000008"/>
    <n v="-0.1040179804669607"/>
    <s v="Underspend"/>
  </r>
  <r>
    <d v="2023-03-01T00:00:00"/>
    <x v="2"/>
    <x v="2"/>
    <s v="Mar-2023"/>
    <x v="0"/>
    <x v="1"/>
    <x v="3"/>
    <x v="0"/>
    <s v="CC-200"/>
    <n v="8781"/>
    <n v="7746.92"/>
    <n v="-1034.08"/>
    <n v="-0.1177633526933151"/>
    <s v="Underspend"/>
  </r>
  <r>
    <d v="2023-03-01T00:00:00"/>
    <x v="2"/>
    <x v="2"/>
    <s v="Mar-2023"/>
    <x v="0"/>
    <x v="1"/>
    <x v="3"/>
    <x v="1"/>
    <s v="CC-200"/>
    <n v="8135.88"/>
    <n v="6988.79"/>
    <n v="-1147.0900000000001"/>
    <n v="-0.14099150921596681"/>
    <s v="Underspend"/>
  </r>
  <r>
    <d v="2023-03-01T00:00:00"/>
    <x v="2"/>
    <x v="2"/>
    <s v="Mar-2023"/>
    <x v="0"/>
    <x v="1"/>
    <x v="3"/>
    <x v="2"/>
    <s v="CC-200"/>
    <n v="8229.35"/>
    <n v="7322.82"/>
    <n v="-906.53000000000065"/>
    <n v="-0.11015815343860701"/>
    <s v="Underspend"/>
  </r>
  <r>
    <d v="2023-03-01T00:00:00"/>
    <x v="2"/>
    <x v="2"/>
    <s v="Mar-2023"/>
    <x v="0"/>
    <x v="1"/>
    <x v="3"/>
    <x v="3"/>
    <s v="CC-200"/>
    <n v="9024.4500000000007"/>
    <n v="8073.71"/>
    <n v="-950.74000000000069"/>
    <n v="-0.10535157267201886"/>
    <s v="Underspend"/>
  </r>
  <r>
    <d v="2023-03-01T00:00:00"/>
    <x v="2"/>
    <x v="2"/>
    <s v="Mar-2023"/>
    <x v="0"/>
    <x v="1"/>
    <x v="4"/>
    <x v="0"/>
    <s v="CC-200"/>
    <n v="7391.28"/>
    <n v="6522.5"/>
    <n v="-868.77999999999975"/>
    <n v="-0.11754121072398824"/>
    <s v="Underspend"/>
  </r>
  <r>
    <d v="2023-03-01T00:00:00"/>
    <x v="2"/>
    <x v="2"/>
    <s v="Mar-2023"/>
    <x v="0"/>
    <x v="1"/>
    <x v="4"/>
    <x v="1"/>
    <s v="CC-200"/>
    <n v="7132.52"/>
    <n v="6404.31"/>
    <n v="-728.21"/>
    <n v="-0.10209715500271993"/>
    <s v="Underspend"/>
  </r>
  <r>
    <d v="2023-03-01T00:00:00"/>
    <x v="2"/>
    <x v="2"/>
    <s v="Mar-2023"/>
    <x v="0"/>
    <x v="1"/>
    <x v="4"/>
    <x v="2"/>
    <s v="CC-200"/>
    <n v="7326.91"/>
    <n v="6303.54"/>
    <n v="-1023.3699999999999"/>
    <n v="-0.13967279521653739"/>
    <s v="Underspend"/>
  </r>
  <r>
    <d v="2023-03-01T00:00:00"/>
    <x v="2"/>
    <x v="2"/>
    <s v="Mar-2023"/>
    <x v="0"/>
    <x v="1"/>
    <x v="4"/>
    <x v="3"/>
    <s v="CC-200"/>
    <n v="7522.73"/>
    <n v="6700.38"/>
    <n v="-822.34999999999945"/>
    <n v="-0.10931536822403562"/>
    <s v="Underspend"/>
  </r>
  <r>
    <d v="2023-03-01T00:00:00"/>
    <x v="2"/>
    <x v="2"/>
    <s v="Mar-2023"/>
    <x v="0"/>
    <x v="2"/>
    <x v="0"/>
    <x v="0"/>
    <s v="CC-300"/>
    <n v="45381.81"/>
    <n v="44779.71"/>
    <n v="-602.09999999999854"/>
    <n v="-1.3267430276579947E-2"/>
    <s v="On Budget"/>
  </r>
  <r>
    <d v="2023-03-01T00:00:00"/>
    <x v="2"/>
    <x v="2"/>
    <s v="Mar-2023"/>
    <x v="0"/>
    <x v="2"/>
    <x v="0"/>
    <x v="1"/>
    <s v="CC-300"/>
    <n v="44336.09"/>
    <n v="42882.77"/>
    <n v="-1453.3199999999997"/>
    <n v="-3.2779615884034878E-2"/>
    <s v="On Budget"/>
  </r>
  <r>
    <d v="2023-03-01T00:00:00"/>
    <x v="2"/>
    <x v="2"/>
    <s v="Mar-2023"/>
    <x v="0"/>
    <x v="2"/>
    <x v="0"/>
    <x v="2"/>
    <s v="CC-300"/>
    <n v="43355.59"/>
    <n v="42187.49"/>
    <n v="-1168.0999999999985"/>
    <n v="-2.6942315858231859E-2"/>
    <s v="On Budget"/>
  </r>
  <r>
    <d v="2023-03-01T00:00:00"/>
    <x v="2"/>
    <x v="2"/>
    <s v="Mar-2023"/>
    <x v="0"/>
    <x v="2"/>
    <x v="0"/>
    <x v="3"/>
    <s v="CC-300"/>
    <n v="47153.69"/>
    <n v="46204.69"/>
    <n v="-949"/>
    <n v="-2.0125678393355852E-2"/>
    <s v="On Budget"/>
  </r>
  <r>
    <d v="2023-03-01T00:00:00"/>
    <x v="2"/>
    <x v="2"/>
    <s v="Mar-2023"/>
    <x v="0"/>
    <x v="2"/>
    <x v="1"/>
    <x v="0"/>
    <s v="CC-300"/>
    <n v="15064.76"/>
    <n v="14828.87"/>
    <n v="-235.88999999999942"/>
    <n v="-1.5658397478618937E-2"/>
    <s v="On Budget"/>
  </r>
  <r>
    <d v="2023-03-01T00:00:00"/>
    <x v="2"/>
    <x v="2"/>
    <s v="Mar-2023"/>
    <x v="0"/>
    <x v="2"/>
    <x v="1"/>
    <x v="1"/>
    <s v="CC-300"/>
    <n v="14849.97"/>
    <n v="14531.17"/>
    <n v="-318.79999999999927"/>
    <n v="-2.1468056837825215E-2"/>
    <s v="On Budget"/>
  </r>
  <r>
    <d v="2023-03-01T00:00:00"/>
    <x v="2"/>
    <x v="2"/>
    <s v="Mar-2023"/>
    <x v="0"/>
    <x v="2"/>
    <x v="1"/>
    <x v="2"/>
    <s v="CC-300"/>
    <n v="14879.83"/>
    <n v="14657.82"/>
    <n v="-222.01000000000022"/>
    <n v="-1.492019734096426E-2"/>
    <s v="On Budget"/>
  </r>
  <r>
    <d v="2023-03-01T00:00:00"/>
    <x v="2"/>
    <x v="2"/>
    <s v="Mar-2023"/>
    <x v="0"/>
    <x v="2"/>
    <x v="1"/>
    <x v="3"/>
    <s v="CC-300"/>
    <n v="15650.25"/>
    <n v="15831.38"/>
    <n v="181.1299999999992"/>
    <n v="1.1573617034871597E-2"/>
    <s v="On Budget"/>
  </r>
  <r>
    <d v="2023-03-01T00:00:00"/>
    <x v="2"/>
    <x v="2"/>
    <s v="Mar-2023"/>
    <x v="0"/>
    <x v="2"/>
    <x v="2"/>
    <x v="0"/>
    <s v="CC-300"/>
    <n v="8680.3700000000008"/>
    <n v="8645.94"/>
    <n v="-34.430000000000291"/>
    <n v="-3.9664207862107588E-3"/>
    <s v="On Budget"/>
  </r>
  <r>
    <d v="2023-03-01T00:00:00"/>
    <x v="2"/>
    <x v="2"/>
    <s v="Mar-2023"/>
    <x v="0"/>
    <x v="2"/>
    <x v="2"/>
    <x v="1"/>
    <s v="CC-300"/>
    <n v="8220.93"/>
    <n v="8416.3700000000008"/>
    <n v="195.44000000000051"/>
    <n v="2.3773466019051434E-2"/>
    <s v="On Budget"/>
  </r>
  <r>
    <d v="2023-03-01T00:00:00"/>
    <x v="2"/>
    <x v="2"/>
    <s v="Mar-2023"/>
    <x v="0"/>
    <x v="2"/>
    <x v="2"/>
    <x v="2"/>
    <s v="CC-300"/>
    <n v="8302.2900000000009"/>
    <n v="8171.56"/>
    <n v="-130.73000000000047"/>
    <n v="-1.5746257960153217E-2"/>
    <s v="On Budget"/>
  </r>
  <r>
    <d v="2023-03-01T00:00:00"/>
    <x v="2"/>
    <x v="2"/>
    <s v="Mar-2023"/>
    <x v="0"/>
    <x v="2"/>
    <x v="2"/>
    <x v="3"/>
    <s v="CC-300"/>
    <n v="9002.16"/>
    <n v="9051.68"/>
    <n v="49.520000000000437"/>
    <n v="5.5009020057408932E-3"/>
    <s v="On Budget"/>
  </r>
  <r>
    <d v="2023-03-01T00:00:00"/>
    <x v="2"/>
    <x v="2"/>
    <s v="Mar-2023"/>
    <x v="0"/>
    <x v="2"/>
    <x v="3"/>
    <x v="0"/>
    <s v="CC-300"/>
    <n v="6679.56"/>
    <n v="6790.18"/>
    <n v="110.61999999999989"/>
    <n v="1.6560971081927535E-2"/>
    <s v="On Budget"/>
  </r>
  <r>
    <d v="2023-03-01T00:00:00"/>
    <x v="2"/>
    <x v="2"/>
    <s v="Mar-2023"/>
    <x v="0"/>
    <x v="2"/>
    <x v="3"/>
    <x v="1"/>
    <s v="CC-300"/>
    <n v="6405.4"/>
    <n v="6441.36"/>
    <n v="35.960000000000036"/>
    <n v="5.6140131763824331E-3"/>
    <s v="On Budget"/>
  </r>
  <r>
    <d v="2023-03-01T00:00:00"/>
    <x v="2"/>
    <x v="2"/>
    <s v="Mar-2023"/>
    <x v="0"/>
    <x v="2"/>
    <x v="3"/>
    <x v="2"/>
    <s v="CC-300"/>
    <n v="6373.62"/>
    <n v="6287.49"/>
    <n v="-86.130000000000109"/>
    <n v="-1.3513513513513532E-2"/>
    <s v="On Budget"/>
  </r>
  <r>
    <d v="2023-03-01T00:00:00"/>
    <x v="2"/>
    <x v="2"/>
    <s v="Mar-2023"/>
    <x v="0"/>
    <x v="2"/>
    <x v="3"/>
    <x v="3"/>
    <s v="CC-300"/>
    <n v="6803.74"/>
    <n v="6613.92"/>
    <n v="-189.81999999999971"/>
    <n v="-2.7899361233674379E-2"/>
    <s v="On Budget"/>
  </r>
  <r>
    <d v="2023-03-01T00:00:00"/>
    <x v="2"/>
    <x v="2"/>
    <s v="Mar-2023"/>
    <x v="0"/>
    <x v="2"/>
    <x v="4"/>
    <x v="0"/>
    <s v="CC-300"/>
    <n v="5648.95"/>
    <n v="5660.27"/>
    <n v="11.320000000000618"/>
    <n v="2.0039122314767558E-3"/>
    <s v="On Budget"/>
  </r>
  <r>
    <d v="2023-03-01T00:00:00"/>
    <x v="2"/>
    <x v="2"/>
    <s v="Mar-2023"/>
    <x v="0"/>
    <x v="2"/>
    <x v="4"/>
    <x v="1"/>
    <s v="CC-300"/>
    <n v="5526.15"/>
    <n v="5594.89"/>
    <n v="68.740000000000691"/>
    <n v="1.2439039837861928E-2"/>
    <s v="On Budget"/>
  </r>
  <r>
    <d v="2023-03-01T00:00:00"/>
    <x v="2"/>
    <x v="2"/>
    <s v="Mar-2023"/>
    <x v="0"/>
    <x v="2"/>
    <x v="4"/>
    <x v="2"/>
    <s v="CC-300"/>
    <n v="5448.74"/>
    <n v="5577.52"/>
    <n v="128.78000000000065"/>
    <n v="2.3634821995544043E-2"/>
    <s v="On Budget"/>
  </r>
  <r>
    <d v="2023-03-01T00:00:00"/>
    <x v="2"/>
    <x v="2"/>
    <s v="Mar-2023"/>
    <x v="0"/>
    <x v="2"/>
    <x v="4"/>
    <x v="3"/>
    <s v="CC-300"/>
    <n v="5887.11"/>
    <n v="6026.06"/>
    <n v="138.95000000000073"/>
    <n v="2.3602412728826322E-2"/>
    <s v="On Budget"/>
  </r>
  <r>
    <d v="2023-03-01T00:00:00"/>
    <x v="2"/>
    <x v="2"/>
    <s v="Mar-2023"/>
    <x v="0"/>
    <x v="3"/>
    <x v="0"/>
    <x v="0"/>
    <s v="CC-400"/>
    <n v="54200.5"/>
    <n v="62491.16"/>
    <n v="8290.6600000000035"/>
    <n v="0.15296279554616662"/>
    <s v="Overspend"/>
  </r>
  <r>
    <d v="2023-03-01T00:00:00"/>
    <x v="2"/>
    <x v="2"/>
    <s v="Mar-2023"/>
    <x v="0"/>
    <x v="3"/>
    <x v="0"/>
    <x v="1"/>
    <s v="CC-400"/>
    <n v="52665.94"/>
    <n v="61715.72"/>
    <n v="9049.7799999999988"/>
    <n v="0.17183363669194926"/>
    <s v="Overspend"/>
  </r>
  <r>
    <d v="2023-03-01T00:00:00"/>
    <x v="2"/>
    <x v="2"/>
    <s v="Mar-2023"/>
    <x v="0"/>
    <x v="3"/>
    <x v="0"/>
    <x v="2"/>
    <s v="CC-400"/>
    <n v="54412.86"/>
    <n v="52652.27"/>
    <n v="-1760.5900000000038"/>
    <n v="-3.2356137868878858E-2"/>
    <s v="On Budget"/>
  </r>
  <r>
    <d v="2023-03-01T00:00:00"/>
    <x v="2"/>
    <x v="2"/>
    <s v="Mar-2023"/>
    <x v="0"/>
    <x v="3"/>
    <x v="0"/>
    <x v="3"/>
    <s v="CC-400"/>
    <n v="57493.38"/>
    <n v="53332.93"/>
    <n v="-4160.4499999999971"/>
    <n v="-7.2363983470792592E-2"/>
    <s v="Underspend"/>
  </r>
  <r>
    <d v="2023-03-01T00:00:00"/>
    <x v="2"/>
    <x v="2"/>
    <s v="Mar-2023"/>
    <x v="0"/>
    <x v="3"/>
    <x v="1"/>
    <x v="0"/>
    <s v="CC-400"/>
    <n v="20727.5"/>
    <n v="18171.240000000002"/>
    <n v="-2556.2599999999984"/>
    <n v="-0.12332698106380405"/>
    <s v="Underspend"/>
  </r>
  <r>
    <d v="2023-03-01T00:00:00"/>
    <x v="2"/>
    <x v="2"/>
    <s v="Mar-2023"/>
    <x v="0"/>
    <x v="3"/>
    <x v="1"/>
    <x v="1"/>
    <s v="CC-400"/>
    <n v="19755.810000000001"/>
    <n v="16995.86"/>
    <n v="-2759.9500000000007"/>
    <n v="-0.13970320629728675"/>
    <s v="Underspend"/>
  </r>
  <r>
    <d v="2023-03-01T00:00:00"/>
    <x v="2"/>
    <x v="2"/>
    <s v="Mar-2023"/>
    <x v="0"/>
    <x v="3"/>
    <x v="1"/>
    <x v="2"/>
    <s v="CC-400"/>
    <n v="20621.310000000001"/>
    <n v="22513.81"/>
    <n v="1892.5"/>
    <n v="9.1773994959583063E-2"/>
    <s v="Overspend"/>
  </r>
  <r>
    <d v="2023-03-01T00:00:00"/>
    <x v="2"/>
    <x v="2"/>
    <s v="Mar-2023"/>
    <x v="0"/>
    <x v="3"/>
    <x v="1"/>
    <x v="3"/>
    <s v="CC-400"/>
    <n v="21531.82"/>
    <n v="24696.02"/>
    <n v="3164.2000000000007"/>
    <n v="0.14695460021493775"/>
    <s v="Overspend"/>
  </r>
  <r>
    <d v="2023-03-01T00:00:00"/>
    <x v="2"/>
    <x v="2"/>
    <s v="Mar-2023"/>
    <x v="0"/>
    <x v="3"/>
    <x v="2"/>
    <x v="0"/>
    <s v="CC-400"/>
    <n v="11523.69"/>
    <n v="10480.67"/>
    <n v="-1043.0200000000004"/>
    <n v="-9.0510938770480664E-2"/>
    <s v="Underspend"/>
  </r>
  <r>
    <d v="2023-03-01T00:00:00"/>
    <x v="2"/>
    <x v="2"/>
    <s v="Mar-2023"/>
    <x v="0"/>
    <x v="3"/>
    <x v="2"/>
    <x v="1"/>
    <s v="CC-400"/>
    <n v="10995.86"/>
    <n v="11352"/>
    <n v="356.13999999999942"/>
    <n v="3.2388553510139216E-2"/>
    <s v="On Budget"/>
  </r>
  <r>
    <d v="2023-03-01T00:00:00"/>
    <x v="2"/>
    <x v="2"/>
    <s v="Mar-2023"/>
    <x v="0"/>
    <x v="3"/>
    <x v="2"/>
    <x v="2"/>
    <s v="CC-400"/>
    <n v="11104.26"/>
    <n v="9703.33"/>
    <n v="-1400.9300000000003"/>
    <n v="-0.1261614911754588"/>
    <s v="Underspend"/>
  </r>
  <r>
    <d v="2023-03-01T00:00:00"/>
    <x v="2"/>
    <x v="2"/>
    <s v="Mar-2023"/>
    <x v="0"/>
    <x v="3"/>
    <x v="2"/>
    <x v="3"/>
    <s v="CC-400"/>
    <n v="12308.18"/>
    <n v="11172.97"/>
    <n v="-1135.2100000000009"/>
    <n v="-9.2232157800747214E-2"/>
    <s v="Underspend"/>
  </r>
  <r>
    <d v="2023-03-01T00:00:00"/>
    <x v="2"/>
    <x v="2"/>
    <s v="Mar-2023"/>
    <x v="0"/>
    <x v="3"/>
    <x v="3"/>
    <x v="0"/>
    <s v="CC-400"/>
    <n v="12660.1"/>
    <n v="13091.77"/>
    <n v="431.67000000000007"/>
    <n v="3.4096887070402294E-2"/>
    <s v="On Budget"/>
  </r>
  <r>
    <d v="2023-03-01T00:00:00"/>
    <x v="2"/>
    <x v="2"/>
    <s v="Mar-2023"/>
    <x v="0"/>
    <x v="3"/>
    <x v="3"/>
    <x v="1"/>
    <s v="CC-400"/>
    <n v="11616.49"/>
    <n v="10197.23"/>
    <n v="-1419.2600000000002"/>
    <n v="-0.12217632004159606"/>
    <s v="Underspend"/>
  </r>
  <r>
    <d v="2023-03-01T00:00:00"/>
    <x v="2"/>
    <x v="2"/>
    <s v="Mar-2023"/>
    <x v="0"/>
    <x v="3"/>
    <x v="3"/>
    <x v="2"/>
    <s v="CC-400"/>
    <n v="11869.11"/>
    <n v="12813.54"/>
    <n v="944.43000000000029"/>
    <n v="7.9570414293910846E-2"/>
    <s v="Overspend"/>
  </r>
  <r>
    <d v="2023-03-01T00:00:00"/>
    <x v="2"/>
    <x v="2"/>
    <s v="Mar-2023"/>
    <x v="0"/>
    <x v="3"/>
    <x v="3"/>
    <x v="3"/>
    <s v="CC-400"/>
    <n v="12486.56"/>
    <n v="13048.23"/>
    <n v="561.67000000000007"/>
    <n v="4.49819646083469E-2"/>
    <s v="On Budget"/>
  </r>
  <r>
    <d v="2023-03-01T00:00:00"/>
    <x v="2"/>
    <x v="2"/>
    <s v="Mar-2023"/>
    <x v="0"/>
    <x v="3"/>
    <x v="4"/>
    <x v="0"/>
    <s v="CC-400"/>
    <n v="8035.1"/>
    <n v="7579.17"/>
    <n v="-455.93000000000029"/>
    <n v="-5.6742293188634899E-2"/>
    <s v="Underspend"/>
  </r>
  <r>
    <d v="2023-03-01T00:00:00"/>
    <x v="2"/>
    <x v="2"/>
    <s v="Mar-2023"/>
    <x v="0"/>
    <x v="3"/>
    <x v="4"/>
    <x v="1"/>
    <s v="CC-400"/>
    <n v="7501.33"/>
    <n v="7428.41"/>
    <n v="-72.920000000000073"/>
    <n v="-9.720942819473357E-3"/>
    <s v="On Budget"/>
  </r>
  <r>
    <d v="2023-03-01T00:00:00"/>
    <x v="2"/>
    <x v="2"/>
    <s v="Mar-2023"/>
    <x v="0"/>
    <x v="3"/>
    <x v="4"/>
    <x v="2"/>
    <s v="CC-400"/>
    <n v="7733.26"/>
    <n v="8095.2"/>
    <n v="361.9399999999996"/>
    <n v="4.6803030028732977E-2"/>
    <s v="On Budget"/>
  </r>
  <r>
    <d v="2023-03-01T00:00:00"/>
    <x v="2"/>
    <x v="2"/>
    <s v="Mar-2023"/>
    <x v="0"/>
    <x v="3"/>
    <x v="4"/>
    <x v="3"/>
    <s v="CC-400"/>
    <n v="8400.7900000000009"/>
    <n v="8354.23"/>
    <n v="-46.56000000000131"/>
    <n v="-5.5423358993620013E-3"/>
    <s v="On Budget"/>
  </r>
  <r>
    <d v="2023-03-01T00:00:00"/>
    <x v="2"/>
    <x v="2"/>
    <s v="Mar-2023"/>
    <x v="0"/>
    <x v="4"/>
    <x v="0"/>
    <x v="0"/>
    <s v="CC-500"/>
    <n v="42721.93"/>
    <n v="44004.42"/>
    <n v="1282.489999999998"/>
    <n v="3.001947711631937E-2"/>
    <s v="On Budget"/>
  </r>
  <r>
    <d v="2023-03-01T00:00:00"/>
    <x v="2"/>
    <x v="2"/>
    <s v="Mar-2023"/>
    <x v="0"/>
    <x v="4"/>
    <x v="0"/>
    <x v="1"/>
    <s v="CC-500"/>
    <n v="41641.68"/>
    <n v="40262.67"/>
    <n v="-1379.010000000002"/>
    <n v="-3.3116099062285721E-2"/>
    <s v="On Budget"/>
  </r>
  <r>
    <d v="2023-03-01T00:00:00"/>
    <x v="2"/>
    <x v="2"/>
    <s v="Mar-2023"/>
    <x v="0"/>
    <x v="4"/>
    <x v="0"/>
    <x v="2"/>
    <s v="CC-500"/>
    <n v="42458.3"/>
    <n v="42930.33"/>
    <n v="472.02999999999884"/>
    <n v="1.11174964612337E-2"/>
    <s v="On Budget"/>
  </r>
  <r>
    <d v="2023-03-01T00:00:00"/>
    <x v="2"/>
    <x v="2"/>
    <s v="Mar-2023"/>
    <x v="0"/>
    <x v="4"/>
    <x v="0"/>
    <x v="3"/>
    <s v="CC-500"/>
    <n v="46984.46"/>
    <n v="45200.38"/>
    <n v="-1784.0800000000017"/>
    <n v="-3.7971703835693794E-2"/>
    <s v="On Budget"/>
  </r>
  <r>
    <d v="2023-03-01T00:00:00"/>
    <x v="2"/>
    <x v="2"/>
    <s v="Mar-2023"/>
    <x v="0"/>
    <x v="4"/>
    <x v="1"/>
    <x v="0"/>
    <s v="CC-500"/>
    <n v="17126.55"/>
    <n v="17730.5"/>
    <n v="603.95000000000073"/>
    <n v="3.5263961510053149E-2"/>
    <s v="On Budget"/>
  </r>
  <r>
    <d v="2023-03-01T00:00:00"/>
    <x v="2"/>
    <x v="2"/>
    <s v="Mar-2023"/>
    <x v="0"/>
    <x v="4"/>
    <x v="1"/>
    <x v="1"/>
    <s v="CC-500"/>
    <n v="15922.68"/>
    <n v="16417.77"/>
    <n v="495.09000000000015"/>
    <n v="3.1093383777102857E-2"/>
    <s v="On Budget"/>
  </r>
  <r>
    <d v="2023-03-01T00:00:00"/>
    <x v="2"/>
    <x v="2"/>
    <s v="Mar-2023"/>
    <x v="0"/>
    <x v="4"/>
    <x v="1"/>
    <x v="2"/>
    <s v="CC-500"/>
    <n v="16159.01"/>
    <n v="16264.76"/>
    <n v="105.75"/>
    <n v="6.5443365651732376E-3"/>
    <s v="On Budget"/>
  </r>
  <r>
    <d v="2023-03-01T00:00:00"/>
    <x v="2"/>
    <x v="2"/>
    <s v="Mar-2023"/>
    <x v="0"/>
    <x v="4"/>
    <x v="1"/>
    <x v="3"/>
    <s v="CC-500"/>
    <n v="17658.060000000001"/>
    <n v="18183.11"/>
    <n v="525.04999999999927"/>
    <n v="2.973429697260057E-2"/>
    <s v="On Budget"/>
  </r>
  <r>
    <d v="2023-03-01T00:00:00"/>
    <x v="2"/>
    <x v="2"/>
    <s v="Mar-2023"/>
    <x v="0"/>
    <x v="4"/>
    <x v="2"/>
    <x v="0"/>
    <s v="CC-500"/>
    <n v="6905.13"/>
    <n v="7236.6"/>
    <n v="331.47000000000025"/>
    <n v="4.8003440920011679E-2"/>
    <s v="On Budget"/>
  </r>
  <r>
    <d v="2023-03-01T00:00:00"/>
    <x v="2"/>
    <x v="2"/>
    <s v="Mar-2023"/>
    <x v="0"/>
    <x v="4"/>
    <x v="2"/>
    <x v="1"/>
    <s v="CC-500"/>
    <n v="6849.94"/>
    <n v="6536.97"/>
    <n v="-312.96999999999935"/>
    <n v="-4.56894512944638E-2"/>
    <s v="On Budget"/>
  </r>
  <r>
    <d v="2023-03-01T00:00:00"/>
    <x v="2"/>
    <x v="2"/>
    <s v="Mar-2023"/>
    <x v="0"/>
    <x v="4"/>
    <x v="2"/>
    <x v="2"/>
    <s v="CC-500"/>
    <n v="6967.28"/>
    <n v="6698.63"/>
    <n v="-268.64999999999964"/>
    <n v="-3.8558806306047647E-2"/>
    <s v="On Budget"/>
  </r>
  <r>
    <d v="2023-03-01T00:00:00"/>
    <x v="2"/>
    <x v="2"/>
    <s v="Mar-2023"/>
    <x v="0"/>
    <x v="4"/>
    <x v="2"/>
    <x v="3"/>
    <s v="CC-500"/>
    <n v="7293.44"/>
    <n v="7511.17"/>
    <n v="217.73000000000047"/>
    <n v="2.9852854071604137E-2"/>
    <s v="On Budget"/>
  </r>
  <r>
    <d v="2023-03-01T00:00:00"/>
    <x v="2"/>
    <x v="2"/>
    <s v="Mar-2023"/>
    <x v="0"/>
    <x v="4"/>
    <x v="3"/>
    <x v="0"/>
    <s v="CC-500"/>
    <n v="7288.51"/>
    <n v="7172.25"/>
    <n v="-116.26000000000022"/>
    <n v="-1.5951134045230124E-2"/>
    <s v="On Budget"/>
  </r>
  <r>
    <d v="2023-03-01T00:00:00"/>
    <x v="2"/>
    <x v="2"/>
    <s v="Mar-2023"/>
    <x v="0"/>
    <x v="4"/>
    <x v="3"/>
    <x v="1"/>
    <s v="CC-500"/>
    <n v="7012.73"/>
    <n v="6963.16"/>
    <n v="-49.569999999999709"/>
    <n v="-7.0685738649569731E-3"/>
    <s v="On Budget"/>
  </r>
  <r>
    <d v="2023-03-01T00:00:00"/>
    <x v="2"/>
    <x v="2"/>
    <s v="Mar-2023"/>
    <x v="0"/>
    <x v="4"/>
    <x v="3"/>
    <x v="2"/>
    <s v="CC-500"/>
    <n v="7307.27"/>
    <n v="7239.45"/>
    <n v="-67.820000000000618"/>
    <n v="-9.2811679327574614E-3"/>
    <s v="On Budget"/>
  </r>
  <r>
    <d v="2023-03-01T00:00:00"/>
    <x v="2"/>
    <x v="2"/>
    <s v="Mar-2023"/>
    <x v="0"/>
    <x v="4"/>
    <x v="3"/>
    <x v="3"/>
    <s v="CC-500"/>
    <n v="7563.59"/>
    <n v="7428.28"/>
    <n v="-135.3100000000004"/>
    <n v="-1.7889652929362961E-2"/>
    <s v="On Budget"/>
  </r>
  <r>
    <d v="2023-03-01T00:00:00"/>
    <x v="2"/>
    <x v="2"/>
    <s v="Mar-2023"/>
    <x v="0"/>
    <x v="4"/>
    <x v="4"/>
    <x v="0"/>
    <s v="CC-500"/>
    <n v="6159.87"/>
    <n v="6253.42"/>
    <n v="93.550000000000182"/>
    <n v="1.5187008816744538E-2"/>
    <s v="On Budget"/>
  </r>
  <r>
    <d v="2023-03-01T00:00:00"/>
    <x v="2"/>
    <x v="2"/>
    <s v="Mar-2023"/>
    <x v="0"/>
    <x v="4"/>
    <x v="4"/>
    <x v="1"/>
    <s v="CC-500"/>
    <n v="6145.11"/>
    <n v="5939.52"/>
    <n v="-205.58999999999924"/>
    <n v="-3.3455869789149301E-2"/>
    <s v="On Budget"/>
  </r>
  <r>
    <d v="2023-03-01T00:00:00"/>
    <x v="2"/>
    <x v="2"/>
    <s v="Mar-2023"/>
    <x v="0"/>
    <x v="4"/>
    <x v="4"/>
    <x v="2"/>
    <s v="CC-500"/>
    <n v="6196.77"/>
    <n v="6404.34"/>
    <n v="207.56999999999971"/>
    <n v="3.3496482845095057E-2"/>
    <s v="On Budget"/>
  </r>
  <r>
    <d v="2023-03-01T00:00:00"/>
    <x v="2"/>
    <x v="2"/>
    <s v="Mar-2023"/>
    <x v="0"/>
    <x v="4"/>
    <x v="4"/>
    <x v="3"/>
    <s v="CC-500"/>
    <n v="6414.45"/>
    <n v="6215.62"/>
    <n v="-198.82999999999993"/>
    <n v="-3.0997201630693191E-2"/>
    <s v="On Budget"/>
  </r>
  <r>
    <d v="2023-04-01T00:00:00"/>
    <x v="3"/>
    <x v="3"/>
    <s v="Apr-2023"/>
    <x v="0"/>
    <x v="0"/>
    <x v="0"/>
    <x v="0"/>
    <s v="CC-100"/>
    <n v="49326.57"/>
    <n v="55033.74"/>
    <n v="5707.1699999999983"/>
    <n v="0.11570174046158081"/>
    <s v="Overspend"/>
  </r>
  <r>
    <d v="2023-04-01T00:00:00"/>
    <x v="3"/>
    <x v="3"/>
    <s v="Apr-2023"/>
    <x v="0"/>
    <x v="0"/>
    <x v="0"/>
    <x v="1"/>
    <s v="CC-100"/>
    <n v="46968.97"/>
    <n v="56343.1"/>
    <n v="9374.1299999999974"/>
    <n v="0.1995813406170073"/>
    <s v="Overspend"/>
  </r>
  <r>
    <d v="2023-04-01T00:00:00"/>
    <x v="3"/>
    <x v="3"/>
    <s v="Apr-2023"/>
    <x v="0"/>
    <x v="0"/>
    <x v="0"/>
    <x v="2"/>
    <s v="CC-100"/>
    <n v="47967.86"/>
    <n v="53031.73"/>
    <n v="5063.8700000000026"/>
    <n v="0.10556797822542016"/>
    <s v="Overspend"/>
  </r>
  <r>
    <d v="2023-04-01T00:00:00"/>
    <x v="3"/>
    <x v="3"/>
    <s v="Apr-2023"/>
    <x v="0"/>
    <x v="0"/>
    <x v="0"/>
    <x v="3"/>
    <s v="CC-100"/>
    <n v="50707.28"/>
    <n v="60105.58"/>
    <n v="9398.3000000000029"/>
    <n v="0.18534419515304318"/>
    <s v="Overspend"/>
  </r>
  <r>
    <d v="2023-04-01T00:00:00"/>
    <x v="3"/>
    <x v="3"/>
    <s v="Apr-2023"/>
    <x v="0"/>
    <x v="0"/>
    <x v="1"/>
    <x v="0"/>
    <s v="CC-100"/>
    <n v="19280.45"/>
    <n v="23329.71"/>
    <n v="4049.2599999999984"/>
    <n v="0.21001895702641787"/>
    <s v="Overspend"/>
  </r>
  <r>
    <d v="2023-04-01T00:00:00"/>
    <x v="3"/>
    <x v="3"/>
    <s v="Apr-2023"/>
    <x v="0"/>
    <x v="0"/>
    <x v="1"/>
    <x v="1"/>
    <s v="CC-100"/>
    <n v="18399.7"/>
    <n v="20224.240000000002"/>
    <n v="1824.5400000000009"/>
    <n v="9.9161399370641959E-2"/>
    <s v="Overspend"/>
  </r>
  <r>
    <d v="2023-04-01T00:00:00"/>
    <x v="3"/>
    <x v="3"/>
    <s v="Apr-2023"/>
    <x v="0"/>
    <x v="0"/>
    <x v="1"/>
    <x v="2"/>
    <s v="CC-100"/>
    <n v="18063.96"/>
    <n v="20700.89"/>
    <n v="2636.9300000000003"/>
    <n v="0.14597740473296"/>
    <s v="Overspend"/>
  </r>
  <r>
    <d v="2023-04-01T00:00:00"/>
    <x v="3"/>
    <x v="3"/>
    <s v="Apr-2023"/>
    <x v="0"/>
    <x v="0"/>
    <x v="1"/>
    <x v="3"/>
    <s v="CC-100"/>
    <n v="19963.669999999998"/>
    <n v="23210.959999999999"/>
    <n v="3247.2900000000009"/>
    <n v="0.16265997183884531"/>
    <s v="Overspend"/>
  </r>
  <r>
    <d v="2023-04-01T00:00:00"/>
    <x v="3"/>
    <x v="3"/>
    <s v="Apr-2023"/>
    <x v="0"/>
    <x v="0"/>
    <x v="2"/>
    <x v="0"/>
    <s v="CC-100"/>
    <n v="10377.39"/>
    <n v="11598.6"/>
    <n v="1221.2100000000009"/>
    <n v="0.117679879044731"/>
    <s v="Overspend"/>
  </r>
  <r>
    <d v="2023-04-01T00:00:00"/>
    <x v="3"/>
    <x v="3"/>
    <s v="Apr-2023"/>
    <x v="0"/>
    <x v="0"/>
    <x v="2"/>
    <x v="1"/>
    <s v="CC-100"/>
    <n v="10288.73"/>
    <n v="11974.75"/>
    <n v="1686.0200000000004"/>
    <n v="0.16387056517179482"/>
    <s v="Overspend"/>
  </r>
  <r>
    <d v="2023-04-01T00:00:00"/>
    <x v="3"/>
    <x v="3"/>
    <s v="Apr-2023"/>
    <x v="0"/>
    <x v="0"/>
    <x v="2"/>
    <x v="2"/>
    <s v="CC-100"/>
    <n v="10155.77"/>
    <n v="11526.41"/>
    <n v="1370.6399999999994"/>
    <n v="0.13496170157457282"/>
    <s v="Overspend"/>
  </r>
  <r>
    <d v="2023-04-01T00:00:00"/>
    <x v="3"/>
    <x v="3"/>
    <s v="Apr-2023"/>
    <x v="0"/>
    <x v="0"/>
    <x v="2"/>
    <x v="3"/>
    <s v="CC-100"/>
    <n v="11172.94"/>
    <n v="13076.05"/>
    <n v="1903.1099999999988"/>
    <n v="0.17033207016237434"/>
    <s v="Overspend"/>
  </r>
  <r>
    <d v="2023-04-01T00:00:00"/>
    <x v="3"/>
    <x v="3"/>
    <s v="Apr-2023"/>
    <x v="0"/>
    <x v="0"/>
    <x v="3"/>
    <x v="0"/>
    <s v="CC-100"/>
    <n v="8454.91"/>
    <n v="9476.9"/>
    <n v="1021.9899999999998"/>
    <n v="0.12087532569832202"/>
    <s v="Overspend"/>
  </r>
  <r>
    <d v="2023-04-01T00:00:00"/>
    <x v="3"/>
    <x v="3"/>
    <s v="Apr-2023"/>
    <x v="0"/>
    <x v="0"/>
    <x v="3"/>
    <x v="1"/>
    <s v="CC-100"/>
    <n v="7648.97"/>
    <n v="8675.92"/>
    <n v="1026.9499999999998"/>
    <n v="0.1342599068894243"/>
    <s v="Overspend"/>
  </r>
  <r>
    <d v="2023-04-01T00:00:00"/>
    <x v="3"/>
    <x v="3"/>
    <s v="Apr-2023"/>
    <x v="0"/>
    <x v="0"/>
    <x v="3"/>
    <x v="2"/>
    <s v="CC-100"/>
    <n v="7843.02"/>
    <n v="8942.7099999999991"/>
    <n v="1099.6899999999987"/>
    <n v="0.14021257117793892"/>
    <s v="Overspend"/>
  </r>
  <r>
    <d v="2023-04-01T00:00:00"/>
    <x v="3"/>
    <x v="3"/>
    <s v="Apr-2023"/>
    <x v="0"/>
    <x v="0"/>
    <x v="3"/>
    <x v="3"/>
    <s v="CC-100"/>
    <n v="8425.7900000000009"/>
    <n v="9936.14"/>
    <n v="1510.3499999999985"/>
    <n v="0.17925322135965865"/>
    <s v="Overspend"/>
  </r>
  <r>
    <d v="2023-04-01T00:00:00"/>
    <x v="3"/>
    <x v="3"/>
    <s v="Apr-2023"/>
    <x v="0"/>
    <x v="0"/>
    <x v="4"/>
    <x v="0"/>
    <s v="CC-100"/>
    <n v="8662.44"/>
    <n v="9828.68"/>
    <n v="1166.2399999999998"/>
    <n v="0.13463181274560052"/>
    <s v="Overspend"/>
  </r>
  <r>
    <d v="2023-04-01T00:00:00"/>
    <x v="3"/>
    <x v="3"/>
    <s v="Apr-2023"/>
    <x v="0"/>
    <x v="0"/>
    <x v="4"/>
    <x v="1"/>
    <s v="CC-100"/>
    <n v="7939.09"/>
    <n v="8866.86"/>
    <n v="927.77000000000044"/>
    <n v="0.11686100044211621"/>
    <s v="Overspend"/>
  </r>
  <r>
    <d v="2023-04-01T00:00:00"/>
    <x v="3"/>
    <x v="3"/>
    <s v="Apr-2023"/>
    <x v="0"/>
    <x v="0"/>
    <x v="4"/>
    <x v="2"/>
    <s v="CC-100"/>
    <n v="8442.44"/>
    <n v="10092.040000000001"/>
    <n v="1649.6000000000004"/>
    <n v="0.19539374872667148"/>
    <s v="Overspend"/>
  </r>
  <r>
    <d v="2023-04-01T00:00:00"/>
    <x v="3"/>
    <x v="3"/>
    <s v="Apr-2023"/>
    <x v="0"/>
    <x v="0"/>
    <x v="4"/>
    <x v="3"/>
    <s v="CC-100"/>
    <n v="8810.3799999999992"/>
    <n v="10129.68"/>
    <n v="1319.3000000000011"/>
    <n v="0.14974382489745064"/>
    <s v="Overspend"/>
  </r>
  <r>
    <d v="2023-04-01T00:00:00"/>
    <x v="3"/>
    <x v="3"/>
    <s v="Apr-2023"/>
    <x v="0"/>
    <x v="1"/>
    <x v="0"/>
    <x v="0"/>
    <s v="CC-200"/>
    <n v="52181.98"/>
    <n v="45153.48"/>
    <n v="-7028.5"/>
    <n v="-0.13469209102452609"/>
    <s v="Underspend"/>
  </r>
  <r>
    <d v="2023-04-01T00:00:00"/>
    <x v="3"/>
    <x v="3"/>
    <s v="Apr-2023"/>
    <x v="0"/>
    <x v="1"/>
    <x v="0"/>
    <x v="1"/>
    <s v="CC-200"/>
    <n v="48427.5"/>
    <n v="43453.51"/>
    <n v="-4973.989999999998"/>
    <n v="-0.10271003045790095"/>
    <s v="Underspend"/>
  </r>
  <r>
    <d v="2023-04-01T00:00:00"/>
    <x v="3"/>
    <x v="3"/>
    <s v="Apr-2023"/>
    <x v="0"/>
    <x v="1"/>
    <x v="0"/>
    <x v="2"/>
    <s v="CC-200"/>
    <n v="51925.8"/>
    <n v="44610.12"/>
    <n v="-7315.68"/>
    <n v="-0.1408871890274199"/>
    <s v="Underspend"/>
  </r>
  <r>
    <d v="2023-04-01T00:00:00"/>
    <x v="3"/>
    <x v="3"/>
    <s v="Apr-2023"/>
    <x v="0"/>
    <x v="1"/>
    <x v="0"/>
    <x v="3"/>
    <s v="CC-200"/>
    <n v="53141.21"/>
    <n v="45411.88"/>
    <n v="-7729.3300000000017"/>
    <n v="-0.14544888985403234"/>
    <s v="Underspend"/>
  </r>
  <r>
    <d v="2023-04-01T00:00:00"/>
    <x v="3"/>
    <x v="3"/>
    <s v="Apr-2023"/>
    <x v="0"/>
    <x v="1"/>
    <x v="1"/>
    <x v="0"/>
    <s v="CC-200"/>
    <n v="28103.66"/>
    <n v="25086.59"/>
    <n v="-3017.0699999999997"/>
    <n v="-0.10735505624534313"/>
    <s v="Underspend"/>
  </r>
  <r>
    <d v="2023-04-01T00:00:00"/>
    <x v="3"/>
    <x v="3"/>
    <s v="Apr-2023"/>
    <x v="0"/>
    <x v="1"/>
    <x v="1"/>
    <x v="1"/>
    <s v="CC-200"/>
    <n v="27542.59"/>
    <n v="24003.7"/>
    <n v="-3538.8899999999994"/>
    <n v="-0.12848791635064094"/>
    <s v="Underspend"/>
  </r>
  <r>
    <d v="2023-04-01T00:00:00"/>
    <x v="3"/>
    <x v="3"/>
    <s v="Apr-2023"/>
    <x v="0"/>
    <x v="1"/>
    <x v="1"/>
    <x v="2"/>
    <s v="CC-200"/>
    <n v="27976.94"/>
    <n v="24277.26"/>
    <n v="-3699.6800000000003"/>
    <n v="-0.13224033793545686"/>
    <s v="Underspend"/>
  </r>
  <r>
    <d v="2023-04-01T00:00:00"/>
    <x v="3"/>
    <x v="3"/>
    <s v="Apr-2023"/>
    <x v="0"/>
    <x v="1"/>
    <x v="1"/>
    <x v="3"/>
    <s v="CC-200"/>
    <n v="30448.79"/>
    <n v="26993.66"/>
    <n v="-3455.130000000001"/>
    <n v="-0.11347347464382003"/>
    <s v="Underspend"/>
  </r>
  <r>
    <d v="2023-04-01T00:00:00"/>
    <x v="3"/>
    <x v="3"/>
    <s v="Apr-2023"/>
    <x v="0"/>
    <x v="1"/>
    <x v="2"/>
    <x v="0"/>
    <s v="CC-200"/>
    <n v="10924.99"/>
    <n v="9758.1"/>
    <n v="-1166.8899999999994"/>
    <n v="-0.10680925108398263"/>
    <s v="Underspend"/>
  </r>
  <r>
    <d v="2023-04-01T00:00:00"/>
    <x v="3"/>
    <x v="3"/>
    <s v="Apr-2023"/>
    <x v="0"/>
    <x v="1"/>
    <x v="2"/>
    <x v="1"/>
    <s v="CC-200"/>
    <n v="10329.19"/>
    <n v="9009.4"/>
    <n v="-1319.7900000000009"/>
    <n v="-0.12777284569264394"/>
    <s v="Underspend"/>
  </r>
  <r>
    <d v="2023-04-01T00:00:00"/>
    <x v="3"/>
    <x v="3"/>
    <s v="Apr-2023"/>
    <x v="0"/>
    <x v="1"/>
    <x v="2"/>
    <x v="2"/>
    <s v="CC-200"/>
    <n v="10912.15"/>
    <n v="9741.8700000000008"/>
    <n v="-1170.2799999999988"/>
    <n v="-0.10724559321490255"/>
    <s v="Underspend"/>
  </r>
  <r>
    <d v="2023-04-01T00:00:00"/>
    <x v="3"/>
    <x v="3"/>
    <s v="Apr-2023"/>
    <x v="0"/>
    <x v="1"/>
    <x v="2"/>
    <x v="3"/>
    <s v="CC-200"/>
    <n v="11390.35"/>
    <n v="10195.25"/>
    <n v="-1195.1000000000004"/>
    <n v="-0.10492214901210238"/>
    <s v="Underspend"/>
  </r>
  <r>
    <d v="2023-04-01T00:00:00"/>
    <x v="3"/>
    <x v="3"/>
    <s v="Apr-2023"/>
    <x v="0"/>
    <x v="1"/>
    <x v="3"/>
    <x v="0"/>
    <s v="CC-200"/>
    <n v="8750.34"/>
    <n v="7512.2"/>
    <n v="-1238.1400000000003"/>
    <n v="-0.14149621614702976"/>
    <s v="Underspend"/>
  </r>
  <r>
    <d v="2023-04-01T00:00:00"/>
    <x v="3"/>
    <x v="3"/>
    <s v="Apr-2023"/>
    <x v="0"/>
    <x v="1"/>
    <x v="3"/>
    <x v="1"/>
    <s v="CC-200"/>
    <n v="8148.15"/>
    <n v="6945.41"/>
    <n v="-1202.7399999999998"/>
    <n v="-0.1476089664525076"/>
    <s v="Underspend"/>
  </r>
  <r>
    <d v="2023-04-01T00:00:00"/>
    <x v="3"/>
    <x v="3"/>
    <s v="Apr-2023"/>
    <x v="0"/>
    <x v="1"/>
    <x v="3"/>
    <x v="2"/>
    <s v="CC-200"/>
    <n v="8237.67"/>
    <n v="7083.45"/>
    <n v="-1154.2200000000003"/>
    <n v="-0.14011486257643244"/>
    <s v="Underspend"/>
  </r>
  <r>
    <d v="2023-04-01T00:00:00"/>
    <x v="3"/>
    <x v="3"/>
    <s v="Apr-2023"/>
    <x v="0"/>
    <x v="1"/>
    <x v="3"/>
    <x v="3"/>
    <s v="CC-200"/>
    <n v="8957.0499999999993"/>
    <n v="7997.32"/>
    <n v="-959.72999999999956"/>
    <n v="-0.1071480007368497"/>
    <s v="Underspend"/>
  </r>
  <r>
    <d v="2023-04-01T00:00:00"/>
    <x v="3"/>
    <x v="3"/>
    <s v="Apr-2023"/>
    <x v="0"/>
    <x v="1"/>
    <x v="4"/>
    <x v="0"/>
    <s v="CC-200"/>
    <n v="7539.19"/>
    <n v="6603.18"/>
    <n v="-936.00999999999931"/>
    <n v="-0.12415259464212991"/>
    <s v="Underspend"/>
  </r>
  <r>
    <d v="2023-04-01T00:00:00"/>
    <x v="3"/>
    <x v="3"/>
    <s v="Apr-2023"/>
    <x v="0"/>
    <x v="1"/>
    <x v="4"/>
    <x v="1"/>
    <s v="CC-200"/>
    <n v="7119.5"/>
    <n v="6275.86"/>
    <n v="-843.64000000000033"/>
    <n v="-0.11849708546948526"/>
    <s v="Underspend"/>
  </r>
  <r>
    <d v="2023-04-01T00:00:00"/>
    <x v="3"/>
    <x v="3"/>
    <s v="Apr-2023"/>
    <x v="0"/>
    <x v="1"/>
    <x v="4"/>
    <x v="2"/>
    <s v="CC-200"/>
    <n v="7153.45"/>
    <n v="6165.71"/>
    <n v="-987.73999999999978"/>
    <n v="-0.13807882909644995"/>
    <s v="Underspend"/>
  </r>
  <r>
    <d v="2023-04-01T00:00:00"/>
    <x v="3"/>
    <x v="3"/>
    <s v="Apr-2023"/>
    <x v="0"/>
    <x v="1"/>
    <x v="4"/>
    <x v="3"/>
    <s v="CC-200"/>
    <n v="7887.53"/>
    <n v="6713.51"/>
    <n v="-1174.0199999999995"/>
    <n v="-0.14884507570811137"/>
    <s v="Underspend"/>
  </r>
  <r>
    <d v="2023-04-01T00:00:00"/>
    <x v="3"/>
    <x v="3"/>
    <s v="Apr-2023"/>
    <x v="0"/>
    <x v="2"/>
    <x v="0"/>
    <x v="0"/>
    <s v="CC-300"/>
    <n v="46537.31"/>
    <n v="47698.91"/>
    <n v="1161.6000000000058"/>
    <n v="2.4960617620571664E-2"/>
    <s v="On Budget"/>
  </r>
  <r>
    <d v="2023-04-01T00:00:00"/>
    <x v="3"/>
    <x v="3"/>
    <s v="Apr-2023"/>
    <x v="0"/>
    <x v="2"/>
    <x v="0"/>
    <x v="1"/>
    <s v="CC-300"/>
    <n v="43341.03"/>
    <n v="43584.23"/>
    <n v="243.20000000000437"/>
    <n v="5.6113110371397348E-3"/>
    <s v="On Budget"/>
  </r>
  <r>
    <d v="2023-04-01T00:00:00"/>
    <x v="3"/>
    <x v="3"/>
    <s v="Apr-2023"/>
    <x v="0"/>
    <x v="2"/>
    <x v="0"/>
    <x v="2"/>
    <s v="CC-300"/>
    <n v="45327.65"/>
    <n v="45178.62"/>
    <n v="-149.02999999999884"/>
    <n v="-3.2878386591848204E-3"/>
    <s v="On Budget"/>
  </r>
  <r>
    <d v="2023-04-01T00:00:00"/>
    <x v="3"/>
    <x v="3"/>
    <s v="Apr-2023"/>
    <x v="0"/>
    <x v="2"/>
    <x v="0"/>
    <x v="3"/>
    <s v="CC-300"/>
    <n v="46957.8"/>
    <n v="47339.15"/>
    <n v="381.34999999999854"/>
    <n v="8.1211215176179141E-3"/>
    <s v="On Budget"/>
  </r>
  <r>
    <d v="2023-04-01T00:00:00"/>
    <x v="3"/>
    <x v="3"/>
    <s v="Apr-2023"/>
    <x v="0"/>
    <x v="2"/>
    <x v="1"/>
    <x v="0"/>
    <s v="CC-300"/>
    <n v="15473.12"/>
    <n v="15825.47"/>
    <n v="352.34999999999854"/>
    <n v="2.2771748684169615E-2"/>
    <s v="On Budget"/>
  </r>
  <r>
    <d v="2023-04-01T00:00:00"/>
    <x v="3"/>
    <x v="3"/>
    <s v="Apr-2023"/>
    <x v="0"/>
    <x v="2"/>
    <x v="1"/>
    <x v="1"/>
    <s v="CC-300"/>
    <n v="14843.95"/>
    <n v="14676.54"/>
    <n v="-167.40999999999985"/>
    <n v="-1.127799541227233E-2"/>
    <s v="On Budget"/>
  </r>
  <r>
    <d v="2023-04-01T00:00:00"/>
    <x v="3"/>
    <x v="3"/>
    <s v="Apr-2023"/>
    <x v="0"/>
    <x v="2"/>
    <x v="1"/>
    <x v="2"/>
    <s v="CC-300"/>
    <n v="14960.39"/>
    <n v="14505.09"/>
    <n v="-455.29999999999927"/>
    <n v="-3.0433698586734656E-2"/>
    <s v="On Budget"/>
  </r>
  <r>
    <d v="2023-04-01T00:00:00"/>
    <x v="3"/>
    <x v="3"/>
    <s v="Apr-2023"/>
    <x v="0"/>
    <x v="2"/>
    <x v="1"/>
    <x v="3"/>
    <s v="CC-300"/>
    <n v="16226.86"/>
    <n v="16431.64"/>
    <n v="204.77999999999884"/>
    <n v="1.2619816772930736E-2"/>
    <s v="On Budget"/>
  </r>
  <r>
    <d v="2023-04-01T00:00:00"/>
    <x v="3"/>
    <x v="3"/>
    <s v="Apr-2023"/>
    <x v="0"/>
    <x v="2"/>
    <x v="2"/>
    <x v="0"/>
    <s v="CC-300"/>
    <n v="8448.32"/>
    <n v="8309.8700000000008"/>
    <n v="-138.44999999999891"/>
    <n v="-1.638787356539512E-2"/>
    <s v="On Budget"/>
  </r>
  <r>
    <d v="2023-04-01T00:00:00"/>
    <x v="3"/>
    <x v="3"/>
    <s v="Apr-2023"/>
    <x v="0"/>
    <x v="2"/>
    <x v="2"/>
    <x v="1"/>
    <s v="CC-300"/>
    <n v="8414.82"/>
    <n v="8553.34"/>
    <n v="138.52000000000044"/>
    <n v="1.6461433518482921E-2"/>
    <s v="On Budget"/>
  </r>
  <r>
    <d v="2023-04-01T00:00:00"/>
    <x v="3"/>
    <x v="3"/>
    <s v="Apr-2023"/>
    <x v="0"/>
    <x v="2"/>
    <x v="2"/>
    <x v="2"/>
    <s v="CC-300"/>
    <n v="8530.66"/>
    <n v="8303.44"/>
    <n v="-227.21999999999935"/>
    <n v="-2.6635688211697494E-2"/>
    <s v="On Budget"/>
  </r>
  <r>
    <d v="2023-04-01T00:00:00"/>
    <x v="3"/>
    <x v="3"/>
    <s v="Apr-2023"/>
    <x v="0"/>
    <x v="2"/>
    <x v="2"/>
    <x v="3"/>
    <s v="CC-300"/>
    <n v="8840.8700000000008"/>
    <n v="8756.5300000000007"/>
    <n v="-84.340000000000146"/>
    <n v="-9.5397851116462672E-3"/>
    <s v="On Budget"/>
  </r>
  <r>
    <d v="2023-04-01T00:00:00"/>
    <x v="3"/>
    <x v="3"/>
    <s v="Apr-2023"/>
    <x v="0"/>
    <x v="2"/>
    <x v="3"/>
    <x v="0"/>
    <s v="CC-300"/>
    <n v="6932.44"/>
    <n v="6814.44"/>
    <n v="-118"/>
    <n v="-1.7021423914235105E-2"/>
    <s v="On Budget"/>
  </r>
  <r>
    <d v="2023-04-01T00:00:00"/>
    <x v="3"/>
    <x v="3"/>
    <s v="Apr-2023"/>
    <x v="0"/>
    <x v="2"/>
    <x v="3"/>
    <x v="1"/>
    <s v="CC-300"/>
    <n v="6515.21"/>
    <n v="6706.99"/>
    <n v="191.77999999999975"/>
    <n v="2.9435735762930088E-2"/>
    <s v="On Budget"/>
  </r>
  <r>
    <d v="2023-04-01T00:00:00"/>
    <x v="3"/>
    <x v="3"/>
    <s v="Apr-2023"/>
    <x v="0"/>
    <x v="2"/>
    <x v="3"/>
    <x v="2"/>
    <s v="CC-300"/>
    <n v="6472.28"/>
    <n v="6497.6"/>
    <n v="25.320000000000618"/>
    <n v="3.9120680811090712E-3"/>
    <s v="On Budget"/>
  </r>
  <r>
    <d v="2023-04-01T00:00:00"/>
    <x v="3"/>
    <x v="3"/>
    <s v="Apr-2023"/>
    <x v="0"/>
    <x v="2"/>
    <x v="3"/>
    <x v="3"/>
    <s v="CC-300"/>
    <n v="7229.41"/>
    <n v="7212.54"/>
    <n v="-16.869999999999891"/>
    <n v="-2.3335237592002518E-3"/>
    <s v="On Budget"/>
  </r>
  <r>
    <d v="2023-04-01T00:00:00"/>
    <x v="3"/>
    <x v="3"/>
    <s v="Apr-2023"/>
    <x v="0"/>
    <x v="2"/>
    <x v="4"/>
    <x v="0"/>
    <s v="CC-300"/>
    <n v="5633.41"/>
    <n v="5641.64"/>
    <n v="8.2300000000004729"/>
    <n v="1.4609268631256154E-3"/>
    <s v="On Budget"/>
  </r>
  <r>
    <d v="2023-04-01T00:00:00"/>
    <x v="3"/>
    <x v="3"/>
    <s v="Apr-2023"/>
    <x v="0"/>
    <x v="2"/>
    <x v="4"/>
    <x v="1"/>
    <s v="CC-300"/>
    <n v="5554.28"/>
    <n v="5583.86"/>
    <n v="29.579999999999927"/>
    <n v="5.3256227629863689E-3"/>
    <s v="On Budget"/>
  </r>
  <r>
    <d v="2023-04-01T00:00:00"/>
    <x v="3"/>
    <x v="3"/>
    <s v="Apr-2023"/>
    <x v="0"/>
    <x v="2"/>
    <x v="4"/>
    <x v="2"/>
    <s v="CC-300"/>
    <n v="5749.98"/>
    <n v="5693.71"/>
    <n v="-56.269999999999527"/>
    <n v="-9.7861209952033804E-3"/>
    <s v="On Budget"/>
  </r>
  <r>
    <d v="2023-04-01T00:00:00"/>
    <x v="3"/>
    <x v="3"/>
    <s v="Apr-2023"/>
    <x v="0"/>
    <x v="2"/>
    <x v="4"/>
    <x v="3"/>
    <s v="CC-300"/>
    <n v="6020.85"/>
    <n v="6048.47"/>
    <n v="27.619999999999891"/>
    <n v="4.5873921456272603E-3"/>
    <s v="On Budget"/>
  </r>
  <r>
    <d v="2023-04-01T00:00:00"/>
    <x v="3"/>
    <x v="3"/>
    <s v="Apr-2023"/>
    <x v="0"/>
    <x v="3"/>
    <x v="0"/>
    <x v="0"/>
    <s v="CC-400"/>
    <n v="54309.97"/>
    <n v="63098.49"/>
    <n v="8788.5199999999968"/>
    <n v="0.16182148507907473"/>
    <s v="Overspend"/>
  </r>
  <r>
    <d v="2023-04-01T00:00:00"/>
    <x v="3"/>
    <x v="3"/>
    <s v="Apr-2023"/>
    <x v="0"/>
    <x v="3"/>
    <x v="0"/>
    <x v="1"/>
    <s v="CC-400"/>
    <n v="53560.03"/>
    <n v="63135.12"/>
    <n v="9575.0900000000038"/>
    <n v="0.17877305147140515"/>
    <s v="Overspend"/>
  </r>
  <r>
    <d v="2023-04-01T00:00:00"/>
    <x v="3"/>
    <x v="3"/>
    <s v="Apr-2023"/>
    <x v="0"/>
    <x v="3"/>
    <x v="0"/>
    <x v="2"/>
    <s v="CC-400"/>
    <n v="54400.38"/>
    <n v="60036.29"/>
    <n v="5635.9100000000035"/>
    <n v="0.10360056308430206"/>
    <s v="Overspend"/>
  </r>
  <r>
    <d v="2023-04-01T00:00:00"/>
    <x v="3"/>
    <x v="3"/>
    <s v="Apr-2023"/>
    <x v="0"/>
    <x v="3"/>
    <x v="0"/>
    <x v="3"/>
    <s v="CC-400"/>
    <n v="57148.79"/>
    <n v="53696.2"/>
    <n v="-3452.5900000000038"/>
    <n v="-6.0414052510998108E-2"/>
    <s v="Underspend"/>
  </r>
  <r>
    <d v="2023-04-01T00:00:00"/>
    <x v="3"/>
    <x v="3"/>
    <s v="Apr-2023"/>
    <x v="0"/>
    <x v="3"/>
    <x v="1"/>
    <x v="0"/>
    <s v="CC-400"/>
    <n v="20746.39"/>
    <n v="19587.060000000001"/>
    <n v="-1159.3299999999981"/>
    <n v="-5.5881047256896167E-2"/>
    <s v="Underspend"/>
  </r>
  <r>
    <d v="2023-04-01T00:00:00"/>
    <x v="3"/>
    <x v="3"/>
    <s v="Apr-2023"/>
    <x v="0"/>
    <x v="3"/>
    <x v="1"/>
    <x v="1"/>
    <s v="CC-400"/>
    <n v="19884.02"/>
    <n v="18609.71"/>
    <n v="-1274.3100000000013"/>
    <n v="-6.4087141332587735E-2"/>
    <s v="Underspend"/>
  </r>
  <r>
    <d v="2023-04-01T00:00:00"/>
    <x v="3"/>
    <x v="3"/>
    <s v="Apr-2023"/>
    <x v="0"/>
    <x v="3"/>
    <x v="1"/>
    <x v="2"/>
    <s v="CC-400"/>
    <n v="20841.34"/>
    <n v="18854.419999999998"/>
    <n v="-1986.9200000000019"/>
    <n v="-9.5335520652702843E-2"/>
    <s v="Underspend"/>
  </r>
  <r>
    <d v="2023-04-01T00:00:00"/>
    <x v="3"/>
    <x v="3"/>
    <s v="Apr-2023"/>
    <x v="0"/>
    <x v="3"/>
    <x v="1"/>
    <x v="3"/>
    <s v="CC-400"/>
    <n v="21613.38"/>
    <n v="24266.82"/>
    <n v="2653.4399999999987"/>
    <n v="0.12276839624343802"/>
    <s v="Overspend"/>
  </r>
  <r>
    <d v="2023-04-01T00:00:00"/>
    <x v="3"/>
    <x v="3"/>
    <s v="Apr-2023"/>
    <x v="0"/>
    <x v="3"/>
    <x v="2"/>
    <x v="0"/>
    <s v="CC-400"/>
    <n v="11562.77"/>
    <n v="12710.64"/>
    <n v="1147.869999999999"/>
    <n v="9.9272925086289779E-2"/>
    <s v="Overspend"/>
  </r>
  <r>
    <d v="2023-04-01T00:00:00"/>
    <x v="3"/>
    <x v="3"/>
    <s v="Apr-2023"/>
    <x v="0"/>
    <x v="3"/>
    <x v="2"/>
    <x v="1"/>
    <s v="CC-400"/>
    <n v="11171.32"/>
    <n v="13096.17"/>
    <n v="1924.8500000000004"/>
    <n v="0.17230282544945452"/>
    <s v="Overspend"/>
  </r>
  <r>
    <d v="2023-04-01T00:00:00"/>
    <x v="3"/>
    <x v="3"/>
    <s v="Apr-2023"/>
    <x v="0"/>
    <x v="3"/>
    <x v="2"/>
    <x v="2"/>
    <s v="CC-400"/>
    <n v="11236.75"/>
    <n v="11210.66"/>
    <n v="-26.090000000000146"/>
    <n v="-2.321845729414657E-3"/>
    <s v="On Budget"/>
  </r>
  <r>
    <d v="2023-04-01T00:00:00"/>
    <x v="3"/>
    <x v="3"/>
    <s v="Apr-2023"/>
    <x v="0"/>
    <x v="3"/>
    <x v="2"/>
    <x v="3"/>
    <s v="CC-400"/>
    <n v="12597.17"/>
    <n v="14660.07"/>
    <n v="2062.8999999999996"/>
    <n v="0.16375900301416901"/>
    <s v="Overspend"/>
  </r>
  <r>
    <d v="2023-04-01T00:00:00"/>
    <x v="3"/>
    <x v="3"/>
    <s v="Apr-2023"/>
    <x v="0"/>
    <x v="3"/>
    <x v="3"/>
    <x v="0"/>
    <s v="CC-400"/>
    <n v="12140.66"/>
    <n v="13451"/>
    <n v="1310.3400000000001"/>
    <n v="0.10792988190098397"/>
    <s v="Overspend"/>
  </r>
  <r>
    <d v="2023-04-01T00:00:00"/>
    <x v="3"/>
    <x v="3"/>
    <s v="Apr-2023"/>
    <x v="0"/>
    <x v="3"/>
    <x v="3"/>
    <x v="1"/>
    <s v="CC-400"/>
    <n v="12080.43"/>
    <n v="12853.34"/>
    <n v="772.90999999999985"/>
    <n v="6.3980338448217475E-2"/>
    <s v="Overspend"/>
  </r>
  <r>
    <d v="2023-04-01T00:00:00"/>
    <x v="3"/>
    <x v="3"/>
    <s v="Apr-2023"/>
    <x v="0"/>
    <x v="3"/>
    <x v="3"/>
    <x v="2"/>
    <s v="CC-400"/>
    <n v="12289.14"/>
    <n v="11244.95"/>
    <n v="-1044.1899999999987"/>
    <n v="-8.4968516918189449E-2"/>
    <s v="Underspend"/>
  </r>
  <r>
    <d v="2023-04-01T00:00:00"/>
    <x v="3"/>
    <x v="3"/>
    <s v="Apr-2023"/>
    <x v="0"/>
    <x v="3"/>
    <x v="3"/>
    <x v="3"/>
    <s v="CC-400"/>
    <n v="12932.53"/>
    <n v="13243.48"/>
    <n v="310.94999999999891"/>
    <n v="2.4044019229029347E-2"/>
    <s v="On Budget"/>
  </r>
  <r>
    <d v="2023-04-01T00:00:00"/>
    <x v="3"/>
    <x v="3"/>
    <s v="Apr-2023"/>
    <x v="0"/>
    <x v="3"/>
    <x v="4"/>
    <x v="0"/>
    <s v="CC-400"/>
    <n v="7951.69"/>
    <n v="9456.26"/>
    <n v="1504.5700000000006"/>
    <n v="0.18921386522864961"/>
    <s v="Overspend"/>
  </r>
  <r>
    <d v="2023-04-01T00:00:00"/>
    <x v="3"/>
    <x v="3"/>
    <s v="Apr-2023"/>
    <x v="0"/>
    <x v="3"/>
    <x v="4"/>
    <x v="1"/>
    <s v="CC-400"/>
    <n v="7504.4"/>
    <n v="6712.85"/>
    <n v="-791.54999999999927"/>
    <n v="-0.10547811950322468"/>
    <s v="Underspend"/>
  </r>
  <r>
    <d v="2023-04-01T00:00:00"/>
    <x v="3"/>
    <x v="3"/>
    <s v="Apr-2023"/>
    <x v="0"/>
    <x v="3"/>
    <x v="4"/>
    <x v="2"/>
    <s v="CC-400"/>
    <n v="7868.79"/>
    <n v="7562.84"/>
    <n v="-305.94999999999982"/>
    <n v="-3.8881454454878048E-2"/>
    <s v="On Budget"/>
  </r>
  <r>
    <d v="2023-04-01T00:00:00"/>
    <x v="3"/>
    <x v="3"/>
    <s v="Apr-2023"/>
    <x v="0"/>
    <x v="3"/>
    <x v="4"/>
    <x v="3"/>
    <s v="CC-400"/>
    <n v="8148.56"/>
    <n v="7166.44"/>
    <n v="-982.1200000000008"/>
    <n v="-0.12052681700815859"/>
    <s v="Underspend"/>
  </r>
  <r>
    <d v="2023-04-01T00:00:00"/>
    <x v="3"/>
    <x v="3"/>
    <s v="Apr-2023"/>
    <x v="0"/>
    <x v="4"/>
    <x v="0"/>
    <x v="0"/>
    <s v="CC-500"/>
    <n v="43736.91"/>
    <n v="45293.06"/>
    <n v="1556.1499999999942"/>
    <n v="3.5579788329810999E-2"/>
    <s v="On Budget"/>
  </r>
  <r>
    <d v="2023-04-01T00:00:00"/>
    <x v="3"/>
    <x v="3"/>
    <s v="Apr-2023"/>
    <x v="0"/>
    <x v="4"/>
    <x v="0"/>
    <x v="1"/>
    <s v="CC-500"/>
    <n v="42792.38"/>
    <n v="42284.32"/>
    <n v="-508.05999999999767"/>
    <n v="-1.1872674527567705E-2"/>
    <s v="On Budget"/>
  </r>
  <r>
    <d v="2023-04-01T00:00:00"/>
    <x v="3"/>
    <x v="3"/>
    <s v="Apr-2023"/>
    <x v="0"/>
    <x v="4"/>
    <x v="0"/>
    <x v="2"/>
    <s v="CC-500"/>
    <n v="43479.57"/>
    <n v="44782.17"/>
    <n v="1302.5999999999985"/>
    <n v="2.9958897937583065E-2"/>
    <s v="On Budget"/>
  </r>
  <r>
    <d v="2023-04-01T00:00:00"/>
    <x v="3"/>
    <x v="3"/>
    <s v="Apr-2023"/>
    <x v="0"/>
    <x v="4"/>
    <x v="0"/>
    <x v="3"/>
    <s v="CC-500"/>
    <n v="46919.76"/>
    <n v="45592.04"/>
    <n v="-1327.7200000000012"/>
    <n v="-2.8297672451862523E-2"/>
    <s v="On Budget"/>
  </r>
  <r>
    <d v="2023-04-01T00:00:00"/>
    <x v="3"/>
    <x v="3"/>
    <s v="Apr-2023"/>
    <x v="0"/>
    <x v="4"/>
    <x v="1"/>
    <x v="0"/>
    <s v="CC-500"/>
    <n v="16402.23"/>
    <n v="15844.65"/>
    <n v="-557.57999999999993"/>
    <n v="-3.399415811142753E-2"/>
    <s v="On Budget"/>
  </r>
  <r>
    <d v="2023-04-01T00:00:00"/>
    <x v="3"/>
    <x v="3"/>
    <s v="Apr-2023"/>
    <x v="0"/>
    <x v="4"/>
    <x v="1"/>
    <x v="1"/>
    <s v="CC-500"/>
    <n v="15578.58"/>
    <n v="14733.25"/>
    <n v="-845.32999999999993"/>
    <n v="-5.4262326861626665E-2"/>
    <s v="Underspend"/>
  </r>
  <r>
    <d v="2023-04-01T00:00:00"/>
    <x v="3"/>
    <x v="3"/>
    <s v="Apr-2023"/>
    <x v="0"/>
    <x v="4"/>
    <x v="1"/>
    <x v="2"/>
    <s v="CC-500"/>
    <n v="16257.64"/>
    <n v="16548.71"/>
    <n v="291.06999999999971"/>
    <n v="1.7903582561798619E-2"/>
    <s v="On Budget"/>
  </r>
  <r>
    <d v="2023-04-01T00:00:00"/>
    <x v="3"/>
    <x v="3"/>
    <s v="Apr-2023"/>
    <x v="0"/>
    <x v="4"/>
    <x v="1"/>
    <x v="3"/>
    <s v="CC-500"/>
    <n v="17621.93"/>
    <n v="18070.55"/>
    <n v="448.61999999999898"/>
    <n v="2.5458051416615488E-2"/>
    <s v="On Budget"/>
  </r>
  <r>
    <d v="2023-04-01T00:00:00"/>
    <x v="3"/>
    <x v="3"/>
    <s v="Apr-2023"/>
    <x v="0"/>
    <x v="4"/>
    <x v="2"/>
    <x v="0"/>
    <s v="CC-500"/>
    <n v="6941.29"/>
    <n v="7238.21"/>
    <n v="296.92000000000007"/>
    <n v="4.2775910529598976E-2"/>
    <s v="On Budget"/>
  </r>
  <r>
    <d v="2023-04-01T00:00:00"/>
    <x v="3"/>
    <x v="3"/>
    <s v="Apr-2023"/>
    <x v="0"/>
    <x v="4"/>
    <x v="2"/>
    <x v="1"/>
    <s v="CC-500"/>
    <n v="6763.07"/>
    <n v="6922.1"/>
    <n v="159.03000000000065"/>
    <n v="2.3514469020725893E-2"/>
    <s v="On Budget"/>
  </r>
  <r>
    <d v="2023-04-01T00:00:00"/>
    <x v="3"/>
    <x v="3"/>
    <s v="Apr-2023"/>
    <x v="0"/>
    <x v="4"/>
    <x v="2"/>
    <x v="2"/>
    <s v="CC-500"/>
    <n v="6841.41"/>
    <n v="6970.12"/>
    <n v="128.71000000000004"/>
    <n v="1.8813373266621945E-2"/>
    <s v="On Budget"/>
  </r>
  <r>
    <d v="2023-04-01T00:00:00"/>
    <x v="3"/>
    <x v="3"/>
    <s v="Apr-2023"/>
    <x v="0"/>
    <x v="4"/>
    <x v="2"/>
    <x v="3"/>
    <s v="CC-500"/>
    <n v="7478.48"/>
    <n v="7519.05"/>
    <n v="40.570000000000618"/>
    <n v="5.4248991773730255E-3"/>
    <s v="On Budget"/>
  </r>
  <r>
    <d v="2023-04-01T00:00:00"/>
    <x v="3"/>
    <x v="3"/>
    <s v="Apr-2023"/>
    <x v="0"/>
    <x v="4"/>
    <x v="3"/>
    <x v="0"/>
    <s v="CC-500"/>
    <n v="7338.61"/>
    <n v="7201"/>
    <n v="-137.60999999999967"/>
    <n v="-1.8751507438057025E-2"/>
    <s v="On Budget"/>
  </r>
  <r>
    <d v="2023-04-01T00:00:00"/>
    <x v="3"/>
    <x v="3"/>
    <s v="Apr-2023"/>
    <x v="0"/>
    <x v="4"/>
    <x v="3"/>
    <x v="1"/>
    <s v="CC-500"/>
    <n v="6874.77"/>
    <n v="6993.95"/>
    <n v="119.17999999999938"/>
    <n v="1.7335852690344457E-2"/>
    <s v="On Budget"/>
  </r>
  <r>
    <d v="2023-04-01T00:00:00"/>
    <x v="3"/>
    <x v="3"/>
    <s v="Apr-2023"/>
    <x v="0"/>
    <x v="4"/>
    <x v="3"/>
    <x v="2"/>
    <s v="CC-500"/>
    <n v="6962.63"/>
    <n v="6693.5"/>
    <n v="-269.13000000000011"/>
    <n v="-3.8653497313515167E-2"/>
    <s v="On Budget"/>
  </r>
  <r>
    <d v="2023-04-01T00:00:00"/>
    <x v="3"/>
    <x v="3"/>
    <s v="Apr-2023"/>
    <x v="0"/>
    <x v="4"/>
    <x v="3"/>
    <x v="3"/>
    <s v="CC-500"/>
    <n v="7787.91"/>
    <n v="7784.47"/>
    <n v="-3.4399999999995998"/>
    <n v="-4.417102919781559E-4"/>
    <s v="On Budget"/>
  </r>
  <r>
    <d v="2023-04-01T00:00:00"/>
    <x v="3"/>
    <x v="3"/>
    <s v="Apr-2023"/>
    <x v="0"/>
    <x v="4"/>
    <x v="4"/>
    <x v="0"/>
    <s v="CC-500"/>
    <n v="6166.39"/>
    <n v="6254.65"/>
    <n v="88.259999999999309"/>
    <n v="1.4313074586589447E-2"/>
    <s v="On Budget"/>
  </r>
  <r>
    <d v="2023-04-01T00:00:00"/>
    <x v="3"/>
    <x v="3"/>
    <s v="Apr-2023"/>
    <x v="0"/>
    <x v="4"/>
    <x v="4"/>
    <x v="1"/>
    <s v="CC-500"/>
    <n v="5959.07"/>
    <n v="6241.39"/>
    <n v="282.32000000000062"/>
    <n v="4.7376520161703191E-2"/>
    <s v="On Budget"/>
  </r>
  <r>
    <d v="2023-04-01T00:00:00"/>
    <x v="3"/>
    <x v="3"/>
    <s v="Apr-2023"/>
    <x v="0"/>
    <x v="4"/>
    <x v="4"/>
    <x v="2"/>
    <s v="CC-500"/>
    <n v="6256.91"/>
    <n v="6030.52"/>
    <n v="-226.38999999999942"/>
    <n v="-3.6182396742161775E-2"/>
    <s v="On Budget"/>
  </r>
  <r>
    <d v="2023-04-01T00:00:00"/>
    <x v="3"/>
    <x v="3"/>
    <s v="Apr-2023"/>
    <x v="0"/>
    <x v="4"/>
    <x v="4"/>
    <x v="3"/>
    <s v="CC-500"/>
    <n v="6609.72"/>
    <n v="6500.69"/>
    <n v="-109.03000000000065"/>
    <n v="-1.6495403738736383E-2"/>
    <s v="On Budget"/>
  </r>
  <r>
    <d v="2023-05-01T00:00:00"/>
    <x v="4"/>
    <x v="4"/>
    <s v="May-2023"/>
    <x v="0"/>
    <x v="0"/>
    <x v="0"/>
    <x v="0"/>
    <s v="CC-100"/>
    <n v="49486.83"/>
    <n v="57537.39"/>
    <n v="8050.5599999999977"/>
    <n v="0.16268085872544266"/>
    <s v="Overspend"/>
  </r>
  <r>
    <d v="2023-05-01T00:00:00"/>
    <x v="4"/>
    <x v="4"/>
    <s v="May-2023"/>
    <x v="0"/>
    <x v="0"/>
    <x v="0"/>
    <x v="1"/>
    <s v="CC-100"/>
    <n v="47490.07"/>
    <n v="51893.440000000002"/>
    <n v="4403.3700000000026"/>
    <n v="9.2721910075095754E-2"/>
    <s v="Overspend"/>
  </r>
  <r>
    <d v="2023-05-01T00:00:00"/>
    <x v="4"/>
    <x v="4"/>
    <s v="May-2023"/>
    <x v="0"/>
    <x v="0"/>
    <x v="0"/>
    <x v="2"/>
    <s v="CC-100"/>
    <n v="48146.36"/>
    <n v="55036.59"/>
    <n v="6890.2299999999959"/>
    <n v="0.14311009181171735"/>
    <s v="Overspend"/>
  </r>
  <r>
    <d v="2023-05-01T00:00:00"/>
    <x v="4"/>
    <x v="4"/>
    <s v="May-2023"/>
    <x v="0"/>
    <x v="0"/>
    <x v="0"/>
    <x v="3"/>
    <s v="CC-100"/>
    <n v="50954.68"/>
    <n v="60303.42"/>
    <n v="9348.739999999998"/>
    <n v="0.18347166540934018"/>
    <s v="Overspend"/>
  </r>
  <r>
    <d v="2023-05-01T00:00:00"/>
    <x v="4"/>
    <x v="4"/>
    <s v="May-2023"/>
    <x v="0"/>
    <x v="0"/>
    <x v="1"/>
    <x v="0"/>
    <s v="CC-100"/>
    <n v="18846.27"/>
    <n v="21358.77"/>
    <n v="2512.5"/>
    <n v="0.13331550487178631"/>
    <s v="Overspend"/>
  </r>
  <r>
    <d v="2023-05-01T00:00:00"/>
    <x v="4"/>
    <x v="4"/>
    <s v="May-2023"/>
    <x v="0"/>
    <x v="0"/>
    <x v="1"/>
    <x v="1"/>
    <s v="CC-100"/>
    <n v="17889.27"/>
    <n v="20267.21"/>
    <n v="2377.9399999999987"/>
    <n v="0.13292549109046925"/>
    <s v="Overspend"/>
  </r>
  <r>
    <d v="2023-05-01T00:00:00"/>
    <x v="4"/>
    <x v="4"/>
    <s v="May-2023"/>
    <x v="0"/>
    <x v="0"/>
    <x v="1"/>
    <x v="2"/>
    <s v="CC-100"/>
    <n v="18423.61"/>
    <n v="20184.27"/>
    <n v="1760.6599999999999"/>
    <n v="9.5565418503756855E-2"/>
    <s v="Overspend"/>
  </r>
  <r>
    <d v="2023-05-01T00:00:00"/>
    <x v="4"/>
    <x v="4"/>
    <s v="May-2023"/>
    <x v="0"/>
    <x v="0"/>
    <x v="1"/>
    <x v="3"/>
    <s v="CC-100"/>
    <n v="19169.759999999998"/>
    <n v="22868.21"/>
    <n v="3698.4500000000007"/>
    <n v="0.19293147123386006"/>
    <s v="Overspend"/>
  </r>
  <r>
    <d v="2023-05-01T00:00:00"/>
    <x v="4"/>
    <x v="4"/>
    <s v="May-2023"/>
    <x v="0"/>
    <x v="0"/>
    <x v="2"/>
    <x v="0"/>
    <s v="CC-100"/>
    <n v="10354.34"/>
    <n v="12304.19"/>
    <n v="1949.8500000000004"/>
    <n v="0.18831234052580853"/>
    <s v="Overspend"/>
  </r>
  <r>
    <d v="2023-05-01T00:00:00"/>
    <x v="4"/>
    <x v="4"/>
    <s v="May-2023"/>
    <x v="0"/>
    <x v="0"/>
    <x v="2"/>
    <x v="1"/>
    <s v="CC-100"/>
    <n v="10035.08"/>
    <n v="11871.89"/>
    <n v="1836.8099999999995"/>
    <n v="0.18303889954041219"/>
    <s v="Overspend"/>
  </r>
  <r>
    <d v="2023-05-01T00:00:00"/>
    <x v="4"/>
    <x v="4"/>
    <s v="May-2023"/>
    <x v="0"/>
    <x v="0"/>
    <x v="2"/>
    <x v="2"/>
    <s v="CC-100"/>
    <n v="10079.35"/>
    <n v="11606.58"/>
    <n v="1527.2299999999996"/>
    <n v="0.15152068337740027"/>
    <s v="Overspend"/>
  </r>
  <r>
    <d v="2023-05-01T00:00:00"/>
    <x v="4"/>
    <x v="4"/>
    <s v="May-2023"/>
    <x v="0"/>
    <x v="0"/>
    <x v="2"/>
    <x v="3"/>
    <s v="CC-100"/>
    <n v="11090.6"/>
    <n v="12337.39"/>
    <n v="1246.7899999999991"/>
    <n v="0.11241862478134627"/>
    <s v="Overspend"/>
  </r>
  <r>
    <d v="2023-05-01T00:00:00"/>
    <x v="4"/>
    <x v="4"/>
    <s v="May-2023"/>
    <x v="0"/>
    <x v="0"/>
    <x v="3"/>
    <x v="0"/>
    <s v="CC-100"/>
    <n v="8070.64"/>
    <n v="9159.16"/>
    <n v="1088.5199999999995"/>
    <n v="0.13487406203225513"/>
    <s v="Overspend"/>
  </r>
  <r>
    <d v="2023-05-01T00:00:00"/>
    <x v="4"/>
    <x v="4"/>
    <s v="May-2023"/>
    <x v="0"/>
    <x v="0"/>
    <x v="3"/>
    <x v="1"/>
    <s v="CC-100"/>
    <n v="7644.96"/>
    <n v="9034.57"/>
    <n v="1389.6099999999997"/>
    <n v="0.18176811912684954"/>
    <s v="Overspend"/>
  </r>
  <r>
    <d v="2023-05-01T00:00:00"/>
    <x v="4"/>
    <x v="4"/>
    <s v="May-2023"/>
    <x v="0"/>
    <x v="0"/>
    <x v="3"/>
    <x v="2"/>
    <s v="CC-100"/>
    <n v="7909.16"/>
    <n v="8718.85"/>
    <n v="809.69000000000051"/>
    <n v="0.10237370340213127"/>
    <s v="Overspend"/>
  </r>
  <r>
    <d v="2023-05-01T00:00:00"/>
    <x v="4"/>
    <x v="4"/>
    <s v="May-2023"/>
    <x v="0"/>
    <x v="0"/>
    <x v="3"/>
    <x v="3"/>
    <s v="CC-100"/>
    <n v="8413.67"/>
    <n v="9711.1200000000008"/>
    <n v="1297.4500000000007"/>
    <n v="0.15420737918173646"/>
    <s v="Overspend"/>
  </r>
  <r>
    <d v="2023-05-01T00:00:00"/>
    <x v="4"/>
    <x v="4"/>
    <s v="May-2023"/>
    <x v="0"/>
    <x v="0"/>
    <x v="4"/>
    <x v="0"/>
    <s v="CC-100"/>
    <n v="8646.68"/>
    <n v="10232.64"/>
    <n v="1585.9599999999991"/>
    <n v="0.1834183756077476"/>
    <s v="Overspend"/>
  </r>
  <r>
    <d v="2023-05-01T00:00:00"/>
    <x v="4"/>
    <x v="4"/>
    <s v="May-2023"/>
    <x v="0"/>
    <x v="0"/>
    <x v="4"/>
    <x v="1"/>
    <s v="CC-100"/>
    <n v="7850.22"/>
    <n v="8746.64"/>
    <n v="896.41999999999916"/>
    <n v="0.11419043033188868"/>
    <s v="Overspend"/>
  </r>
  <r>
    <d v="2023-05-01T00:00:00"/>
    <x v="4"/>
    <x v="4"/>
    <s v="May-2023"/>
    <x v="0"/>
    <x v="0"/>
    <x v="4"/>
    <x v="2"/>
    <s v="CC-100"/>
    <n v="8017.6"/>
    <n v="9551.09"/>
    <n v="1533.4899999999998"/>
    <n v="0.19126546597485528"/>
    <s v="Overspend"/>
  </r>
  <r>
    <d v="2023-05-01T00:00:00"/>
    <x v="4"/>
    <x v="4"/>
    <s v="May-2023"/>
    <x v="0"/>
    <x v="0"/>
    <x v="4"/>
    <x v="3"/>
    <s v="CC-100"/>
    <n v="8946.3700000000008"/>
    <n v="10414.07"/>
    <n v="1467.6999999999989"/>
    <n v="0.16405536547225286"/>
    <s v="Overspend"/>
  </r>
  <r>
    <d v="2023-05-01T00:00:00"/>
    <x v="4"/>
    <x v="4"/>
    <s v="May-2023"/>
    <x v="0"/>
    <x v="1"/>
    <x v="0"/>
    <x v="0"/>
    <s v="CC-200"/>
    <n v="50510.67"/>
    <n v="43792.73"/>
    <n v="-6717.9399999999951"/>
    <n v="-0.13300041357598297"/>
    <s v="Underspend"/>
  </r>
  <r>
    <d v="2023-05-01T00:00:00"/>
    <x v="4"/>
    <x v="4"/>
    <s v="May-2023"/>
    <x v="0"/>
    <x v="1"/>
    <x v="0"/>
    <x v="1"/>
    <s v="CC-200"/>
    <n v="50740.09"/>
    <n v="44865.65"/>
    <n v="-5874.4399999999951"/>
    <n v="-0.11577511983128125"/>
    <s v="Underspend"/>
  </r>
  <r>
    <d v="2023-05-01T00:00:00"/>
    <x v="4"/>
    <x v="4"/>
    <s v="May-2023"/>
    <x v="0"/>
    <x v="1"/>
    <x v="0"/>
    <x v="2"/>
    <s v="CC-200"/>
    <n v="49421.15"/>
    <n v="44425.03"/>
    <n v="-4996.1200000000026"/>
    <n v="-0.10109275077573068"/>
    <s v="Underspend"/>
  </r>
  <r>
    <d v="2023-05-01T00:00:00"/>
    <x v="4"/>
    <x v="4"/>
    <s v="May-2023"/>
    <x v="0"/>
    <x v="1"/>
    <x v="0"/>
    <x v="3"/>
    <s v="CC-200"/>
    <n v="53927.21"/>
    <n v="48340.4"/>
    <n v="-5586.8099999999977"/>
    <n v="-0.10359909218370462"/>
    <s v="Underspend"/>
  </r>
  <r>
    <d v="2023-05-01T00:00:00"/>
    <x v="4"/>
    <x v="4"/>
    <s v="May-2023"/>
    <x v="0"/>
    <x v="1"/>
    <x v="1"/>
    <x v="0"/>
    <s v="CC-200"/>
    <n v="28509.3"/>
    <n v="24879.98"/>
    <n v="-3629.3199999999997"/>
    <n v="-0.1273030204178987"/>
    <s v="Underspend"/>
  </r>
  <r>
    <d v="2023-05-01T00:00:00"/>
    <x v="4"/>
    <x v="4"/>
    <s v="May-2023"/>
    <x v="0"/>
    <x v="1"/>
    <x v="1"/>
    <x v="1"/>
    <s v="CC-200"/>
    <n v="27000.17"/>
    <n v="23026.81"/>
    <n v="-3973.3599999999969"/>
    <n v="-0.1471605549150245"/>
    <s v="Underspend"/>
  </r>
  <r>
    <d v="2023-05-01T00:00:00"/>
    <x v="4"/>
    <x v="4"/>
    <s v="May-2023"/>
    <x v="0"/>
    <x v="1"/>
    <x v="1"/>
    <x v="2"/>
    <s v="CC-200"/>
    <n v="28462"/>
    <n v="24960.62"/>
    <n v="-3501.380000000001"/>
    <n v="-0.12301946454922356"/>
    <s v="Underspend"/>
  </r>
  <r>
    <d v="2023-05-01T00:00:00"/>
    <x v="4"/>
    <x v="4"/>
    <s v="May-2023"/>
    <x v="0"/>
    <x v="1"/>
    <x v="1"/>
    <x v="3"/>
    <s v="CC-200"/>
    <n v="29636.38"/>
    <n v="25899.14"/>
    <n v="-3737.2400000000016"/>
    <n v="-0.12610312055655926"/>
    <s v="Underspend"/>
  </r>
  <r>
    <d v="2023-05-01T00:00:00"/>
    <x v="4"/>
    <x v="4"/>
    <s v="May-2023"/>
    <x v="0"/>
    <x v="1"/>
    <x v="2"/>
    <x v="0"/>
    <s v="CC-200"/>
    <n v="11413.01"/>
    <n v="10211.14"/>
    <n v="-1201.8700000000008"/>
    <n v="-0.10530701366247824"/>
    <s v="Underspend"/>
  </r>
  <r>
    <d v="2023-05-01T00:00:00"/>
    <x v="4"/>
    <x v="4"/>
    <s v="May-2023"/>
    <x v="0"/>
    <x v="1"/>
    <x v="2"/>
    <x v="1"/>
    <s v="CC-200"/>
    <n v="10479.4"/>
    <n v="9156.25"/>
    <n v="-1323.1499999999996"/>
    <n v="-0.1262619997328091"/>
    <s v="Underspend"/>
  </r>
  <r>
    <d v="2023-05-01T00:00:00"/>
    <x v="4"/>
    <x v="4"/>
    <s v="May-2023"/>
    <x v="0"/>
    <x v="1"/>
    <x v="2"/>
    <x v="2"/>
    <s v="CC-200"/>
    <n v="10779.19"/>
    <n v="9527.7099999999991"/>
    <n v="-1251.4800000000014"/>
    <n v="-0.11610148814521326"/>
    <s v="Underspend"/>
  </r>
  <r>
    <d v="2023-05-01T00:00:00"/>
    <x v="4"/>
    <x v="4"/>
    <s v="May-2023"/>
    <x v="0"/>
    <x v="1"/>
    <x v="2"/>
    <x v="3"/>
    <s v="CC-200"/>
    <n v="11435.87"/>
    <n v="9894.09"/>
    <n v="-1541.7800000000007"/>
    <n v="-0.13481965080050756"/>
    <s v="Underspend"/>
  </r>
  <r>
    <d v="2023-05-01T00:00:00"/>
    <x v="4"/>
    <x v="4"/>
    <s v="May-2023"/>
    <x v="0"/>
    <x v="1"/>
    <x v="3"/>
    <x v="0"/>
    <s v="CC-200"/>
    <n v="8444.65"/>
    <n v="7280.41"/>
    <n v="-1164.2399999999998"/>
    <n v="-0.13786717033861673"/>
    <s v="Underspend"/>
  </r>
  <r>
    <d v="2023-05-01T00:00:00"/>
    <x v="4"/>
    <x v="4"/>
    <s v="May-2023"/>
    <x v="0"/>
    <x v="1"/>
    <x v="3"/>
    <x v="1"/>
    <s v="CC-200"/>
    <n v="8180.21"/>
    <n v="7049.75"/>
    <n v="-1130.46"/>
    <n v="-0.1381944962293144"/>
    <s v="Underspend"/>
  </r>
  <r>
    <d v="2023-05-01T00:00:00"/>
    <x v="4"/>
    <x v="4"/>
    <s v="May-2023"/>
    <x v="0"/>
    <x v="1"/>
    <x v="3"/>
    <x v="2"/>
    <s v="CC-200"/>
    <n v="8531.91"/>
    <n v="7410.05"/>
    <n v="-1121.8599999999997"/>
    <n v="-0.13148990085455656"/>
    <s v="Underspend"/>
  </r>
  <r>
    <d v="2023-05-01T00:00:00"/>
    <x v="4"/>
    <x v="4"/>
    <s v="May-2023"/>
    <x v="0"/>
    <x v="1"/>
    <x v="3"/>
    <x v="3"/>
    <s v="CC-200"/>
    <n v="9221.91"/>
    <n v="8141.5"/>
    <n v="-1080.4099999999999"/>
    <n v="-0.11715685796109482"/>
    <s v="Underspend"/>
  </r>
  <r>
    <d v="2023-05-01T00:00:00"/>
    <x v="4"/>
    <x v="4"/>
    <s v="May-2023"/>
    <x v="0"/>
    <x v="1"/>
    <x v="4"/>
    <x v="0"/>
    <s v="CC-200"/>
    <n v="7219.55"/>
    <n v="6464"/>
    <n v="-755.55000000000018"/>
    <n v="-0.10465333711934957"/>
    <s v="Underspend"/>
  </r>
  <r>
    <d v="2023-05-01T00:00:00"/>
    <x v="4"/>
    <x v="4"/>
    <s v="May-2023"/>
    <x v="0"/>
    <x v="1"/>
    <x v="4"/>
    <x v="1"/>
    <s v="CC-200"/>
    <n v="7238.1"/>
    <n v="6298.89"/>
    <n v="-939.21"/>
    <n v="-0.1297591909479007"/>
    <s v="Underspend"/>
  </r>
  <r>
    <d v="2023-05-01T00:00:00"/>
    <x v="4"/>
    <x v="4"/>
    <s v="May-2023"/>
    <x v="0"/>
    <x v="1"/>
    <x v="4"/>
    <x v="2"/>
    <s v="CC-200"/>
    <n v="7003.21"/>
    <n v="6198.74"/>
    <n v="-804.47000000000025"/>
    <n v="-0.11487160887650096"/>
    <s v="Underspend"/>
  </r>
  <r>
    <d v="2023-05-01T00:00:00"/>
    <x v="4"/>
    <x v="4"/>
    <s v="May-2023"/>
    <x v="0"/>
    <x v="1"/>
    <x v="4"/>
    <x v="3"/>
    <s v="CC-200"/>
    <n v="7487.88"/>
    <n v="6689.83"/>
    <n v="-798.05000000000018"/>
    <n v="-0.10657889816610311"/>
    <s v="Underspend"/>
  </r>
  <r>
    <d v="2023-05-01T00:00:00"/>
    <x v="4"/>
    <x v="4"/>
    <s v="May-2023"/>
    <x v="0"/>
    <x v="2"/>
    <x v="0"/>
    <x v="0"/>
    <s v="CC-300"/>
    <n v="45337.42"/>
    <n v="44796.78"/>
    <n v="-540.63999999999942"/>
    <n v="-1.1924807366630026E-2"/>
    <s v="On Budget"/>
  </r>
  <r>
    <d v="2023-05-01T00:00:00"/>
    <x v="4"/>
    <x v="4"/>
    <s v="May-2023"/>
    <x v="0"/>
    <x v="2"/>
    <x v="0"/>
    <x v="1"/>
    <s v="CC-300"/>
    <n v="43887.91"/>
    <n v="43771.22"/>
    <n v="-116.69000000000233"/>
    <n v="-2.6588187954268571E-3"/>
    <s v="On Budget"/>
  </r>
  <r>
    <d v="2023-05-01T00:00:00"/>
    <x v="4"/>
    <x v="4"/>
    <s v="May-2023"/>
    <x v="0"/>
    <x v="2"/>
    <x v="0"/>
    <x v="2"/>
    <s v="CC-300"/>
    <n v="43691.06"/>
    <n v="43660.2"/>
    <n v="-30.860000000000582"/>
    <n v="-7.0632298689939272E-4"/>
    <s v="On Budget"/>
  </r>
  <r>
    <d v="2023-05-01T00:00:00"/>
    <x v="4"/>
    <x v="4"/>
    <s v="May-2023"/>
    <x v="0"/>
    <x v="2"/>
    <x v="0"/>
    <x v="3"/>
    <s v="CC-300"/>
    <n v="46148.88"/>
    <n v="46906.879999999997"/>
    <n v="758"/>
    <n v="1.6425100674165874E-2"/>
    <s v="On Budget"/>
  </r>
  <r>
    <d v="2023-05-01T00:00:00"/>
    <x v="4"/>
    <x v="4"/>
    <s v="May-2023"/>
    <x v="0"/>
    <x v="2"/>
    <x v="1"/>
    <x v="0"/>
    <s v="CC-300"/>
    <n v="15457.97"/>
    <n v="16036.96"/>
    <n v="578.98999999999978"/>
    <n v="3.7455759067975922E-2"/>
    <s v="On Budget"/>
  </r>
  <r>
    <d v="2023-05-01T00:00:00"/>
    <x v="4"/>
    <x v="4"/>
    <s v="May-2023"/>
    <x v="0"/>
    <x v="2"/>
    <x v="1"/>
    <x v="1"/>
    <s v="CC-300"/>
    <n v="14988.61"/>
    <n v="14735.4"/>
    <n v="-253.21000000000095"/>
    <n v="-1.6893494460126786E-2"/>
    <s v="On Budget"/>
  </r>
  <r>
    <d v="2023-05-01T00:00:00"/>
    <x v="4"/>
    <x v="4"/>
    <s v="May-2023"/>
    <x v="0"/>
    <x v="2"/>
    <x v="1"/>
    <x v="2"/>
    <s v="CC-300"/>
    <n v="15314.72"/>
    <n v="15078.11"/>
    <n v="-236.60999999999876"/>
    <n v="-1.5449841720906342E-2"/>
    <s v="On Budget"/>
  </r>
  <r>
    <d v="2023-05-01T00:00:00"/>
    <x v="4"/>
    <x v="4"/>
    <s v="May-2023"/>
    <x v="0"/>
    <x v="2"/>
    <x v="1"/>
    <x v="3"/>
    <s v="CC-300"/>
    <n v="16322.16"/>
    <n v="16325.3"/>
    <n v="3.1399999999994179"/>
    <n v="1.9237649918879719E-4"/>
    <s v="On Budget"/>
  </r>
  <r>
    <d v="2023-05-01T00:00:00"/>
    <x v="4"/>
    <x v="4"/>
    <s v="May-2023"/>
    <x v="0"/>
    <x v="2"/>
    <x v="2"/>
    <x v="0"/>
    <s v="CC-300"/>
    <n v="8927.1"/>
    <n v="8971.0400000000009"/>
    <n v="43.940000000000509"/>
    <n v="4.922091160623328E-3"/>
    <s v="On Budget"/>
  </r>
  <r>
    <d v="2023-05-01T00:00:00"/>
    <x v="4"/>
    <x v="4"/>
    <s v="May-2023"/>
    <x v="0"/>
    <x v="2"/>
    <x v="2"/>
    <x v="1"/>
    <s v="CC-300"/>
    <n v="8190.55"/>
    <n v="8087.86"/>
    <n v="-102.69000000000051"/>
    <n v="-1.2537619573777159E-2"/>
    <s v="On Budget"/>
  </r>
  <r>
    <d v="2023-05-01T00:00:00"/>
    <x v="4"/>
    <x v="4"/>
    <s v="May-2023"/>
    <x v="0"/>
    <x v="2"/>
    <x v="2"/>
    <x v="2"/>
    <s v="CC-300"/>
    <n v="8572.3799999999992"/>
    <n v="8708.3700000000008"/>
    <n v="135.9900000000016"/>
    <n v="1.5863739124957317E-2"/>
    <s v="On Budget"/>
  </r>
  <r>
    <d v="2023-05-01T00:00:00"/>
    <x v="4"/>
    <x v="4"/>
    <s v="May-2023"/>
    <x v="0"/>
    <x v="2"/>
    <x v="2"/>
    <x v="3"/>
    <s v="CC-300"/>
    <n v="8906.9500000000007"/>
    <n v="9020.2999999999993"/>
    <n v="113.34999999999854"/>
    <n v="1.2726017323550547E-2"/>
    <s v="On Budget"/>
  </r>
  <r>
    <d v="2023-05-01T00:00:00"/>
    <x v="4"/>
    <x v="4"/>
    <s v="May-2023"/>
    <x v="0"/>
    <x v="2"/>
    <x v="3"/>
    <x v="0"/>
    <s v="CC-300"/>
    <n v="6756.37"/>
    <n v="6767.28"/>
    <n v="10.909999999999854"/>
    <n v="1.6147724295738472E-3"/>
    <s v="On Budget"/>
  </r>
  <r>
    <d v="2023-05-01T00:00:00"/>
    <x v="4"/>
    <x v="4"/>
    <s v="May-2023"/>
    <x v="0"/>
    <x v="2"/>
    <x v="3"/>
    <x v="1"/>
    <s v="CC-300"/>
    <n v="6290.84"/>
    <n v="6338.71"/>
    <n v="47.869999999999891"/>
    <n v="7.6094766358705502E-3"/>
    <s v="On Budget"/>
  </r>
  <r>
    <d v="2023-05-01T00:00:00"/>
    <x v="4"/>
    <x v="4"/>
    <s v="May-2023"/>
    <x v="0"/>
    <x v="2"/>
    <x v="3"/>
    <x v="2"/>
    <s v="CC-300"/>
    <n v="6598.21"/>
    <n v="6411.23"/>
    <n v="-186.98000000000047"/>
    <n v="-2.8337988636312043E-2"/>
    <s v="On Budget"/>
  </r>
  <r>
    <d v="2023-05-01T00:00:00"/>
    <x v="4"/>
    <x v="4"/>
    <s v="May-2023"/>
    <x v="0"/>
    <x v="2"/>
    <x v="3"/>
    <x v="3"/>
    <s v="CC-300"/>
    <n v="7019.51"/>
    <n v="6849.47"/>
    <n v="-170.03999999999996"/>
    <n v="-2.4223913065156963E-2"/>
    <s v="On Budget"/>
  </r>
  <r>
    <d v="2023-05-01T00:00:00"/>
    <x v="4"/>
    <x v="4"/>
    <s v="May-2023"/>
    <x v="0"/>
    <x v="2"/>
    <x v="4"/>
    <x v="0"/>
    <s v="CC-300"/>
    <n v="5675.96"/>
    <n v="5577.54"/>
    <n v="-98.420000000000073"/>
    <n v="-1.7339798025356075E-2"/>
    <s v="On Budget"/>
  </r>
  <r>
    <d v="2023-05-01T00:00:00"/>
    <x v="4"/>
    <x v="4"/>
    <s v="May-2023"/>
    <x v="0"/>
    <x v="2"/>
    <x v="4"/>
    <x v="1"/>
    <s v="CC-300"/>
    <n v="5651"/>
    <n v="5653.51"/>
    <n v="2.5100000000002183"/>
    <n v="4.4416917359763199E-4"/>
    <s v="On Budget"/>
  </r>
  <r>
    <d v="2023-05-01T00:00:00"/>
    <x v="4"/>
    <x v="4"/>
    <s v="May-2023"/>
    <x v="0"/>
    <x v="2"/>
    <x v="4"/>
    <x v="2"/>
    <s v="CC-300"/>
    <n v="5775.46"/>
    <n v="5647.25"/>
    <n v="-128.21000000000004"/>
    <n v="-2.2199097561060078E-2"/>
    <s v="On Budget"/>
  </r>
  <r>
    <d v="2023-05-01T00:00:00"/>
    <x v="4"/>
    <x v="4"/>
    <s v="May-2023"/>
    <x v="0"/>
    <x v="2"/>
    <x v="4"/>
    <x v="3"/>
    <s v="CC-300"/>
    <n v="6142.6"/>
    <n v="6183.28"/>
    <n v="40.679999999999382"/>
    <n v="6.6226028066290136E-3"/>
    <s v="On Budget"/>
  </r>
  <r>
    <d v="2023-05-01T00:00:00"/>
    <x v="4"/>
    <x v="4"/>
    <s v="May-2023"/>
    <x v="0"/>
    <x v="3"/>
    <x v="0"/>
    <x v="0"/>
    <s v="CC-400"/>
    <n v="54784.11"/>
    <n v="47776.71"/>
    <n v="-7007.4000000000015"/>
    <n v="-0.12790935181752522"/>
    <s v="Underspend"/>
  </r>
  <r>
    <d v="2023-05-01T00:00:00"/>
    <x v="4"/>
    <x v="4"/>
    <s v="May-2023"/>
    <x v="0"/>
    <x v="3"/>
    <x v="0"/>
    <x v="1"/>
    <s v="CC-400"/>
    <n v="53891.1"/>
    <n v="62301.41"/>
    <n v="8410.3100000000049"/>
    <n v="0.1560612049113862"/>
    <s v="Overspend"/>
  </r>
  <r>
    <d v="2023-05-01T00:00:00"/>
    <x v="4"/>
    <x v="4"/>
    <s v="May-2023"/>
    <x v="0"/>
    <x v="3"/>
    <x v="0"/>
    <x v="2"/>
    <s v="CC-400"/>
    <n v="54068.82"/>
    <n v="52137.18"/>
    <n v="-1931.6399999999994"/>
    <n v="-3.5725580843081084E-2"/>
    <s v="On Budget"/>
  </r>
  <r>
    <d v="2023-05-01T00:00:00"/>
    <x v="4"/>
    <x v="4"/>
    <s v="May-2023"/>
    <x v="0"/>
    <x v="3"/>
    <x v="0"/>
    <x v="3"/>
    <s v="CC-400"/>
    <n v="55588.23"/>
    <n v="64888.45"/>
    <n v="9300.2199999999939"/>
    <n v="0.16730556090740781"/>
    <s v="Overspend"/>
  </r>
  <r>
    <d v="2023-05-01T00:00:00"/>
    <x v="4"/>
    <x v="4"/>
    <s v="May-2023"/>
    <x v="0"/>
    <x v="3"/>
    <x v="1"/>
    <x v="0"/>
    <s v="CC-400"/>
    <n v="20475.849999999999"/>
    <n v="18121.72"/>
    <n v="-2354.1299999999974"/>
    <n v="-0.11497105126282901"/>
    <s v="Underspend"/>
  </r>
  <r>
    <d v="2023-05-01T00:00:00"/>
    <x v="4"/>
    <x v="4"/>
    <s v="May-2023"/>
    <x v="0"/>
    <x v="3"/>
    <x v="1"/>
    <x v="1"/>
    <s v="CC-400"/>
    <n v="19527.64"/>
    <n v="20303.7"/>
    <n v="776.06000000000131"/>
    <n v="3.9741617522650013E-2"/>
    <s v="On Budget"/>
  </r>
  <r>
    <d v="2023-05-01T00:00:00"/>
    <x v="4"/>
    <x v="4"/>
    <s v="May-2023"/>
    <x v="0"/>
    <x v="3"/>
    <x v="1"/>
    <x v="2"/>
    <s v="CC-400"/>
    <n v="20428.75"/>
    <n v="20143.34"/>
    <n v="-285.40999999999985"/>
    <n v="-1.3970996757021348E-2"/>
    <s v="On Budget"/>
  </r>
  <r>
    <d v="2023-05-01T00:00:00"/>
    <x v="4"/>
    <x v="4"/>
    <s v="May-2023"/>
    <x v="0"/>
    <x v="3"/>
    <x v="1"/>
    <x v="3"/>
    <s v="CC-400"/>
    <n v="21199.99"/>
    <n v="24710.07"/>
    <n v="3510.0799999999981"/>
    <n v="0.16556988941975906"/>
    <s v="Overspend"/>
  </r>
  <r>
    <d v="2023-05-01T00:00:00"/>
    <x v="4"/>
    <x v="4"/>
    <s v="May-2023"/>
    <x v="0"/>
    <x v="3"/>
    <x v="2"/>
    <x v="0"/>
    <s v="CC-400"/>
    <n v="11568.49"/>
    <n v="11110.06"/>
    <n v="-458.43000000000029"/>
    <n v="-3.9627470828085626E-2"/>
    <s v="On Budget"/>
  </r>
  <r>
    <d v="2023-05-01T00:00:00"/>
    <x v="4"/>
    <x v="4"/>
    <s v="May-2023"/>
    <x v="0"/>
    <x v="3"/>
    <x v="2"/>
    <x v="1"/>
    <s v="CC-400"/>
    <n v="10942.93"/>
    <n v="12499.73"/>
    <n v="1556.7999999999993"/>
    <n v="0.14226537134021686"/>
    <s v="Overspend"/>
  </r>
  <r>
    <d v="2023-05-01T00:00:00"/>
    <x v="4"/>
    <x v="4"/>
    <s v="May-2023"/>
    <x v="0"/>
    <x v="3"/>
    <x v="2"/>
    <x v="2"/>
    <s v="CC-400"/>
    <n v="11671.48"/>
    <n v="13775.96"/>
    <n v="2104.4799999999996"/>
    <n v="0.18030960940686183"/>
    <s v="Overspend"/>
  </r>
  <r>
    <d v="2023-05-01T00:00:00"/>
    <x v="4"/>
    <x v="4"/>
    <s v="May-2023"/>
    <x v="0"/>
    <x v="3"/>
    <x v="2"/>
    <x v="3"/>
    <s v="CC-400"/>
    <n v="12571.78"/>
    <n v="11389.37"/>
    <n v="-1182.4099999999999"/>
    <n v="-9.4052711708286316E-2"/>
    <s v="Underspend"/>
  </r>
  <r>
    <d v="2023-05-01T00:00:00"/>
    <x v="4"/>
    <x v="4"/>
    <s v="May-2023"/>
    <x v="0"/>
    <x v="3"/>
    <x v="3"/>
    <x v="0"/>
    <s v="CC-400"/>
    <n v="12411.53"/>
    <n v="12934.89"/>
    <n v="523.35999999999876"/>
    <n v="4.2167242878194608E-2"/>
    <s v="On Budget"/>
  </r>
  <r>
    <d v="2023-05-01T00:00:00"/>
    <x v="4"/>
    <x v="4"/>
    <s v="May-2023"/>
    <x v="0"/>
    <x v="3"/>
    <x v="3"/>
    <x v="1"/>
    <s v="CC-400"/>
    <n v="12110.14"/>
    <n v="13141.66"/>
    <n v="1031.5200000000004"/>
    <n v="8.5178206032300238E-2"/>
    <s v="Overspend"/>
  </r>
  <r>
    <d v="2023-05-01T00:00:00"/>
    <x v="4"/>
    <x v="4"/>
    <s v="May-2023"/>
    <x v="0"/>
    <x v="3"/>
    <x v="3"/>
    <x v="2"/>
    <s v="CC-400"/>
    <n v="11985.66"/>
    <n v="11756.81"/>
    <n v="-228.85000000000036"/>
    <n v="-1.9093650245376587E-2"/>
    <s v="On Budget"/>
  </r>
  <r>
    <d v="2023-05-01T00:00:00"/>
    <x v="4"/>
    <x v="4"/>
    <s v="May-2023"/>
    <x v="0"/>
    <x v="3"/>
    <x v="3"/>
    <x v="3"/>
    <s v="CC-400"/>
    <n v="12774.59"/>
    <n v="11257.1"/>
    <n v="-1517.4899999999998"/>
    <n v="-0.11878972240987772"/>
    <s v="Underspend"/>
  </r>
  <r>
    <d v="2023-05-01T00:00:00"/>
    <x v="4"/>
    <x v="4"/>
    <s v="May-2023"/>
    <x v="0"/>
    <x v="3"/>
    <x v="4"/>
    <x v="0"/>
    <s v="CC-400"/>
    <n v="7990.77"/>
    <n v="8081.71"/>
    <n v="90.9399999999996"/>
    <n v="1.1380630402326633E-2"/>
    <s v="On Budget"/>
  </r>
  <r>
    <d v="2023-05-01T00:00:00"/>
    <x v="4"/>
    <x v="4"/>
    <s v="May-2023"/>
    <x v="0"/>
    <x v="3"/>
    <x v="4"/>
    <x v="1"/>
    <s v="CC-400"/>
    <n v="7527.65"/>
    <n v="6513.59"/>
    <n v="-1014.0599999999995"/>
    <n v="-0.13471136410433529"/>
    <s v="Underspend"/>
  </r>
  <r>
    <d v="2023-05-01T00:00:00"/>
    <x v="4"/>
    <x v="4"/>
    <s v="May-2023"/>
    <x v="0"/>
    <x v="3"/>
    <x v="4"/>
    <x v="2"/>
    <s v="CC-400"/>
    <n v="7495.23"/>
    <n v="8736.74"/>
    <n v="1241.5100000000002"/>
    <n v="0.16564001371538969"/>
    <s v="Overspend"/>
  </r>
  <r>
    <d v="2023-05-01T00:00:00"/>
    <x v="4"/>
    <x v="4"/>
    <s v="May-2023"/>
    <x v="0"/>
    <x v="3"/>
    <x v="4"/>
    <x v="3"/>
    <s v="CC-400"/>
    <n v="8171.71"/>
    <n v="9566.16"/>
    <n v="1394.4499999999998"/>
    <n v="0.17064359846347946"/>
    <s v="Overspend"/>
  </r>
  <r>
    <d v="2023-05-01T00:00:00"/>
    <x v="4"/>
    <x v="4"/>
    <s v="May-2023"/>
    <x v="0"/>
    <x v="4"/>
    <x v="0"/>
    <x v="0"/>
    <s v="CC-500"/>
    <n v="43313.13"/>
    <n v="41073.68"/>
    <n v="-2239.4499999999971"/>
    <n v="-5.170372125034596E-2"/>
    <s v="Underspend"/>
  </r>
  <r>
    <d v="2023-05-01T00:00:00"/>
    <x v="4"/>
    <x v="4"/>
    <s v="May-2023"/>
    <x v="0"/>
    <x v="4"/>
    <x v="0"/>
    <x v="1"/>
    <s v="CC-500"/>
    <n v="40775.83"/>
    <n v="39586.89"/>
    <n v="-1188.9400000000023"/>
    <n v="-2.9157959506894215E-2"/>
    <s v="On Budget"/>
  </r>
  <r>
    <d v="2023-05-01T00:00:00"/>
    <x v="4"/>
    <x v="4"/>
    <s v="May-2023"/>
    <x v="0"/>
    <x v="4"/>
    <x v="0"/>
    <x v="2"/>
    <s v="CC-500"/>
    <n v="43784.83"/>
    <n v="44058.53"/>
    <n v="273.69999999999709"/>
    <n v="6.2510234709144026E-3"/>
    <s v="On Budget"/>
  </r>
  <r>
    <d v="2023-05-01T00:00:00"/>
    <x v="4"/>
    <x v="4"/>
    <s v="May-2023"/>
    <x v="0"/>
    <x v="4"/>
    <x v="0"/>
    <x v="3"/>
    <s v="CC-500"/>
    <n v="44900.57"/>
    <n v="46359.16"/>
    <n v="1458.5900000000038"/>
    <n v="3.2484888276474083E-2"/>
    <s v="On Budget"/>
  </r>
  <r>
    <d v="2023-05-01T00:00:00"/>
    <x v="4"/>
    <x v="4"/>
    <s v="May-2023"/>
    <x v="0"/>
    <x v="4"/>
    <x v="1"/>
    <x v="0"/>
    <s v="CC-500"/>
    <n v="17131.740000000002"/>
    <n v="17846.23"/>
    <n v="714.48999999999796"/>
    <n v="4.1705629434021174E-2"/>
    <s v="On Budget"/>
  </r>
  <r>
    <d v="2023-05-01T00:00:00"/>
    <x v="4"/>
    <x v="4"/>
    <s v="May-2023"/>
    <x v="0"/>
    <x v="4"/>
    <x v="1"/>
    <x v="1"/>
    <s v="CC-500"/>
    <n v="15559.73"/>
    <n v="15114.47"/>
    <n v="-445.26000000000022"/>
    <n v="-2.8616177787146709E-2"/>
    <s v="On Budget"/>
  </r>
  <r>
    <d v="2023-05-01T00:00:00"/>
    <x v="4"/>
    <x v="4"/>
    <s v="May-2023"/>
    <x v="0"/>
    <x v="4"/>
    <x v="1"/>
    <x v="2"/>
    <s v="CC-500"/>
    <n v="16712.400000000001"/>
    <n v="16598.43"/>
    <n v="-113.97000000000116"/>
    <n v="-6.8194873267753975E-3"/>
    <s v="On Budget"/>
  </r>
  <r>
    <d v="2023-05-01T00:00:00"/>
    <x v="4"/>
    <x v="4"/>
    <s v="May-2023"/>
    <x v="0"/>
    <x v="4"/>
    <x v="1"/>
    <x v="3"/>
    <s v="CC-500"/>
    <n v="17458.82"/>
    <n v="16844.43"/>
    <n v="-614.38999999999942"/>
    <n v="-3.5190809000837368E-2"/>
    <s v="On Budget"/>
  </r>
  <r>
    <d v="2023-05-01T00:00:00"/>
    <x v="4"/>
    <x v="4"/>
    <s v="May-2023"/>
    <x v="0"/>
    <x v="4"/>
    <x v="2"/>
    <x v="0"/>
    <s v="CC-500"/>
    <n v="7137.93"/>
    <n v="7251.84"/>
    <n v="113.90999999999985"/>
    <n v="1.5958408109914196E-2"/>
    <s v="On Budget"/>
  </r>
  <r>
    <d v="2023-05-01T00:00:00"/>
    <x v="4"/>
    <x v="4"/>
    <s v="May-2023"/>
    <x v="0"/>
    <x v="4"/>
    <x v="2"/>
    <x v="1"/>
    <s v="CC-500"/>
    <n v="6620.01"/>
    <n v="6722.1"/>
    <n v="102.09000000000015"/>
    <n v="1.5421426855850693E-2"/>
    <s v="On Budget"/>
  </r>
  <r>
    <d v="2023-05-01T00:00:00"/>
    <x v="4"/>
    <x v="4"/>
    <s v="May-2023"/>
    <x v="0"/>
    <x v="4"/>
    <x v="2"/>
    <x v="2"/>
    <s v="CC-500"/>
    <n v="7046.83"/>
    <n v="6773.28"/>
    <n v="-273.55000000000018"/>
    <n v="-3.8818873167083663E-2"/>
    <s v="On Budget"/>
  </r>
  <r>
    <d v="2023-05-01T00:00:00"/>
    <x v="4"/>
    <x v="4"/>
    <s v="May-2023"/>
    <x v="0"/>
    <x v="4"/>
    <x v="2"/>
    <x v="3"/>
    <s v="CC-500"/>
    <n v="7346.56"/>
    <n v="7362.13"/>
    <n v="15.569999999999709"/>
    <n v="2.1193592647442759E-3"/>
    <s v="On Budget"/>
  </r>
  <r>
    <d v="2023-05-01T00:00:00"/>
    <x v="4"/>
    <x v="4"/>
    <s v="May-2023"/>
    <x v="0"/>
    <x v="4"/>
    <x v="3"/>
    <x v="0"/>
    <s v="CC-500"/>
    <n v="7307.01"/>
    <n v="7666.47"/>
    <n v="359.46000000000004"/>
    <n v="4.9193856310583949E-2"/>
    <s v="On Budget"/>
  </r>
  <r>
    <d v="2023-05-01T00:00:00"/>
    <x v="4"/>
    <x v="4"/>
    <s v="May-2023"/>
    <x v="0"/>
    <x v="4"/>
    <x v="3"/>
    <x v="1"/>
    <s v="CC-500"/>
    <n v="6969.58"/>
    <n v="6855.15"/>
    <n v="-114.43000000000029"/>
    <n v="-1.6418492936446715E-2"/>
    <s v="On Budget"/>
  </r>
  <r>
    <d v="2023-05-01T00:00:00"/>
    <x v="4"/>
    <x v="4"/>
    <s v="May-2023"/>
    <x v="0"/>
    <x v="4"/>
    <x v="3"/>
    <x v="2"/>
    <s v="CC-500"/>
    <n v="7160.96"/>
    <n v="6985.33"/>
    <n v="-175.63000000000011"/>
    <n v="-2.4526041201179745E-2"/>
    <s v="On Budget"/>
  </r>
  <r>
    <d v="2023-05-01T00:00:00"/>
    <x v="4"/>
    <x v="4"/>
    <s v="May-2023"/>
    <x v="0"/>
    <x v="4"/>
    <x v="3"/>
    <x v="3"/>
    <s v="CC-500"/>
    <n v="7414.38"/>
    <n v="7766.48"/>
    <n v="352.09999999999945"/>
    <n v="4.7488798793695421E-2"/>
    <s v="On Budget"/>
  </r>
  <r>
    <d v="2023-05-01T00:00:00"/>
    <x v="4"/>
    <x v="4"/>
    <s v="May-2023"/>
    <x v="0"/>
    <x v="4"/>
    <x v="4"/>
    <x v="0"/>
    <s v="CC-500"/>
    <n v="6436.71"/>
    <n v="6364.52"/>
    <n v="-72.1899999999996"/>
    <n v="-1.1215356913702746E-2"/>
    <s v="On Budget"/>
  </r>
  <r>
    <d v="2023-05-01T00:00:00"/>
    <x v="4"/>
    <x v="4"/>
    <s v="May-2023"/>
    <x v="0"/>
    <x v="4"/>
    <x v="4"/>
    <x v="1"/>
    <s v="CC-500"/>
    <n v="6097.49"/>
    <n v="6222.71"/>
    <n v="125.22000000000025"/>
    <n v="2.0536319042753701E-2"/>
    <s v="On Budget"/>
  </r>
  <r>
    <d v="2023-05-01T00:00:00"/>
    <x v="4"/>
    <x v="4"/>
    <s v="May-2023"/>
    <x v="0"/>
    <x v="4"/>
    <x v="4"/>
    <x v="2"/>
    <s v="CC-500"/>
    <n v="6077.62"/>
    <n v="6205.35"/>
    <n v="127.73000000000047"/>
    <n v="2.1016450518459608E-2"/>
    <s v="On Budget"/>
  </r>
  <r>
    <d v="2023-05-01T00:00:00"/>
    <x v="4"/>
    <x v="4"/>
    <s v="May-2023"/>
    <x v="0"/>
    <x v="4"/>
    <x v="4"/>
    <x v="3"/>
    <s v="CC-500"/>
    <n v="6582.56"/>
    <n v="6503.36"/>
    <n v="-79.200000000000728"/>
    <n v="-1.2031793101772065E-2"/>
    <s v="On Budget"/>
  </r>
  <r>
    <d v="2023-06-01T00:00:00"/>
    <x v="5"/>
    <x v="5"/>
    <s v="Jun-2023"/>
    <x v="0"/>
    <x v="0"/>
    <x v="0"/>
    <x v="0"/>
    <s v="CC-100"/>
    <n v="49440.3"/>
    <n v="58980.83"/>
    <n v="9540.5299999999988"/>
    <n v="0.19297071417446898"/>
    <s v="Overspend"/>
  </r>
  <r>
    <d v="2023-06-01T00:00:00"/>
    <x v="5"/>
    <x v="5"/>
    <s v="Jun-2023"/>
    <x v="0"/>
    <x v="0"/>
    <x v="0"/>
    <x v="1"/>
    <s v="CC-100"/>
    <n v="46350.9"/>
    <n v="54756.56"/>
    <n v="8405.6599999999962"/>
    <n v="0.18134836648263564"/>
    <s v="Overspend"/>
  </r>
  <r>
    <d v="2023-06-01T00:00:00"/>
    <x v="5"/>
    <x v="5"/>
    <s v="Jun-2023"/>
    <x v="0"/>
    <x v="0"/>
    <x v="0"/>
    <x v="2"/>
    <s v="CC-100"/>
    <n v="48184.78"/>
    <n v="54904.160000000003"/>
    <n v="6719.3800000000047"/>
    <n v="0.13945025794452118"/>
    <s v="Overspend"/>
  </r>
  <r>
    <d v="2023-06-01T00:00:00"/>
    <x v="5"/>
    <x v="5"/>
    <s v="Jun-2023"/>
    <x v="0"/>
    <x v="0"/>
    <x v="0"/>
    <x v="3"/>
    <s v="CC-100"/>
    <n v="51584.04"/>
    <n v="57072.85"/>
    <n v="5488.8099999999977"/>
    <n v="0.10640519819696165"/>
    <s v="Overspend"/>
  </r>
  <r>
    <d v="2023-06-01T00:00:00"/>
    <x v="5"/>
    <x v="5"/>
    <s v="Jun-2023"/>
    <x v="0"/>
    <x v="0"/>
    <x v="1"/>
    <x v="0"/>
    <s v="CC-100"/>
    <n v="18784.03"/>
    <n v="22240.29"/>
    <n v="3456.260000000002"/>
    <n v="0.1839999190801975"/>
    <s v="Overspend"/>
  </r>
  <r>
    <d v="2023-06-01T00:00:00"/>
    <x v="5"/>
    <x v="5"/>
    <s v="Jun-2023"/>
    <x v="0"/>
    <x v="0"/>
    <x v="1"/>
    <x v="1"/>
    <s v="CC-100"/>
    <n v="17495.2"/>
    <n v="19615.73"/>
    <n v="2120.5299999999988"/>
    <n v="0.12120638803786174"/>
    <s v="Overspend"/>
  </r>
  <r>
    <d v="2023-06-01T00:00:00"/>
    <x v="5"/>
    <x v="5"/>
    <s v="Jun-2023"/>
    <x v="0"/>
    <x v="0"/>
    <x v="1"/>
    <x v="2"/>
    <s v="CC-100"/>
    <n v="17723.919999999998"/>
    <n v="19763.830000000002"/>
    <n v="2039.9100000000035"/>
    <n v="0.1150936136024087"/>
    <s v="Overspend"/>
  </r>
  <r>
    <d v="2023-06-01T00:00:00"/>
    <x v="5"/>
    <x v="5"/>
    <s v="Jun-2023"/>
    <x v="0"/>
    <x v="0"/>
    <x v="1"/>
    <x v="3"/>
    <s v="CC-100"/>
    <n v="19400.3"/>
    <n v="23173.17"/>
    <n v="3772.869999999999"/>
    <n v="0.19447482770884983"/>
    <s v="Overspend"/>
  </r>
  <r>
    <d v="2023-06-01T00:00:00"/>
    <x v="5"/>
    <x v="5"/>
    <s v="Jun-2023"/>
    <x v="0"/>
    <x v="0"/>
    <x v="2"/>
    <x v="0"/>
    <s v="CC-100"/>
    <n v="10617.19"/>
    <n v="11831.13"/>
    <n v="1213.9399999999987"/>
    <n v="0.11433722105378152"/>
    <s v="Overspend"/>
  </r>
  <r>
    <d v="2023-06-01T00:00:00"/>
    <x v="5"/>
    <x v="5"/>
    <s v="Jun-2023"/>
    <x v="0"/>
    <x v="0"/>
    <x v="2"/>
    <x v="1"/>
    <s v="CC-100"/>
    <n v="9964.26"/>
    <n v="11057.25"/>
    <n v="1092.9899999999998"/>
    <n v="0.10969103576181269"/>
    <s v="Overspend"/>
  </r>
  <r>
    <d v="2023-06-01T00:00:00"/>
    <x v="5"/>
    <x v="5"/>
    <s v="Jun-2023"/>
    <x v="0"/>
    <x v="0"/>
    <x v="2"/>
    <x v="2"/>
    <s v="CC-100"/>
    <n v="10063.719999999999"/>
    <n v="11209.43"/>
    <n v="1145.7100000000009"/>
    <n v="0.11384557598979314"/>
    <s v="Overspend"/>
  </r>
  <r>
    <d v="2023-06-01T00:00:00"/>
    <x v="5"/>
    <x v="5"/>
    <s v="Jun-2023"/>
    <x v="0"/>
    <x v="0"/>
    <x v="2"/>
    <x v="3"/>
    <s v="CC-100"/>
    <n v="11027.46"/>
    <n v="12202.71"/>
    <n v="1175.25"/>
    <n v="0.10657485948713485"/>
    <s v="Overspend"/>
  </r>
  <r>
    <d v="2023-06-01T00:00:00"/>
    <x v="5"/>
    <x v="5"/>
    <s v="Jun-2023"/>
    <x v="0"/>
    <x v="0"/>
    <x v="3"/>
    <x v="0"/>
    <s v="CC-100"/>
    <n v="8294.0499999999993"/>
    <n v="9805.24"/>
    <n v="1511.1900000000005"/>
    <n v="0.18220169880818185"/>
    <s v="Overspend"/>
  </r>
  <r>
    <d v="2023-06-01T00:00:00"/>
    <x v="5"/>
    <x v="5"/>
    <s v="Jun-2023"/>
    <x v="0"/>
    <x v="0"/>
    <x v="3"/>
    <x v="1"/>
    <s v="CC-100"/>
    <n v="7735.93"/>
    <n v="9096.89"/>
    <n v="1360.9599999999991"/>
    <n v="0.17592713481119904"/>
    <s v="Overspend"/>
  </r>
  <r>
    <d v="2023-06-01T00:00:00"/>
    <x v="5"/>
    <x v="5"/>
    <s v="Jun-2023"/>
    <x v="0"/>
    <x v="0"/>
    <x v="3"/>
    <x v="2"/>
    <s v="CC-100"/>
    <n v="7852.27"/>
    <n v="8770.27"/>
    <n v="918"/>
    <n v="0.11690886839092389"/>
    <s v="Overspend"/>
  </r>
  <r>
    <d v="2023-06-01T00:00:00"/>
    <x v="5"/>
    <x v="5"/>
    <s v="Jun-2023"/>
    <x v="0"/>
    <x v="0"/>
    <x v="3"/>
    <x v="3"/>
    <s v="CC-100"/>
    <n v="8417.82"/>
    <n v="9510.06"/>
    <n v="1092.2399999999998"/>
    <n v="0.12975330905151214"/>
    <s v="Overspend"/>
  </r>
  <r>
    <d v="2023-06-01T00:00:00"/>
    <x v="5"/>
    <x v="5"/>
    <s v="Jun-2023"/>
    <x v="0"/>
    <x v="0"/>
    <x v="4"/>
    <x v="0"/>
    <s v="CC-100"/>
    <n v="8295.2800000000007"/>
    <n v="9282.08"/>
    <n v="986.79999999999927"/>
    <n v="0.11895921536102448"/>
    <s v="Overspend"/>
  </r>
  <r>
    <d v="2023-06-01T00:00:00"/>
    <x v="5"/>
    <x v="5"/>
    <s v="Jun-2023"/>
    <x v="0"/>
    <x v="0"/>
    <x v="4"/>
    <x v="1"/>
    <s v="CC-100"/>
    <n v="7952.45"/>
    <n v="8965.1200000000008"/>
    <n v="1012.670000000001"/>
    <n v="0.127340630874762"/>
    <s v="Overspend"/>
  </r>
  <r>
    <d v="2023-06-01T00:00:00"/>
    <x v="5"/>
    <x v="5"/>
    <s v="Jun-2023"/>
    <x v="0"/>
    <x v="0"/>
    <x v="4"/>
    <x v="2"/>
    <s v="CC-100"/>
    <n v="8015.63"/>
    <n v="9510"/>
    <n v="1494.37"/>
    <n v="0.1864320084634645"/>
    <s v="Overspend"/>
  </r>
  <r>
    <d v="2023-06-01T00:00:00"/>
    <x v="5"/>
    <x v="5"/>
    <s v="Jun-2023"/>
    <x v="0"/>
    <x v="0"/>
    <x v="4"/>
    <x v="3"/>
    <s v="CC-100"/>
    <n v="8713.68"/>
    <n v="10219.84"/>
    <n v="1506.1599999999999"/>
    <n v="0.17285004728197498"/>
    <s v="Overspend"/>
  </r>
  <r>
    <d v="2023-06-01T00:00:00"/>
    <x v="5"/>
    <x v="5"/>
    <s v="Jun-2023"/>
    <x v="0"/>
    <x v="1"/>
    <x v="0"/>
    <x v="0"/>
    <s v="CC-200"/>
    <n v="53100.37"/>
    <n v="47128.77"/>
    <n v="-5971.6000000000058"/>
    <n v="-0.11245872674710186"/>
    <s v="Underspend"/>
  </r>
  <r>
    <d v="2023-06-01T00:00:00"/>
    <x v="5"/>
    <x v="5"/>
    <s v="Jun-2023"/>
    <x v="0"/>
    <x v="1"/>
    <x v="0"/>
    <x v="1"/>
    <s v="CC-200"/>
    <n v="50257.13"/>
    <n v="44672.43"/>
    <n v="-5584.6999999999971"/>
    <n v="-0.11112254121952442"/>
    <s v="Underspend"/>
  </r>
  <r>
    <d v="2023-06-01T00:00:00"/>
    <x v="5"/>
    <x v="5"/>
    <s v="Jun-2023"/>
    <x v="0"/>
    <x v="1"/>
    <x v="0"/>
    <x v="2"/>
    <s v="CC-200"/>
    <n v="48797.66"/>
    <n v="41497.64"/>
    <n v="-7300.0200000000041"/>
    <n v="-0.14959774710508666"/>
    <s v="Underspend"/>
  </r>
  <r>
    <d v="2023-06-01T00:00:00"/>
    <x v="5"/>
    <x v="5"/>
    <s v="Jun-2023"/>
    <x v="0"/>
    <x v="1"/>
    <x v="0"/>
    <x v="3"/>
    <s v="CC-200"/>
    <n v="53541.22"/>
    <n v="46664.1"/>
    <n v="-6877.1200000000026"/>
    <n v="-0.12844533613541123"/>
    <s v="Underspend"/>
  </r>
  <r>
    <d v="2023-06-01T00:00:00"/>
    <x v="5"/>
    <x v="5"/>
    <s v="Jun-2023"/>
    <x v="0"/>
    <x v="1"/>
    <x v="1"/>
    <x v="0"/>
    <s v="CC-200"/>
    <n v="28568.39"/>
    <n v="25278.75"/>
    <n v="-3289.6399999999994"/>
    <n v="-0.11514964616486961"/>
    <s v="Underspend"/>
  </r>
  <r>
    <d v="2023-06-01T00:00:00"/>
    <x v="5"/>
    <x v="5"/>
    <s v="Jun-2023"/>
    <x v="0"/>
    <x v="1"/>
    <x v="1"/>
    <x v="1"/>
    <s v="CC-200"/>
    <n v="26649.96"/>
    <n v="23874.080000000002"/>
    <n v="-2775.8799999999974"/>
    <n v="-0.10416075671408127"/>
    <s v="Underspend"/>
  </r>
  <r>
    <d v="2023-06-01T00:00:00"/>
    <x v="5"/>
    <x v="5"/>
    <s v="Jun-2023"/>
    <x v="0"/>
    <x v="1"/>
    <x v="1"/>
    <x v="2"/>
    <s v="CC-200"/>
    <n v="28470.67"/>
    <n v="25641.09"/>
    <n v="-2829.5799999999981"/>
    <n v="-9.9385788954035797E-2"/>
    <s v="Underspend"/>
  </r>
  <r>
    <d v="2023-06-01T00:00:00"/>
    <x v="5"/>
    <x v="5"/>
    <s v="Jun-2023"/>
    <x v="0"/>
    <x v="1"/>
    <x v="1"/>
    <x v="3"/>
    <s v="CC-200"/>
    <n v="29255.69"/>
    <n v="25336.81"/>
    <n v="-3918.8799999999974"/>
    <n v="-0.13395274560265019"/>
    <s v="Underspend"/>
  </r>
  <r>
    <d v="2023-06-01T00:00:00"/>
    <x v="5"/>
    <x v="5"/>
    <s v="Jun-2023"/>
    <x v="0"/>
    <x v="1"/>
    <x v="2"/>
    <x v="0"/>
    <s v="CC-200"/>
    <n v="11118.45"/>
    <n v="9941.6"/>
    <n v="-1176.8500000000004"/>
    <n v="-0.10584658832840911"/>
    <s v="Underspend"/>
  </r>
  <r>
    <d v="2023-06-01T00:00:00"/>
    <x v="5"/>
    <x v="5"/>
    <s v="Jun-2023"/>
    <x v="0"/>
    <x v="1"/>
    <x v="2"/>
    <x v="1"/>
    <s v="CC-200"/>
    <n v="10547.63"/>
    <n v="9061.51"/>
    <n v="-1486.119999999999"/>
    <n v="-0.14089610651871548"/>
    <s v="Underspend"/>
  </r>
  <r>
    <d v="2023-06-01T00:00:00"/>
    <x v="5"/>
    <x v="5"/>
    <s v="Jun-2023"/>
    <x v="0"/>
    <x v="1"/>
    <x v="2"/>
    <x v="2"/>
    <s v="CC-200"/>
    <n v="10530.03"/>
    <n v="9061.74"/>
    <n v="-1468.2900000000009"/>
    <n v="-0.13943834917849243"/>
    <s v="Underspend"/>
  </r>
  <r>
    <d v="2023-06-01T00:00:00"/>
    <x v="5"/>
    <x v="5"/>
    <s v="Jun-2023"/>
    <x v="0"/>
    <x v="1"/>
    <x v="2"/>
    <x v="3"/>
    <s v="CC-200"/>
    <n v="11410.15"/>
    <n v="10211.4"/>
    <n v="-1198.75"/>
    <n v="-0.10505996853678523"/>
    <s v="Underspend"/>
  </r>
  <r>
    <d v="2023-06-01T00:00:00"/>
    <x v="5"/>
    <x v="5"/>
    <s v="Jun-2023"/>
    <x v="0"/>
    <x v="1"/>
    <x v="3"/>
    <x v="0"/>
    <s v="CC-200"/>
    <n v="8434.0400000000009"/>
    <n v="7288.12"/>
    <n v="-1145.920000000001"/>
    <n v="-0.13586845687238866"/>
    <s v="Underspend"/>
  </r>
  <r>
    <d v="2023-06-01T00:00:00"/>
    <x v="5"/>
    <x v="5"/>
    <s v="Jun-2023"/>
    <x v="0"/>
    <x v="1"/>
    <x v="3"/>
    <x v="1"/>
    <s v="CC-200"/>
    <n v="8060.33"/>
    <n v="7167.38"/>
    <n v="-892.94999999999982"/>
    <n v="-0.11078330539816605"/>
    <s v="Underspend"/>
  </r>
  <r>
    <d v="2023-06-01T00:00:00"/>
    <x v="5"/>
    <x v="5"/>
    <s v="Jun-2023"/>
    <x v="0"/>
    <x v="1"/>
    <x v="3"/>
    <x v="2"/>
    <s v="CC-200"/>
    <n v="8431.5499999999993"/>
    <n v="7470.42"/>
    <n v="-961.1299999999992"/>
    <n v="-0.11399208923626133"/>
    <s v="Underspend"/>
  </r>
  <r>
    <d v="2023-06-01T00:00:00"/>
    <x v="5"/>
    <x v="5"/>
    <s v="Jun-2023"/>
    <x v="0"/>
    <x v="1"/>
    <x v="3"/>
    <x v="3"/>
    <s v="CC-200"/>
    <n v="8806.7199999999993"/>
    <n v="7873.18"/>
    <n v="-933.53999999999905"/>
    <n v="-0.10600314305439473"/>
    <s v="Underspend"/>
  </r>
  <r>
    <d v="2023-06-01T00:00:00"/>
    <x v="5"/>
    <x v="5"/>
    <s v="Jun-2023"/>
    <x v="0"/>
    <x v="1"/>
    <x v="4"/>
    <x v="0"/>
    <s v="CC-200"/>
    <n v="7334.37"/>
    <n v="6361.25"/>
    <n v="-973.11999999999989"/>
    <n v="-0.13267942577208403"/>
    <s v="Underspend"/>
  </r>
  <r>
    <d v="2023-06-01T00:00:00"/>
    <x v="5"/>
    <x v="5"/>
    <s v="Jun-2023"/>
    <x v="0"/>
    <x v="1"/>
    <x v="4"/>
    <x v="1"/>
    <s v="CC-200"/>
    <n v="7123.75"/>
    <n v="6314.71"/>
    <n v="-809.04"/>
    <n v="-0.11356939814002456"/>
    <s v="Underspend"/>
  </r>
  <r>
    <d v="2023-06-01T00:00:00"/>
    <x v="5"/>
    <x v="5"/>
    <s v="Jun-2023"/>
    <x v="0"/>
    <x v="1"/>
    <x v="4"/>
    <x v="2"/>
    <s v="CC-200"/>
    <n v="7294.59"/>
    <n v="6215.88"/>
    <n v="-1078.71"/>
    <n v="-0.14787808499175417"/>
    <s v="Underspend"/>
  </r>
  <r>
    <d v="2023-06-01T00:00:00"/>
    <x v="5"/>
    <x v="5"/>
    <s v="Jun-2023"/>
    <x v="0"/>
    <x v="1"/>
    <x v="4"/>
    <x v="3"/>
    <s v="CC-200"/>
    <n v="7684.03"/>
    <n v="6849.56"/>
    <n v="-834.46999999999935"/>
    <n v="-0.10859796226719565"/>
    <s v="Underspend"/>
  </r>
  <r>
    <d v="2023-06-01T00:00:00"/>
    <x v="5"/>
    <x v="5"/>
    <s v="Jun-2023"/>
    <x v="0"/>
    <x v="2"/>
    <x v="0"/>
    <x v="0"/>
    <s v="CC-300"/>
    <n v="44232.08"/>
    <n v="44556.78"/>
    <n v="324.69999999999709"/>
    <n v="7.3408259344800667E-3"/>
    <s v="On Budget"/>
  </r>
  <r>
    <d v="2023-06-01T00:00:00"/>
    <x v="5"/>
    <x v="5"/>
    <s v="Jun-2023"/>
    <x v="0"/>
    <x v="2"/>
    <x v="0"/>
    <x v="1"/>
    <s v="CC-300"/>
    <n v="41779.160000000003"/>
    <n v="41721.69"/>
    <n v="-57.470000000001164"/>
    <n v="-1.3755661913739088E-3"/>
    <s v="On Budget"/>
  </r>
  <r>
    <d v="2023-06-01T00:00:00"/>
    <x v="5"/>
    <x v="5"/>
    <s v="Jun-2023"/>
    <x v="0"/>
    <x v="2"/>
    <x v="0"/>
    <x v="2"/>
    <s v="CC-300"/>
    <n v="43372.68"/>
    <n v="42303.71"/>
    <n v="-1068.9700000000012"/>
    <n v="-2.4646159748486864E-2"/>
    <s v="On Budget"/>
  </r>
  <r>
    <d v="2023-06-01T00:00:00"/>
    <x v="5"/>
    <x v="5"/>
    <s v="Jun-2023"/>
    <x v="0"/>
    <x v="2"/>
    <x v="0"/>
    <x v="3"/>
    <s v="CC-300"/>
    <n v="46516.82"/>
    <n v="46795.57"/>
    <n v="278.75"/>
    <n v="5.9924560621297841E-3"/>
    <s v="On Budget"/>
  </r>
  <r>
    <d v="2023-06-01T00:00:00"/>
    <x v="5"/>
    <x v="5"/>
    <s v="Jun-2023"/>
    <x v="0"/>
    <x v="2"/>
    <x v="1"/>
    <x v="0"/>
    <s v="CC-300"/>
    <n v="15443.92"/>
    <n v="15771.24"/>
    <n v="327.31999999999971"/>
    <n v="2.1194100979544033E-2"/>
    <s v="On Budget"/>
  </r>
  <r>
    <d v="2023-06-01T00:00:00"/>
    <x v="5"/>
    <x v="5"/>
    <s v="Jun-2023"/>
    <x v="0"/>
    <x v="2"/>
    <x v="1"/>
    <x v="1"/>
    <s v="CC-300"/>
    <n v="14492.79"/>
    <n v="14530.75"/>
    <n v="37.959999999999127"/>
    <n v="2.619233425724041E-3"/>
    <s v="On Budget"/>
  </r>
  <r>
    <d v="2023-06-01T00:00:00"/>
    <x v="5"/>
    <x v="5"/>
    <s v="Jun-2023"/>
    <x v="0"/>
    <x v="2"/>
    <x v="1"/>
    <x v="2"/>
    <s v="CC-300"/>
    <n v="14640.51"/>
    <n v="14917.96"/>
    <n v="277.44999999999891"/>
    <n v="1.8950842559446283E-2"/>
    <s v="On Budget"/>
  </r>
  <r>
    <d v="2023-06-01T00:00:00"/>
    <x v="5"/>
    <x v="5"/>
    <s v="Jun-2023"/>
    <x v="0"/>
    <x v="2"/>
    <x v="1"/>
    <x v="3"/>
    <s v="CC-300"/>
    <n v="15524"/>
    <n v="15401.62"/>
    <n v="-122.3799999999992"/>
    <n v="-7.8832775057974241E-3"/>
    <s v="On Budget"/>
  </r>
  <r>
    <d v="2023-06-01T00:00:00"/>
    <x v="5"/>
    <x v="5"/>
    <s v="Jun-2023"/>
    <x v="0"/>
    <x v="2"/>
    <x v="2"/>
    <x v="0"/>
    <s v="CC-300"/>
    <n v="8451.08"/>
    <n v="8397.2199999999993"/>
    <n v="-53.860000000000582"/>
    <n v="-6.3731499405993769E-3"/>
    <s v="On Budget"/>
  </r>
  <r>
    <d v="2023-06-01T00:00:00"/>
    <x v="5"/>
    <x v="5"/>
    <s v="Jun-2023"/>
    <x v="0"/>
    <x v="2"/>
    <x v="2"/>
    <x v="1"/>
    <s v="CC-300"/>
    <n v="8341.1299999999992"/>
    <n v="8596.86"/>
    <n v="255.73000000000138"/>
    <n v="3.0658915518640927E-2"/>
    <s v="On Budget"/>
  </r>
  <r>
    <d v="2023-06-01T00:00:00"/>
    <x v="5"/>
    <x v="5"/>
    <s v="Jun-2023"/>
    <x v="0"/>
    <x v="2"/>
    <x v="2"/>
    <x v="2"/>
    <s v="CC-300"/>
    <n v="8245.4"/>
    <n v="8093.76"/>
    <n v="-151.63999999999942"/>
    <n v="-1.8390860358502854E-2"/>
    <s v="On Budget"/>
  </r>
  <r>
    <d v="2023-06-01T00:00:00"/>
    <x v="5"/>
    <x v="5"/>
    <s v="Jun-2023"/>
    <x v="0"/>
    <x v="2"/>
    <x v="2"/>
    <x v="3"/>
    <s v="CC-300"/>
    <n v="8752.25"/>
    <n v="8967.7000000000007"/>
    <n v="215.45000000000073"/>
    <n v="2.4616527178725554E-2"/>
    <s v="On Budget"/>
  </r>
  <r>
    <d v="2023-06-01T00:00:00"/>
    <x v="5"/>
    <x v="5"/>
    <s v="Jun-2023"/>
    <x v="0"/>
    <x v="2"/>
    <x v="3"/>
    <x v="0"/>
    <s v="CC-300"/>
    <n v="6588.86"/>
    <n v="6712.35"/>
    <n v="123.49000000000069"/>
    <n v="1.8742240691106003E-2"/>
    <s v="On Budget"/>
  </r>
  <r>
    <d v="2023-06-01T00:00:00"/>
    <x v="5"/>
    <x v="5"/>
    <s v="Jun-2023"/>
    <x v="0"/>
    <x v="2"/>
    <x v="3"/>
    <x v="1"/>
    <s v="CC-300"/>
    <n v="6196.51"/>
    <n v="6087.73"/>
    <n v="-108.78000000000065"/>
    <n v="-1.7555043080701983E-2"/>
    <s v="On Budget"/>
  </r>
  <r>
    <d v="2023-06-01T00:00:00"/>
    <x v="5"/>
    <x v="5"/>
    <s v="Jun-2023"/>
    <x v="0"/>
    <x v="2"/>
    <x v="3"/>
    <x v="2"/>
    <s v="CC-300"/>
    <n v="6614.81"/>
    <n v="6554.35"/>
    <n v="-60.460000000000036"/>
    <n v="-9.1400962385918914E-3"/>
    <s v="On Budget"/>
  </r>
  <r>
    <d v="2023-06-01T00:00:00"/>
    <x v="5"/>
    <x v="5"/>
    <s v="Jun-2023"/>
    <x v="0"/>
    <x v="2"/>
    <x v="3"/>
    <x v="3"/>
    <s v="CC-300"/>
    <n v="7106.28"/>
    <n v="7215.31"/>
    <n v="109.03000000000065"/>
    <n v="1.5342767242495463E-2"/>
    <s v="On Budget"/>
  </r>
  <r>
    <d v="2023-06-01T00:00:00"/>
    <x v="5"/>
    <x v="5"/>
    <s v="Jun-2023"/>
    <x v="0"/>
    <x v="2"/>
    <x v="4"/>
    <x v="0"/>
    <s v="CC-300"/>
    <n v="5587.59"/>
    <n v="5688.59"/>
    <n v="101"/>
    <n v="1.8075771486454804E-2"/>
    <s v="On Budget"/>
  </r>
  <r>
    <d v="2023-06-01T00:00:00"/>
    <x v="5"/>
    <x v="5"/>
    <s v="Jun-2023"/>
    <x v="0"/>
    <x v="2"/>
    <x v="4"/>
    <x v="1"/>
    <s v="CC-300"/>
    <n v="5502.68"/>
    <n v="5546.97"/>
    <n v="44.289999999999964"/>
    <n v="8.0488053094128608E-3"/>
    <s v="On Budget"/>
  </r>
  <r>
    <d v="2023-06-01T00:00:00"/>
    <x v="5"/>
    <x v="5"/>
    <s v="Jun-2023"/>
    <x v="0"/>
    <x v="2"/>
    <x v="4"/>
    <x v="2"/>
    <s v="CC-300"/>
    <n v="5669.14"/>
    <n v="5844.87"/>
    <n v="175.72999999999956"/>
    <n v="3.0997646909407699E-2"/>
    <s v="On Budget"/>
  </r>
  <r>
    <d v="2023-06-01T00:00:00"/>
    <x v="5"/>
    <x v="5"/>
    <s v="Jun-2023"/>
    <x v="0"/>
    <x v="2"/>
    <x v="4"/>
    <x v="3"/>
    <s v="CC-300"/>
    <n v="5944.43"/>
    <n v="6082.12"/>
    <n v="137.6899999999996"/>
    <n v="2.3162860021902789E-2"/>
    <s v="On Budget"/>
  </r>
  <r>
    <d v="2023-06-01T00:00:00"/>
    <x v="5"/>
    <x v="5"/>
    <s v="Jun-2023"/>
    <x v="0"/>
    <x v="3"/>
    <x v="0"/>
    <x v="0"/>
    <s v="CC-400"/>
    <n v="55417.85"/>
    <n v="62520.21"/>
    <n v="7102.3600000000006"/>
    <n v="0.12816015056520599"/>
    <s v="Overspend"/>
  </r>
  <r>
    <d v="2023-06-01T00:00:00"/>
    <x v="5"/>
    <x v="5"/>
    <s v="Jun-2023"/>
    <x v="0"/>
    <x v="3"/>
    <x v="0"/>
    <x v="1"/>
    <s v="CC-400"/>
    <n v="51303.06"/>
    <n v="45814.25"/>
    <n v="-5488.8099999999977"/>
    <n v="-0.10698796524027998"/>
    <s v="Underspend"/>
  </r>
  <r>
    <d v="2023-06-01T00:00:00"/>
    <x v="5"/>
    <x v="5"/>
    <s v="Jun-2023"/>
    <x v="0"/>
    <x v="3"/>
    <x v="0"/>
    <x v="2"/>
    <s v="CC-400"/>
    <n v="53034.15"/>
    <n v="54273.95"/>
    <n v="1239.7999999999956"/>
    <n v="2.3377389851633252E-2"/>
    <s v="On Budget"/>
  </r>
  <r>
    <d v="2023-06-01T00:00:00"/>
    <x v="5"/>
    <x v="5"/>
    <s v="Jun-2023"/>
    <x v="0"/>
    <x v="3"/>
    <x v="0"/>
    <x v="3"/>
    <s v="CC-400"/>
    <n v="56379.66"/>
    <n v="63201.16"/>
    <n v="6821.5"/>
    <n v="0.12099221598711307"/>
    <s v="Overspend"/>
  </r>
  <r>
    <d v="2023-06-01T00:00:00"/>
    <x v="5"/>
    <x v="5"/>
    <s v="Jun-2023"/>
    <x v="0"/>
    <x v="3"/>
    <x v="1"/>
    <x v="0"/>
    <s v="CC-400"/>
    <n v="20489.82"/>
    <n v="22530.35"/>
    <n v="2040.5299999999988"/>
    <n v="9.9587502476839659E-2"/>
    <s v="Overspend"/>
  </r>
  <r>
    <d v="2023-06-01T00:00:00"/>
    <x v="5"/>
    <x v="5"/>
    <s v="Jun-2023"/>
    <x v="0"/>
    <x v="3"/>
    <x v="1"/>
    <x v="1"/>
    <s v="CC-400"/>
    <n v="19823.43"/>
    <n v="18351.82"/>
    <n v="-1471.6100000000006"/>
    <n v="-7.4235891568714421E-2"/>
    <s v="Underspend"/>
  </r>
  <r>
    <d v="2023-06-01T00:00:00"/>
    <x v="5"/>
    <x v="5"/>
    <s v="Jun-2023"/>
    <x v="0"/>
    <x v="3"/>
    <x v="1"/>
    <x v="2"/>
    <s v="CC-400"/>
    <n v="20758.28"/>
    <n v="22836.29"/>
    <n v="2078.010000000002"/>
    <n v="0.1001051146819487"/>
    <s v="Overspend"/>
  </r>
  <r>
    <d v="2023-06-01T00:00:00"/>
    <x v="5"/>
    <x v="5"/>
    <s v="Jun-2023"/>
    <x v="0"/>
    <x v="3"/>
    <x v="1"/>
    <x v="3"/>
    <s v="CC-400"/>
    <n v="22241.91"/>
    <n v="21693.54"/>
    <n v="-548.36999999999898"/>
    <n v="-2.4654807073673034E-2"/>
    <s v="On Budget"/>
  </r>
  <r>
    <d v="2023-06-01T00:00:00"/>
    <x v="5"/>
    <x v="5"/>
    <s v="Jun-2023"/>
    <x v="0"/>
    <x v="3"/>
    <x v="2"/>
    <x v="0"/>
    <s v="CC-400"/>
    <n v="11685.07"/>
    <n v="13626.78"/>
    <n v="1941.7100000000009"/>
    <n v="0.16617016414963717"/>
    <s v="Overspend"/>
  </r>
  <r>
    <d v="2023-06-01T00:00:00"/>
    <x v="5"/>
    <x v="5"/>
    <s v="Jun-2023"/>
    <x v="0"/>
    <x v="3"/>
    <x v="2"/>
    <x v="1"/>
    <s v="CC-400"/>
    <n v="11076.71"/>
    <n v="12574.81"/>
    <n v="1498.1000000000004"/>
    <n v="0.13524774052945329"/>
    <s v="Overspend"/>
  </r>
  <r>
    <d v="2023-06-01T00:00:00"/>
    <x v="5"/>
    <x v="5"/>
    <s v="Jun-2023"/>
    <x v="0"/>
    <x v="3"/>
    <x v="2"/>
    <x v="2"/>
    <s v="CC-400"/>
    <n v="11558.7"/>
    <n v="11465.33"/>
    <n v="-93.3700000000008"/>
    <n v="-8.0778980335159487E-3"/>
    <s v="On Budget"/>
  </r>
  <r>
    <d v="2023-06-01T00:00:00"/>
    <x v="5"/>
    <x v="5"/>
    <s v="Jun-2023"/>
    <x v="0"/>
    <x v="3"/>
    <x v="2"/>
    <x v="3"/>
    <s v="CC-400"/>
    <n v="12437.65"/>
    <n v="11959.93"/>
    <n v="-477.71999999999935"/>
    <n v="-3.840918501485404E-2"/>
    <s v="On Budget"/>
  </r>
  <r>
    <d v="2023-06-01T00:00:00"/>
    <x v="5"/>
    <x v="5"/>
    <s v="Jun-2023"/>
    <x v="0"/>
    <x v="3"/>
    <x v="3"/>
    <x v="0"/>
    <s v="CC-400"/>
    <n v="12168.26"/>
    <n v="12866.44"/>
    <n v="698.18000000000029"/>
    <n v="5.7377143486414678E-2"/>
    <s v="Overspend"/>
  </r>
  <r>
    <d v="2023-06-01T00:00:00"/>
    <x v="5"/>
    <x v="5"/>
    <s v="Jun-2023"/>
    <x v="0"/>
    <x v="3"/>
    <x v="3"/>
    <x v="1"/>
    <s v="CC-400"/>
    <n v="11923.23"/>
    <n v="10289.36"/>
    <n v="-1633.869999999999"/>
    <n v="-0.1370324987440483"/>
    <s v="Underspend"/>
  </r>
  <r>
    <d v="2023-06-01T00:00:00"/>
    <x v="5"/>
    <x v="5"/>
    <s v="Jun-2023"/>
    <x v="0"/>
    <x v="3"/>
    <x v="3"/>
    <x v="2"/>
    <s v="CC-400"/>
    <n v="12082.32"/>
    <n v="12568.46"/>
    <n v="486.13999999999942"/>
    <n v="4.0235650106933057E-2"/>
    <s v="On Budget"/>
  </r>
  <r>
    <d v="2023-06-01T00:00:00"/>
    <x v="5"/>
    <x v="5"/>
    <s v="Jun-2023"/>
    <x v="0"/>
    <x v="3"/>
    <x v="3"/>
    <x v="3"/>
    <s v="CC-400"/>
    <n v="12425.08"/>
    <n v="12158.46"/>
    <n v="-266.6200000000008"/>
    <n v="-2.1458211939078122E-2"/>
    <s v="On Budget"/>
  </r>
  <r>
    <d v="2023-06-01T00:00:00"/>
    <x v="5"/>
    <x v="5"/>
    <s v="Jun-2023"/>
    <x v="0"/>
    <x v="3"/>
    <x v="4"/>
    <x v="0"/>
    <s v="CC-400"/>
    <n v="7582.64"/>
    <n v="7549.62"/>
    <n v="-33.020000000000437"/>
    <n v="-4.3546838568098226E-3"/>
    <s v="On Budget"/>
  </r>
  <r>
    <d v="2023-06-01T00:00:00"/>
    <x v="5"/>
    <x v="5"/>
    <s v="Jun-2023"/>
    <x v="0"/>
    <x v="3"/>
    <x v="4"/>
    <x v="1"/>
    <s v="CC-400"/>
    <n v="7223.46"/>
    <n v="7906.61"/>
    <n v="683.14999999999964"/>
    <n v="9.4573791507117033E-2"/>
    <s v="Overspend"/>
  </r>
  <r>
    <d v="2023-06-01T00:00:00"/>
    <x v="5"/>
    <x v="5"/>
    <s v="Jun-2023"/>
    <x v="0"/>
    <x v="3"/>
    <x v="4"/>
    <x v="2"/>
    <s v="CC-400"/>
    <n v="7741.62"/>
    <n v="8571.66"/>
    <n v="830.04"/>
    <n v="0.10721786912816697"/>
    <s v="Overspend"/>
  </r>
  <r>
    <d v="2023-06-01T00:00:00"/>
    <x v="5"/>
    <x v="5"/>
    <s v="Jun-2023"/>
    <x v="0"/>
    <x v="3"/>
    <x v="4"/>
    <x v="3"/>
    <s v="CC-400"/>
    <n v="7967.1"/>
    <n v="8252.06"/>
    <n v="284.95999999999913"/>
    <n v="3.5767092166534765E-2"/>
    <s v="On Budget"/>
  </r>
  <r>
    <d v="2023-06-01T00:00:00"/>
    <x v="5"/>
    <x v="5"/>
    <s v="Jun-2023"/>
    <x v="0"/>
    <x v="4"/>
    <x v="0"/>
    <x v="0"/>
    <s v="CC-500"/>
    <n v="43025.94"/>
    <n v="41471.54"/>
    <n v="-1554.4000000000015"/>
    <n v="-3.6127043360354272E-2"/>
    <s v="On Budget"/>
  </r>
  <r>
    <d v="2023-06-01T00:00:00"/>
    <x v="5"/>
    <x v="5"/>
    <s v="Jun-2023"/>
    <x v="0"/>
    <x v="4"/>
    <x v="0"/>
    <x v="1"/>
    <s v="CC-500"/>
    <n v="42715.27"/>
    <n v="43730.6"/>
    <n v="1015.3300000000017"/>
    <n v="2.3769719821506496E-2"/>
    <s v="On Budget"/>
  </r>
  <r>
    <d v="2023-06-01T00:00:00"/>
    <x v="5"/>
    <x v="5"/>
    <s v="Jun-2023"/>
    <x v="0"/>
    <x v="4"/>
    <x v="0"/>
    <x v="2"/>
    <s v="CC-500"/>
    <n v="43041.02"/>
    <n v="43156.480000000003"/>
    <n v="115.4600000000064"/>
    <n v="2.6825572442290262E-3"/>
    <s v="On Budget"/>
  </r>
  <r>
    <d v="2023-06-01T00:00:00"/>
    <x v="5"/>
    <x v="5"/>
    <s v="Jun-2023"/>
    <x v="0"/>
    <x v="4"/>
    <x v="0"/>
    <x v="3"/>
    <s v="CC-500"/>
    <n v="45251.96"/>
    <n v="45613.56"/>
    <n v="361.59999999999854"/>
    <n v="7.9908140995439431E-3"/>
    <s v="On Budget"/>
  </r>
  <r>
    <d v="2023-06-01T00:00:00"/>
    <x v="5"/>
    <x v="5"/>
    <s v="Jun-2023"/>
    <x v="0"/>
    <x v="4"/>
    <x v="1"/>
    <x v="0"/>
    <s v="CC-500"/>
    <n v="17032.349999999999"/>
    <n v="17510.490000000002"/>
    <n v="478.14000000000306"/>
    <n v="2.8072462108869479E-2"/>
    <s v="On Budget"/>
  </r>
  <r>
    <d v="2023-06-01T00:00:00"/>
    <x v="5"/>
    <x v="5"/>
    <s v="Jun-2023"/>
    <x v="0"/>
    <x v="4"/>
    <x v="1"/>
    <x v="1"/>
    <s v="CC-500"/>
    <n v="15911.5"/>
    <n v="15485.24"/>
    <n v="-426.26000000000022"/>
    <n v="-2.678942902931843E-2"/>
    <s v="On Budget"/>
  </r>
  <r>
    <d v="2023-06-01T00:00:00"/>
    <x v="5"/>
    <x v="5"/>
    <s v="Jun-2023"/>
    <x v="0"/>
    <x v="4"/>
    <x v="1"/>
    <x v="2"/>
    <s v="CC-500"/>
    <n v="16550.64"/>
    <n v="17191.009999999998"/>
    <n v="640.36999999999898"/>
    <n v="3.8691555130194302E-2"/>
    <s v="On Budget"/>
  </r>
  <r>
    <d v="2023-06-01T00:00:00"/>
    <x v="5"/>
    <x v="5"/>
    <s v="Jun-2023"/>
    <x v="0"/>
    <x v="4"/>
    <x v="1"/>
    <x v="3"/>
    <s v="CC-500"/>
    <n v="16947.939999999999"/>
    <n v="16324.49"/>
    <n v="-623.44999999999891"/>
    <n v="-3.6786181683437572E-2"/>
    <s v="On Budget"/>
  </r>
  <r>
    <d v="2023-06-01T00:00:00"/>
    <x v="5"/>
    <x v="5"/>
    <s v="Jun-2023"/>
    <x v="0"/>
    <x v="4"/>
    <x v="2"/>
    <x v="0"/>
    <s v="CC-500"/>
    <n v="6861.97"/>
    <n v="6632.14"/>
    <n v="-229.82999999999993"/>
    <n v="-3.3493297114385506E-2"/>
    <s v="On Budget"/>
  </r>
  <r>
    <d v="2023-06-01T00:00:00"/>
    <x v="5"/>
    <x v="5"/>
    <s v="Jun-2023"/>
    <x v="0"/>
    <x v="4"/>
    <x v="2"/>
    <x v="1"/>
    <s v="CC-500"/>
    <n v="6510.4"/>
    <n v="6312.22"/>
    <n v="-198.17999999999938"/>
    <n v="-3.0440525927746282E-2"/>
    <s v="On Budget"/>
  </r>
  <r>
    <d v="2023-06-01T00:00:00"/>
    <x v="5"/>
    <x v="5"/>
    <s v="Jun-2023"/>
    <x v="0"/>
    <x v="4"/>
    <x v="2"/>
    <x v="2"/>
    <s v="CC-500"/>
    <n v="6850.32"/>
    <n v="7056.73"/>
    <n v="206.40999999999985"/>
    <n v="3.0131439115252991E-2"/>
    <s v="On Budget"/>
  </r>
  <r>
    <d v="2023-06-01T00:00:00"/>
    <x v="5"/>
    <x v="5"/>
    <s v="Jun-2023"/>
    <x v="0"/>
    <x v="4"/>
    <x v="2"/>
    <x v="3"/>
    <s v="CC-500"/>
    <n v="7462"/>
    <n v="7568.67"/>
    <n v="106.67000000000007"/>
    <n v="1.4295095148753696E-2"/>
    <s v="On Budget"/>
  </r>
  <r>
    <d v="2023-06-01T00:00:00"/>
    <x v="5"/>
    <x v="5"/>
    <s v="Jun-2023"/>
    <x v="0"/>
    <x v="4"/>
    <x v="3"/>
    <x v="0"/>
    <s v="CC-500"/>
    <n v="7375.06"/>
    <n v="7313.68"/>
    <n v="-61.380000000000109"/>
    <n v="-8.3226441547594333E-3"/>
    <s v="On Budget"/>
  </r>
  <r>
    <d v="2023-06-01T00:00:00"/>
    <x v="5"/>
    <x v="5"/>
    <s v="Jun-2023"/>
    <x v="0"/>
    <x v="4"/>
    <x v="3"/>
    <x v="1"/>
    <s v="CC-500"/>
    <n v="6915.15"/>
    <n v="6726.41"/>
    <n v="-188.73999999999978"/>
    <n v="-2.7293695726050744E-2"/>
    <s v="On Budget"/>
  </r>
  <r>
    <d v="2023-06-01T00:00:00"/>
    <x v="5"/>
    <x v="5"/>
    <s v="Jun-2023"/>
    <x v="0"/>
    <x v="4"/>
    <x v="3"/>
    <x v="2"/>
    <s v="CC-500"/>
    <n v="6968.49"/>
    <n v="6692.93"/>
    <n v="-275.55999999999949"/>
    <n v="-3.9543717505514032E-2"/>
    <s v="On Budget"/>
  </r>
  <r>
    <d v="2023-06-01T00:00:00"/>
    <x v="5"/>
    <x v="5"/>
    <s v="Jun-2023"/>
    <x v="0"/>
    <x v="4"/>
    <x v="3"/>
    <x v="3"/>
    <s v="CC-500"/>
    <n v="7720.16"/>
    <n v="7617.31"/>
    <n v="-102.84999999999945"/>
    <n v="-1.3322262751030996E-2"/>
    <s v="On Budget"/>
  </r>
  <r>
    <d v="2023-06-01T00:00:00"/>
    <x v="5"/>
    <x v="5"/>
    <s v="Jun-2023"/>
    <x v="0"/>
    <x v="4"/>
    <x v="4"/>
    <x v="0"/>
    <s v="CC-500"/>
    <n v="6375.28"/>
    <n v="6138.45"/>
    <n v="-236.82999999999993"/>
    <n v="-3.7148172315568877E-2"/>
    <s v="On Budget"/>
  </r>
  <r>
    <d v="2023-06-01T00:00:00"/>
    <x v="5"/>
    <x v="5"/>
    <s v="Jun-2023"/>
    <x v="0"/>
    <x v="4"/>
    <x v="4"/>
    <x v="1"/>
    <s v="CC-500"/>
    <n v="5870.27"/>
    <n v="5725.47"/>
    <n v="-144.80000000000018"/>
    <n v="-2.4666667802332801E-2"/>
    <s v="On Budget"/>
  </r>
  <r>
    <d v="2023-06-01T00:00:00"/>
    <x v="5"/>
    <x v="5"/>
    <s v="Jun-2023"/>
    <x v="0"/>
    <x v="4"/>
    <x v="4"/>
    <x v="2"/>
    <s v="CC-500"/>
    <n v="6209"/>
    <n v="6090.1"/>
    <n v="-118.89999999999964"/>
    <n v="-1.9149621517152462E-2"/>
    <s v="On Budget"/>
  </r>
  <r>
    <d v="2023-06-01T00:00:00"/>
    <x v="5"/>
    <x v="5"/>
    <s v="Jun-2023"/>
    <x v="0"/>
    <x v="4"/>
    <x v="4"/>
    <x v="3"/>
    <s v="CC-500"/>
    <n v="6402.43"/>
    <n v="6452.87"/>
    <n v="50.4399999999996"/>
    <n v="7.8782587236408044E-3"/>
    <s v="On Budget"/>
  </r>
  <r>
    <d v="2023-07-01T00:00:00"/>
    <x v="6"/>
    <x v="6"/>
    <s v="Jul-2023"/>
    <x v="0"/>
    <x v="0"/>
    <x v="0"/>
    <x v="0"/>
    <s v="CC-100"/>
    <n v="48771.95"/>
    <n v="56276.55"/>
    <n v="7504.6000000000058"/>
    <n v="0.15387123131226055"/>
    <s v="Overspend"/>
  </r>
  <r>
    <d v="2023-07-01T00:00:00"/>
    <x v="6"/>
    <x v="6"/>
    <s v="Jul-2023"/>
    <x v="0"/>
    <x v="0"/>
    <x v="0"/>
    <x v="1"/>
    <s v="CC-100"/>
    <n v="46634.52"/>
    <n v="54643.46"/>
    <n v="8008.9400000000023"/>
    <n v="0.17173844611245068"/>
    <s v="Overspend"/>
  </r>
  <r>
    <d v="2023-07-01T00:00:00"/>
    <x v="6"/>
    <x v="6"/>
    <s v="Jul-2023"/>
    <x v="0"/>
    <x v="0"/>
    <x v="0"/>
    <x v="2"/>
    <s v="CC-100"/>
    <n v="45837.86"/>
    <n v="52374.400000000001"/>
    <n v="6536.5400000000009"/>
    <n v="0.14260133435548694"/>
    <s v="Overspend"/>
  </r>
  <r>
    <d v="2023-07-01T00:00:00"/>
    <x v="6"/>
    <x v="6"/>
    <s v="Jul-2023"/>
    <x v="0"/>
    <x v="0"/>
    <x v="0"/>
    <x v="3"/>
    <s v="CC-100"/>
    <n v="49084.68"/>
    <n v="55019.59"/>
    <n v="5934.9099999999962"/>
    <n v="0.12091165716064557"/>
    <s v="Overspend"/>
  </r>
  <r>
    <d v="2023-07-01T00:00:00"/>
    <x v="6"/>
    <x v="6"/>
    <s v="Jul-2023"/>
    <x v="0"/>
    <x v="0"/>
    <x v="1"/>
    <x v="0"/>
    <s v="CC-100"/>
    <n v="18726.61"/>
    <n v="21181.99"/>
    <n v="2455.380000000001"/>
    <n v="0.13111716429188203"/>
    <s v="Overspend"/>
  </r>
  <r>
    <d v="2023-07-01T00:00:00"/>
    <x v="6"/>
    <x v="6"/>
    <s v="Jul-2023"/>
    <x v="0"/>
    <x v="0"/>
    <x v="1"/>
    <x v="1"/>
    <s v="CC-100"/>
    <n v="17609.86"/>
    <n v="20698.57"/>
    <n v="3088.7099999999991"/>
    <n v="0.17539662439110812"/>
    <s v="Overspend"/>
  </r>
  <r>
    <d v="2023-07-01T00:00:00"/>
    <x v="6"/>
    <x v="6"/>
    <s v="Jul-2023"/>
    <x v="0"/>
    <x v="0"/>
    <x v="1"/>
    <x v="2"/>
    <s v="CC-100"/>
    <n v="17919.13"/>
    <n v="20999.75"/>
    <n v="3080.619999999999"/>
    <n v="0.17191794467700156"/>
    <s v="Overspend"/>
  </r>
  <r>
    <d v="2023-07-01T00:00:00"/>
    <x v="6"/>
    <x v="6"/>
    <s v="Jul-2023"/>
    <x v="0"/>
    <x v="0"/>
    <x v="1"/>
    <x v="3"/>
    <s v="CC-100"/>
    <n v="19164.98"/>
    <n v="22139.72"/>
    <n v="2974.7400000000016"/>
    <n v="0.15521748522565645"/>
    <s v="Overspend"/>
  </r>
  <r>
    <d v="2023-07-01T00:00:00"/>
    <x v="6"/>
    <x v="6"/>
    <s v="Jul-2023"/>
    <x v="0"/>
    <x v="0"/>
    <x v="2"/>
    <x v="0"/>
    <s v="CC-100"/>
    <n v="10530.36"/>
    <n v="15355.55"/>
    <n v="4825.1899999999987"/>
    <n v="0.45821700302743673"/>
    <s v="Overspend"/>
  </r>
  <r>
    <d v="2023-07-01T00:00:00"/>
    <x v="6"/>
    <x v="6"/>
    <s v="Jul-2023"/>
    <x v="0"/>
    <x v="0"/>
    <x v="2"/>
    <x v="1"/>
    <s v="CC-100"/>
    <n v="10128.33"/>
    <n v="15293.91"/>
    <n v="5165.58"/>
    <n v="0.51001300313082221"/>
    <s v="Overspend"/>
  </r>
  <r>
    <d v="2023-07-01T00:00:00"/>
    <x v="6"/>
    <x v="6"/>
    <s v="Jul-2023"/>
    <x v="0"/>
    <x v="0"/>
    <x v="2"/>
    <x v="2"/>
    <s v="CC-100"/>
    <n v="10050.11"/>
    <n v="14352.8"/>
    <n v="4302.6899999999987"/>
    <n v="0.42812367227821374"/>
    <s v="Overspend"/>
  </r>
  <r>
    <d v="2023-07-01T00:00:00"/>
    <x v="6"/>
    <x v="6"/>
    <s v="Jul-2023"/>
    <x v="0"/>
    <x v="0"/>
    <x v="2"/>
    <x v="3"/>
    <s v="CC-100"/>
    <n v="10462.4"/>
    <n v="15978.35"/>
    <n v="5515.9500000000007"/>
    <n v="0.52721650864046499"/>
    <s v="Overspend"/>
  </r>
  <r>
    <d v="2023-07-01T00:00:00"/>
    <x v="6"/>
    <x v="6"/>
    <s v="Jul-2023"/>
    <x v="0"/>
    <x v="0"/>
    <x v="3"/>
    <x v="0"/>
    <s v="CC-100"/>
    <n v="7848.52"/>
    <n v="9017.94"/>
    <n v="1169.42"/>
    <n v="0.14899879212896189"/>
    <s v="Overspend"/>
  </r>
  <r>
    <d v="2023-07-01T00:00:00"/>
    <x v="6"/>
    <x v="6"/>
    <s v="Jul-2023"/>
    <x v="0"/>
    <x v="0"/>
    <x v="3"/>
    <x v="1"/>
    <s v="CC-100"/>
    <n v="7886.53"/>
    <n v="8829.48"/>
    <n v="942.94999999999982"/>
    <n v="0.11956462474624453"/>
    <s v="Overspend"/>
  </r>
  <r>
    <d v="2023-07-01T00:00:00"/>
    <x v="6"/>
    <x v="6"/>
    <s v="Jul-2023"/>
    <x v="0"/>
    <x v="0"/>
    <x v="3"/>
    <x v="2"/>
    <s v="CC-100"/>
    <n v="7758.26"/>
    <n v="9015.98"/>
    <n v="1257.7199999999993"/>
    <n v="0.16211366981771677"/>
    <s v="Overspend"/>
  </r>
  <r>
    <d v="2023-07-01T00:00:00"/>
    <x v="6"/>
    <x v="6"/>
    <s v="Jul-2023"/>
    <x v="0"/>
    <x v="0"/>
    <x v="3"/>
    <x v="3"/>
    <s v="CC-100"/>
    <n v="8519.49"/>
    <n v="9645.6200000000008"/>
    <n v="1126.130000000001"/>
    <n v="0.1321827949795118"/>
    <s v="Overspend"/>
  </r>
  <r>
    <d v="2023-07-01T00:00:00"/>
    <x v="6"/>
    <x v="6"/>
    <s v="Jul-2023"/>
    <x v="0"/>
    <x v="0"/>
    <x v="4"/>
    <x v="0"/>
    <s v="CC-100"/>
    <n v="8306.02"/>
    <n v="9832.93"/>
    <n v="1526.9099999999999"/>
    <n v="0.18383172686798246"/>
    <s v="Overspend"/>
  </r>
  <r>
    <d v="2023-07-01T00:00:00"/>
    <x v="6"/>
    <x v="6"/>
    <s v="Jul-2023"/>
    <x v="0"/>
    <x v="0"/>
    <x v="4"/>
    <x v="1"/>
    <s v="CC-100"/>
    <n v="8139.25"/>
    <n v="9096.51"/>
    <n v="957.26000000000022"/>
    <n v="0.11761034493350127"/>
    <s v="Overspend"/>
  </r>
  <r>
    <d v="2023-07-01T00:00:00"/>
    <x v="6"/>
    <x v="6"/>
    <s v="Jul-2023"/>
    <x v="0"/>
    <x v="0"/>
    <x v="4"/>
    <x v="2"/>
    <s v="CC-100"/>
    <n v="7943.25"/>
    <n v="8961.1299999999992"/>
    <n v="1017.8799999999992"/>
    <n v="0.12814402165360517"/>
    <s v="Overspend"/>
  </r>
  <r>
    <d v="2023-07-01T00:00:00"/>
    <x v="6"/>
    <x v="6"/>
    <s v="Jul-2023"/>
    <x v="0"/>
    <x v="0"/>
    <x v="4"/>
    <x v="3"/>
    <s v="CC-100"/>
    <n v="8883.98"/>
    <n v="10657.84"/>
    <n v="1773.8600000000006"/>
    <n v="0.19966951749103451"/>
    <s v="Overspend"/>
  </r>
  <r>
    <d v="2023-07-01T00:00:00"/>
    <x v="6"/>
    <x v="6"/>
    <s v="Jul-2023"/>
    <x v="0"/>
    <x v="1"/>
    <x v="0"/>
    <x v="0"/>
    <s v="CC-200"/>
    <n v="51472.61"/>
    <n v="46362.96"/>
    <n v="-5109.6500000000015"/>
    <n v="-9.9269300701868457E-2"/>
    <s v="Underspend"/>
  </r>
  <r>
    <d v="2023-07-01T00:00:00"/>
    <x v="6"/>
    <x v="6"/>
    <s v="Jul-2023"/>
    <x v="0"/>
    <x v="1"/>
    <x v="0"/>
    <x v="1"/>
    <s v="CC-200"/>
    <n v="47705.81"/>
    <n v="42088.99"/>
    <n v="-5616.82"/>
    <n v="-0.11773869891319318"/>
    <s v="Underspend"/>
  </r>
  <r>
    <d v="2023-07-01T00:00:00"/>
    <x v="6"/>
    <x v="6"/>
    <s v="Jul-2023"/>
    <x v="0"/>
    <x v="1"/>
    <x v="0"/>
    <x v="2"/>
    <s v="CC-200"/>
    <n v="48974.8"/>
    <n v="43120.33"/>
    <n v="-5854.4700000000012"/>
    <n v="-0.11954045754142949"/>
    <s v="Underspend"/>
  </r>
  <r>
    <d v="2023-07-01T00:00:00"/>
    <x v="6"/>
    <x v="6"/>
    <s v="Jul-2023"/>
    <x v="0"/>
    <x v="1"/>
    <x v="0"/>
    <x v="3"/>
    <s v="CC-200"/>
    <n v="54572.5"/>
    <n v="49150.69"/>
    <n v="-5421.8099999999977"/>
    <n v="-9.9350588666452841E-2"/>
    <s v="Underspend"/>
  </r>
  <r>
    <d v="2023-07-01T00:00:00"/>
    <x v="6"/>
    <x v="6"/>
    <s v="Jul-2023"/>
    <x v="0"/>
    <x v="1"/>
    <x v="1"/>
    <x v="0"/>
    <s v="CC-200"/>
    <n v="27806.69"/>
    <n v="24104.55"/>
    <n v="-3702.1399999999994"/>
    <n v="-0.1331384641609627"/>
    <s v="Underspend"/>
  </r>
  <r>
    <d v="2023-07-01T00:00:00"/>
    <x v="6"/>
    <x v="6"/>
    <s v="Jul-2023"/>
    <x v="0"/>
    <x v="1"/>
    <x v="1"/>
    <x v="1"/>
    <s v="CC-200"/>
    <n v="26926.31"/>
    <n v="23632.35"/>
    <n v="-3293.9600000000028"/>
    <n v="-0.12233239534121097"/>
    <s v="Underspend"/>
  </r>
  <r>
    <d v="2023-07-01T00:00:00"/>
    <x v="6"/>
    <x v="6"/>
    <s v="Jul-2023"/>
    <x v="0"/>
    <x v="1"/>
    <x v="1"/>
    <x v="2"/>
    <s v="CC-200"/>
    <n v="27225.42"/>
    <n v="24081"/>
    <n v="-3144.4199999999983"/>
    <n v="-0.115495738908711"/>
    <s v="Underspend"/>
  </r>
  <r>
    <d v="2023-07-01T00:00:00"/>
    <x v="6"/>
    <x v="6"/>
    <s v="Jul-2023"/>
    <x v="0"/>
    <x v="1"/>
    <x v="1"/>
    <x v="3"/>
    <s v="CC-200"/>
    <n v="28994.73"/>
    <n v="24675.38"/>
    <n v="-4319.3499999999985"/>
    <n v="-0.14897017492489148"/>
    <s v="Underspend"/>
  </r>
  <r>
    <d v="2023-07-01T00:00:00"/>
    <x v="6"/>
    <x v="6"/>
    <s v="Jul-2023"/>
    <x v="0"/>
    <x v="1"/>
    <x v="2"/>
    <x v="0"/>
    <s v="CC-200"/>
    <n v="11168.65"/>
    <n v="13416.9"/>
    <n v="2248.25"/>
    <n v="0.20130006759993374"/>
    <s v="Overspend"/>
  </r>
  <r>
    <d v="2023-07-01T00:00:00"/>
    <x v="6"/>
    <x v="6"/>
    <s v="Jul-2023"/>
    <x v="0"/>
    <x v="1"/>
    <x v="2"/>
    <x v="1"/>
    <s v="CC-200"/>
    <n v="10441.31"/>
    <n v="12269.1"/>
    <n v="1827.7900000000009"/>
    <n v="0.17505370494698472"/>
    <s v="Overspend"/>
  </r>
  <r>
    <d v="2023-07-01T00:00:00"/>
    <x v="6"/>
    <x v="6"/>
    <s v="Jul-2023"/>
    <x v="0"/>
    <x v="1"/>
    <x v="2"/>
    <x v="2"/>
    <s v="CC-200"/>
    <n v="10719.32"/>
    <n v="12432.58"/>
    <n v="1713.2600000000002"/>
    <n v="0.15982916826813642"/>
    <s v="Overspend"/>
  </r>
  <r>
    <d v="2023-07-01T00:00:00"/>
    <x v="6"/>
    <x v="6"/>
    <s v="Jul-2023"/>
    <x v="0"/>
    <x v="1"/>
    <x v="2"/>
    <x v="3"/>
    <s v="CC-200"/>
    <n v="11419.12"/>
    <n v="14016.37"/>
    <n v="2597.25"/>
    <n v="0.22744747406104848"/>
    <s v="Overspend"/>
  </r>
  <r>
    <d v="2023-07-01T00:00:00"/>
    <x v="6"/>
    <x v="6"/>
    <s v="Jul-2023"/>
    <x v="0"/>
    <x v="1"/>
    <x v="3"/>
    <x v="0"/>
    <s v="CC-200"/>
    <n v="8562.2000000000007"/>
    <n v="7459.71"/>
    <n v="-1102.4900000000007"/>
    <n v="-0.12876246759010543"/>
    <s v="Underspend"/>
  </r>
  <r>
    <d v="2023-07-01T00:00:00"/>
    <x v="6"/>
    <x v="6"/>
    <s v="Jul-2023"/>
    <x v="0"/>
    <x v="1"/>
    <x v="3"/>
    <x v="1"/>
    <s v="CC-200"/>
    <n v="7886.83"/>
    <n v="7075.55"/>
    <n v="-811.27999999999975"/>
    <n v="-0.10286515621612229"/>
    <s v="Underspend"/>
  </r>
  <r>
    <d v="2023-07-01T00:00:00"/>
    <x v="6"/>
    <x v="6"/>
    <s v="Jul-2023"/>
    <x v="0"/>
    <x v="1"/>
    <x v="3"/>
    <x v="2"/>
    <s v="CC-200"/>
    <n v="8017.66"/>
    <n v="6942.24"/>
    <n v="-1075.42"/>
    <n v="-0.1341314049236311"/>
    <s v="Underspend"/>
  </r>
  <r>
    <d v="2023-07-01T00:00:00"/>
    <x v="6"/>
    <x v="6"/>
    <s v="Jul-2023"/>
    <x v="0"/>
    <x v="1"/>
    <x v="3"/>
    <x v="3"/>
    <s v="CC-200"/>
    <n v="8864.4500000000007"/>
    <n v="7556.1"/>
    <n v="-1308.3500000000004"/>
    <n v="-0.14759516946905901"/>
    <s v="Underspend"/>
  </r>
  <r>
    <d v="2023-07-01T00:00:00"/>
    <x v="6"/>
    <x v="6"/>
    <s v="Jul-2023"/>
    <x v="0"/>
    <x v="1"/>
    <x v="4"/>
    <x v="0"/>
    <s v="CC-200"/>
    <n v="7362.4"/>
    <n v="6537.83"/>
    <n v="-824.56999999999971"/>
    <n v="-0.11199744648484186"/>
    <s v="Underspend"/>
  </r>
  <r>
    <d v="2023-07-01T00:00:00"/>
    <x v="6"/>
    <x v="6"/>
    <s v="Jul-2023"/>
    <x v="0"/>
    <x v="1"/>
    <x v="4"/>
    <x v="1"/>
    <s v="CC-200"/>
    <n v="7127.05"/>
    <n v="6209.15"/>
    <n v="-917.90000000000055"/>
    <n v="-0.12879101451512204"/>
    <s v="Underspend"/>
  </r>
  <r>
    <d v="2023-07-01T00:00:00"/>
    <x v="6"/>
    <x v="6"/>
    <s v="Jul-2023"/>
    <x v="0"/>
    <x v="1"/>
    <x v="4"/>
    <x v="2"/>
    <s v="CC-200"/>
    <n v="7070.33"/>
    <n v="6103.1"/>
    <n v="-967.22999999999956"/>
    <n v="-0.13680125255822564"/>
    <s v="Underspend"/>
  </r>
  <r>
    <d v="2023-07-01T00:00:00"/>
    <x v="6"/>
    <x v="6"/>
    <s v="Jul-2023"/>
    <x v="0"/>
    <x v="1"/>
    <x v="4"/>
    <x v="3"/>
    <s v="CC-200"/>
    <n v="7369.22"/>
    <n v="6420.65"/>
    <n v="-948.57000000000062"/>
    <n v="-0.12872054301540742"/>
    <s v="Underspend"/>
  </r>
  <r>
    <d v="2023-07-01T00:00:00"/>
    <x v="6"/>
    <x v="6"/>
    <s v="Jul-2023"/>
    <x v="0"/>
    <x v="2"/>
    <x v="0"/>
    <x v="0"/>
    <s v="CC-300"/>
    <n v="43287.16"/>
    <n v="43253.41"/>
    <n v="-33.75"/>
    <n v="-7.7967692960221918E-4"/>
    <s v="On Budget"/>
  </r>
  <r>
    <d v="2023-07-01T00:00:00"/>
    <x v="6"/>
    <x v="6"/>
    <s v="Jul-2023"/>
    <x v="0"/>
    <x v="2"/>
    <x v="0"/>
    <x v="1"/>
    <s v="CC-300"/>
    <n v="42692.21"/>
    <n v="43670.39"/>
    <n v="978.18000000000029"/>
    <n v="2.2912376754447714E-2"/>
    <s v="On Budget"/>
  </r>
  <r>
    <d v="2023-07-01T00:00:00"/>
    <x v="6"/>
    <x v="6"/>
    <s v="Jul-2023"/>
    <x v="0"/>
    <x v="2"/>
    <x v="0"/>
    <x v="2"/>
    <s v="CC-300"/>
    <n v="43826.52"/>
    <n v="42760.67"/>
    <n v="-1065.8499999999985"/>
    <n v="-2.4319749777075583E-2"/>
    <s v="On Budget"/>
  </r>
  <r>
    <d v="2023-07-01T00:00:00"/>
    <x v="6"/>
    <x v="6"/>
    <s v="Jul-2023"/>
    <x v="0"/>
    <x v="2"/>
    <x v="0"/>
    <x v="3"/>
    <s v="CC-300"/>
    <n v="46593.48"/>
    <n v="45462.41"/>
    <n v="-1131.0699999999997"/>
    <n v="-2.4275284868183266E-2"/>
    <s v="On Budget"/>
  </r>
  <r>
    <d v="2023-07-01T00:00:00"/>
    <x v="6"/>
    <x v="6"/>
    <s v="Jul-2023"/>
    <x v="0"/>
    <x v="2"/>
    <x v="1"/>
    <x v="0"/>
    <s v="CC-300"/>
    <n v="14910.15"/>
    <n v="14844.2"/>
    <n v="-65.949999999998909"/>
    <n v="-4.4231614034733998E-3"/>
    <s v="On Budget"/>
  </r>
  <r>
    <d v="2023-07-01T00:00:00"/>
    <x v="6"/>
    <x v="6"/>
    <s v="Jul-2023"/>
    <x v="0"/>
    <x v="2"/>
    <x v="1"/>
    <x v="1"/>
    <s v="CC-300"/>
    <n v="14145.74"/>
    <n v="14543.86"/>
    <n v="398.1200000000008"/>
    <n v="2.8144162129376111E-2"/>
    <s v="On Budget"/>
  </r>
  <r>
    <d v="2023-07-01T00:00:00"/>
    <x v="6"/>
    <x v="6"/>
    <s v="Jul-2023"/>
    <x v="0"/>
    <x v="2"/>
    <x v="1"/>
    <x v="2"/>
    <s v="CC-300"/>
    <n v="14456.23"/>
    <n v="14685.84"/>
    <n v="229.61000000000058"/>
    <n v="1.5883117520958133E-2"/>
    <s v="On Budget"/>
  </r>
  <r>
    <d v="2023-07-01T00:00:00"/>
    <x v="6"/>
    <x v="6"/>
    <s v="Jul-2023"/>
    <x v="0"/>
    <x v="2"/>
    <x v="1"/>
    <x v="3"/>
    <s v="CC-300"/>
    <n v="16152"/>
    <n v="16428.07"/>
    <n v="276.06999999999971"/>
    <n v="1.7092000990589384E-2"/>
    <s v="On Budget"/>
  </r>
  <r>
    <d v="2023-07-01T00:00:00"/>
    <x v="6"/>
    <x v="6"/>
    <s v="Jul-2023"/>
    <x v="0"/>
    <x v="2"/>
    <x v="2"/>
    <x v="0"/>
    <s v="CC-300"/>
    <n v="8662.99"/>
    <n v="12406.78"/>
    <n v="3743.7900000000009"/>
    <n v="0.43215910442006755"/>
    <s v="Overspend"/>
  </r>
  <r>
    <d v="2023-07-01T00:00:00"/>
    <x v="6"/>
    <x v="6"/>
    <s v="Jul-2023"/>
    <x v="0"/>
    <x v="2"/>
    <x v="2"/>
    <x v="1"/>
    <s v="CC-300"/>
    <n v="8138.9"/>
    <n v="11091.4"/>
    <n v="2952.5"/>
    <n v="0.36276400987848484"/>
    <s v="Overspend"/>
  </r>
  <r>
    <d v="2023-07-01T00:00:00"/>
    <x v="6"/>
    <x v="6"/>
    <s v="Jul-2023"/>
    <x v="0"/>
    <x v="2"/>
    <x v="2"/>
    <x v="2"/>
    <s v="CC-300"/>
    <n v="8337"/>
    <n v="11195.35"/>
    <n v="2858.3500000000004"/>
    <n v="0.34285114549598183"/>
    <s v="Overspend"/>
  </r>
  <r>
    <d v="2023-07-01T00:00:00"/>
    <x v="6"/>
    <x v="6"/>
    <s v="Jul-2023"/>
    <x v="0"/>
    <x v="2"/>
    <x v="2"/>
    <x v="3"/>
    <s v="CC-300"/>
    <n v="8987.06"/>
    <n v="12194.4"/>
    <n v="3207.34"/>
    <n v="0.35688423132815406"/>
    <s v="Overspend"/>
  </r>
  <r>
    <d v="2023-07-01T00:00:00"/>
    <x v="6"/>
    <x v="6"/>
    <s v="Jul-2023"/>
    <x v="0"/>
    <x v="2"/>
    <x v="3"/>
    <x v="0"/>
    <s v="CC-300"/>
    <n v="6622.24"/>
    <n v="6601.26"/>
    <n v="-20.979999999999563"/>
    <n v="-3.1681123003695975E-3"/>
    <s v="On Budget"/>
  </r>
  <r>
    <d v="2023-07-01T00:00:00"/>
    <x v="6"/>
    <x v="6"/>
    <s v="Jul-2023"/>
    <x v="0"/>
    <x v="2"/>
    <x v="3"/>
    <x v="1"/>
    <s v="CC-300"/>
    <n v="6488.97"/>
    <n v="6562.49"/>
    <n v="73.519999999999527"/>
    <n v="1.132999536135928E-2"/>
    <s v="On Budget"/>
  </r>
  <r>
    <d v="2023-07-01T00:00:00"/>
    <x v="6"/>
    <x v="6"/>
    <s v="Jul-2023"/>
    <x v="0"/>
    <x v="2"/>
    <x v="3"/>
    <x v="2"/>
    <s v="CC-300"/>
    <n v="6314.35"/>
    <n v="6203.63"/>
    <n v="-110.72000000000025"/>
    <n v="-1.7534663108633549E-2"/>
    <s v="On Budget"/>
  </r>
  <r>
    <d v="2023-07-01T00:00:00"/>
    <x v="6"/>
    <x v="6"/>
    <s v="Jul-2023"/>
    <x v="0"/>
    <x v="2"/>
    <x v="3"/>
    <x v="3"/>
    <s v="CC-300"/>
    <n v="7073.78"/>
    <n v="7132.31"/>
    <n v="58.530000000000655"/>
    <n v="8.2742183104366623E-3"/>
    <s v="On Budget"/>
  </r>
  <r>
    <d v="2023-07-01T00:00:00"/>
    <x v="6"/>
    <x v="6"/>
    <s v="Jul-2023"/>
    <x v="0"/>
    <x v="2"/>
    <x v="4"/>
    <x v="0"/>
    <s v="CC-300"/>
    <n v="5808.26"/>
    <n v="5806.37"/>
    <n v="-1.8900000000003274"/>
    <n v="-3.2539865639629205E-4"/>
    <s v="On Budget"/>
  </r>
  <r>
    <d v="2023-07-01T00:00:00"/>
    <x v="6"/>
    <x v="6"/>
    <s v="Jul-2023"/>
    <x v="0"/>
    <x v="2"/>
    <x v="4"/>
    <x v="1"/>
    <s v="CC-300"/>
    <n v="5325.76"/>
    <n v="5409.45"/>
    <n v="83.6899999999996"/>
    <n v="1.5714189148590924E-2"/>
    <s v="On Budget"/>
  </r>
  <r>
    <d v="2023-07-01T00:00:00"/>
    <x v="6"/>
    <x v="6"/>
    <s v="Jul-2023"/>
    <x v="0"/>
    <x v="2"/>
    <x v="4"/>
    <x v="2"/>
    <s v="CC-300"/>
    <n v="5439.81"/>
    <n v="5556.41"/>
    <n v="116.59999999999945"/>
    <n v="2.14345721633659E-2"/>
    <s v="On Budget"/>
  </r>
  <r>
    <d v="2023-07-01T00:00:00"/>
    <x v="6"/>
    <x v="6"/>
    <s v="Jul-2023"/>
    <x v="0"/>
    <x v="2"/>
    <x v="4"/>
    <x v="3"/>
    <s v="CC-300"/>
    <n v="5782.58"/>
    <n v="5659.42"/>
    <n v="-123.15999999999985"/>
    <n v="-2.1298451556225742E-2"/>
    <s v="On Budget"/>
  </r>
  <r>
    <d v="2023-07-01T00:00:00"/>
    <x v="6"/>
    <x v="6"/>
    <s v="Jul-2023"/>
    <x v="0"/>
    <x v="3"/>
    <x v="0"/>
    <x v="0"/>
    <s v="CC-400"/>
    <n v="53555.02"/>
    <n v="47254.93"/>
    <n v="-6300.0899999999965"/>
    <n v="-0.11763771164682596"/>
    <s v="Underspend"/>
  </r>
  <r>
    <d v="2023-07-01T00:00:00"/>
    <x v="6"/>
    <x v="6"/>
    <s v="Jul-2023"/>
    <x v="0"/>
    <x v="3"/>
    <x v="0"/>
    <x v="1"/>
    <s v="CC-400"/>
    <n v="52233.39"/>
    <n v="49522.53"/>
    <n v="-2710.8600000000006"/>
    <n v="-5.1898986452918343E-2"/>
    <s v="Underspend"/>
  </r>
  <r>
    <d v="2023-07-01T00:00:00"/>
    <x v="6"/>
    <x v="6"/>
    <s v="Jul-2023"/>
    <x v="0"/>
    <x v="3"/>
    <x v="0"/>
    <x v="2"/>
    <s v="CC-400"/>
    <n v="53588.95"/>
    <n v="55381.97"/>
    <n v="1793.0200000000041"/>
    <n v="3.3458763420444029E-2"/>
    <s v="On Budget"/>
  </r>
  <r>
    <d v="2023-07-01T00:00:00"/>
    <x v="6"/>
    <x v="6"/>
    <s v="Jul-2023"/>
    <x v="0"/>
    <x v="3"/>
    <x v="0"/>
    <x v="3"/>
    <s v="CC-400"/>
    <n v="55994.31"/>
    <n v="65427.42"/>
    <n v="9433.11"/>
    <n v="0.16846551015629982"/>
    <s v="Overspend"/>
  </r>
  <r>
    <d v="2023-07-01T00:00:00"/>
    <x v="6"/>
    <x v="6"/>
    <s v="Jul-2023"/>
    <x v="0"/>
    <x v="3"/>
    <x v="1"/>
    <x v="0"/>
    <s v="CC-400"/>
    <n v="20125.25"/>
    <n v="23002.84"/>
    <n v="2877.59"/>
    <n v="0.14298406230978497"/>
    <s v="Overspend"/>
  </r>
  <r>
    <d v="2023-07-01T00:00:00"/>
    <x v="6"/>
    <x v="6"/>
    <s v="Jul-2023"/>
    <x v="0"/>
    <x v="3"/>
    <x v="1"/>
    <x v="1"/>
    <s v="CC-400"/>
    <n v="19178.57"/>
    <n v="17496.03"/>
    <n v="-1682.5400000000009"/>
    <n v="-8.7730211376552111E-2"/>
    <s v="Underspend"/>
  </r>
  <r>
    <d v="2023-07-01T00:00:00"/>
    <x v="6"/>
    <x v="6"/>
    <s v="Jul-2023"/>
    <x v="0"/>
    <x v="3"/>
    <x v="1"/>
    <x v="2"/>
    <s v="CC-400"/>
    <n v="19456.849999999999"/>
    <n v="18383.88"/>
    <n v="-1072.9699999999975"/>
    <n v="-5.5146131054101648E-2"/>
    <s v="Underspend"/>
  </r>
  <r>
    <d v="2023-07-01T00:00:00"/>
    <x v="6"/>
    <x v="6"/>
    <s v="Jul-2023"/>
    <x v="0"/>
    <x v="3"/>
    <x v="1"/>
    <x v="3"/>
    <s v="CC-400"/>
    <n v="21324.34"/>
    <n v="21175.66"/>
    <n v="-148.68000000000029"/>
    <n v="-6.972314266232872E-3"/>
    <s v="On Budget"/>
  </r>
  <r>
    <d v="2023-07-01T00:00:00"/>
    <x v="6"/>
    <x v="6"/>
    <s v="Jul-2023"/>
    <x v="0"/>
    <x v="3"/>
    <x v="2"/>
    <x v="0"/>
    <s v="CC-400"/>
    <n v="11434.29"/>
    <n v="14047.96"/>
    <n v="2613.6699999999983"/>
    <n v="0.22858174840764037"/>
    <s v="Overspend"/>
  </r>
  <r>
    <d v="2023-07-01T00:00:00"/>
    <x v="6"/>
    <x v="6"/>
    <s v="Jul-2023"/>
    <x v="0"/>
    <x v="3"/>
    <x v="2"/>
    <x v="1"/>
    <s v="CC-400"/>
    <n v="11125.11"/>
    <n v="13240.32"/>
    <n v="2115.2099999999991"/>
    <n v="0.19012935602434483"/>
    <s v="Overspend"/>
  </r>
  <r>
    <d v="2023-07-01T00:00:00"/>
    <x v="6"/>
    <x v="6"/>
    <s v="Jul-2023"/>
    <x v="0"/>
    <x v="3"/>
    <x v="2"/>
    <x v="2"/>
    <s v="CC-400"/>
    <n v="11220.67"/>
    <n v="15302.67"/>
    <n v="4082"/>
    <n v="0.36379289293776573"/>
    <s v="Overspend"/>
  </r>
  <r>
    <d v="2023-07-01T00:00:00"/>
    <x v="6"/>
    <x v="6"/>
    <s v="Jul-2023"/>
    <x v="0"/>
    <x v="3"/>
    <x v="2"/>
    <x v="3"/>
    <s v="CC-400"/>
    <n v="12059.49"/>
    <n v="16310.67"/>
    <n v="4251.18"/>
    <n v="0.35251739501421703"/>
    <s v="Overspend"/>
  </r>
  <r>
    <d v="2023-07-01T00:00:00"/>
    <x v="6"/>
    <x v="6"/>
    <s v="Jul-2023"/>
    <x v="0"/>
    <x v="3"/>
    <x v="3"/>
    <x v="0"/>
    <s v="CC-400"/>
    <n v="12053.6"/>
    <n v="11895.18"/>
    <n v="-158.42000000000007"/>
    <n v="-1.3142961438906224E-2"/>
    <s v="On Budget"/>
  </r>
  <r>
    <d v="2023-07-01T00:00:00"/>
    <x v="6"/>
    <x v="6"/>
    <s v="Jul-2023"/>
    <x v="0"/>
    <x v="3"/>
    <x v="3"/>
    <x v="1"/>
    <s v="CC-400"/>
    <n v="11772.69"/>
    <n v="13544.14"/>
    <n v="1771.4499999999989"/>
    <n v="0.15047113276574842"/>
    <s v="Overspend"/>
  </r>
  <r>
    <d v="2023-07-01T00:00:00"/>
    <x v="6"/>
    <x v="6"/>
    <s v="Jul-2023"/>
    <x v="0"/>
    <x v="3"/>
    <x v="3"/>
    <x v="2"/>
    <s v="CC-400"/>
    <n v="11884.35"/>
    <n v="13068.94"/>
    <n v="1184.5900000000001"/>
    <n v="9.96764652673474E-2"/>
    <s v="Overspend"/>
  </r>
  <r>
    <d v="2023-07-01T00:00:00"/>
    <x v="6"/>
    <x v="6"/>
    <s v="Jul-2023"/>
    <x v="0"/>
    <x v="3"/>
    <x v="3"/>
    <x v="3"/>
    <s v="CC-400"/>
    <n v="12857.45"/>
    <n v="13776.4"/>
    <n v="918.94999999999891"/>
    <n v="7.1472181497886353E-2"/>
    <s v="Overspend"/>
  </r>
  <r>
    <d v="2023-07-01T00:00:00"/>
    <x v="6"/>
    <x v="6"/>
    <s v="Jul-2023"/>
    <x v="0"/>
    <x v="3"/>
    <x v="4"/>
    <x v="0"/>
    <s v="CC-400"/>
    <n v="7947.95"/>
    <n v="6935.29"/>
    <n v="-1012.6599999999999"/>
    <n v="-0.1274114708824288"/>
    <s v="Underspend"/>
  </r>
  <r>
    <d v="2023-07-01T00:00:00"/>
    <x v="6"/>
    <x v="6"/>
    <s v="Jul-2023"/>
    <x v="0"/>
    <x v="3"/>
    <x v="4"/>
    <x v="1"/>
    <s v="CC-400"/>
    <n v="7370.72"/>
    <n v="6663.04"/>
    <n v="-707.68000000000029"/>
    <n v="-9.601232986736713E-2"/>
    <s v="Underspend"/>
  </r>
  <r>
    <d v="2023-07-01T00:00:00"/>
    <x v="6"/>
    <x v="6"/>
    <s v="Jul-2023"/>
    <x v="0"/>
    <x v="3"/>
    <x v="4"/>
    <x v="2"/>
    <s v="CC-400"/>
    <n v="7719.44"/>
    <n v="6672.47"/>
    <n v="-1046.9699999999993"/>
    <n v="-0.13562771392743508"/>
    <s v="Underspend"/>
  </r>
  <r>
    <d v="2023-07-01T00:00:00"/>
    <x v="6"/>
    <x v="6"/>
    <s v="Jul-2023"/>
    <x v="0"/>
    <x v="3"/>
    <x v="4"/>
    <x v="3"/>
    <s v="CC-400"/>
    <n v="8189.99"/>
    <n v="7889.08"/>
    <n v="-300.90999999999985"/>
    <n v="-3.6741192602188756E-2"/>
    <s v="On Budget"/>
  </r>
  <r>
    <d v="2023-07-01T00:00:00"/>
    <x v="6"/>
    <x v="6"/>
    <s v="Jul-2023"/>
    <x v="0"/>
    <x v="4"/>
    <x v="0"/>
    <x v="0"/>
    <s v="CC-500"/>
    <n v="44500.82"/>
    <n v="44061.36"/>
    <n v="-439.45999999999913"/>
    <n v="-9.8753236457215648E-3"/>
    <s v="On Budget"/>
  </r>
  <r>
    <d v="2023-07-01T00:00:00"/>
    <x v="6"/>
    <x v="6"/>
    <s v="Jul-2023"/>
    <x v="0"/>
    <x v="4"/>
    <x v="0"/>
    <x v="1"/>
    <s v="CC-500"/>
    <n v="40052.93"/>
    <n v="41641"/>
    <n v="1588.0699999999997"/>
    <n v="3.9649284084834736E-2"/>
    <s v="On Budget"/>
  </r>
  <r>
    <d v="2023-07-01T00:00:00"/>
    <x v="6"/>
    <x v="6"/>
    <s v="Jul-2023"/>
    <x v="0"/>
    <x v="4"/>
    <x v="0"/>
    <x v="2"/>
    <s v="CC-500"/>
    <n v="42010.239999999998"/>
    <n v="40229.25"/>
    <n v="-1780.989999999998"/>
    <n v="-4.2394187702807652E-2"/>
    <s v="On Budget"/>
  </r>
  <r>
    <d v="2023-07-01T00:00:00"/>
    <x v="6"/>
    <x v="6"/>
    <s v="Jul-2023"/>
    <x v="0"/>
    <x v="4"/>
    <x v="0"/>
    <x v="3"/>
    <s v="CC-500"/>
    <n v="46099.74"/>
    <n v="46545.35"/>
    <n v="445.61000000000058"/>
    <n v="9.6662150372214817E-3"/>
    <s v="On Budget"/>
  </r>
  <r>
    <d v="2023-07-01T00:00:00"/>
    <x v="6"/>
    <x v="6"/>
    <s v="Jul-2023"/>
    <x v="0"/>
    <x v="4"/>
    <x v="1"/>
    <x v="0"/>
    <s v="CC-500"/>
    <n v="16241.54"/>
    <n v="16365.76"/>
    <n v="124.21999999999935"/>
    <n v="7.648289509492286E-3"/>
    <s v="On Budget"/>
  </r>
  <r>
    <d v="2023-07-01T00:00:00"/>
    <x v="6"/>
    <x v="6"/>
    <s v="Jul-2023"/>
    <x v="0"/>
    <x v="4"/>
    <x v="1"/>
    <x v="1"/>
    <s v="CC-500"/>
    <n v="15631.32"/>
    <n v="15395.31"/>
    <n v="-236.01000000000022"/>
    <n v="-1.5098532945394261E-2"/>
    <s v="On Budget"/>
  </r>
  <r>
    <d v="2023-07-01T00:00:00"/>
    <x v="6"/>
    <x v="6"/>
    <s v="Jul-2023"/>
    <x v="0"/>
    <x v="4"/>
    <x v="1"/>
    <x v="2"/>
    <s v="CC-500"/>
    <n v="15894.29"/>
    <n v="16095.07"/>
    <n v="200.77999999999884"/>
    <n v="1.2632209428668963E-2"/>
    <s v="On Budget"/>
  </r>
  <r>
    <d v="2023-07-01T00:00:00"/>
    <x v="6"/>
    <x v="6"/>
    <s v="Jul-2023"/>
    <x v="0"/>
    <x v="4"/>
    <x v="1"/>
    <x v="3"/>
    <s v="CC-500"/>
    <n v="16797.96"/>
    <n v="16309.94"/>
    <n v="-488.01999999999862"/>
    <n v="-2.9052337307625371E-2"/>
    <s v="On Budget"/>
  </r>
  <r>
    <d v="2023-07-01T00:00:00"/>
    <x v="6"/>
    <x v="6"/>
    <s v="Jul-2023"/>
    <x v="0"/>
    <x v="4"/>
    <x v="2"/>
    <x v="0"/>
    <s v="CC-500"/>
    <n v="6907.38"/>
    <n v="9183.32"/>
    <n v="2275.9399999999996"/>
    <n v="0.32949396153100013"/>
    <s v="Overspend"/>
  </r>
  <r>
    <d v="2023-07-01T00:00:00"/>
    <x v="6"/>
    <x v="6"/>
    <s v="Jul-2023"/>
    <x v="0"/>
    <x v="4"/>
    <x v="2"/>
    <x v="1"/>
    <s v="CC-500"/>
    <n v="6684.38"/>
    <n v="8742.5300000000007"/>
    <n v="2058.1500000000005"/>
    <n v="0.30790439801447561"/>
    <s v="Overspend"/>
  </r>
  <r>
    <d v="2023-07-01T00:00:00"/>
    <x v="6"/>
    <x v="6"/>
    <s v="Jul-2023"/>
    <x v="0"/>
    <x v="4"/>
    <x v="2"/>
    <x v="2"/>
    <s v="CC-500"/>
    <n v="6837.78"/>
    <n v="9177.5300000000007"/>
    <n v="2339.7500000000009"/>
    <n v="0.34217977179727938"/>
    <s v="Overspend"/>
  </r>
  <r>
    <d v="2023-07-01T00:00:00"/>
    <x v="6"/>
    <x v="6"/>
    <s v="Jul-2023"/>
    <x v="0"/>
    <x v="4"/>
    <x v="2"/>
    <x v="3"/>
    <s v="CC-500"/>
    <n v="7253.68"/>
    <n v="9844.0300000000007"/>
    <n v="2590.3500000000004"/>
    <n v="0.35710839187832938"/>
    <s v="Overspend"/>
  </r>
  <r>
    <d v="2023-07-01T00:00:00"/>
    <x v="6"/>
    <x v="6"/>
    <s v="Jul-2023"/>
    <x v="0"/>
    <x v="4"/>
    <x v="3"/>
    <x v="0"/>
    <s v="CC-500"/>
    <n v="7010.56"/>
    <n v="6954.07"/>
    <n v="-56.490000000000691"/>
    <n v="-8.0578441665146126E-3"/>
    <s v="On Budget"/>
  </r>
  <r>
    <d v="2023-07-01T00:00:00"/>
    <x v="6"/>
    <x v="6"/>
    <s v="Jul-2023"/>
    <x v="0"/>
    <x v="4"/>
    <x v="3"/>
    <x v="1"/>
    <s v="CC-500"/>
    <n v="6752.35"/>
    <n v="6868.11"/>
    <n v="115.75999999999931"/>
    <n v="1.7143661095766555E-2"/>
    <s v="On Budget"/>
  </r>
  <r>
    <d v="2023-07-01T00:00:00"/>
    <x v="6"/>
    <x v="6"/>
    <s v="Jul-2023"/>
    <x v="0"/>
    <x v="4"/>
    <x v="3"/>
    <x v="2"/>
    <s v="CC-500"/>
    <n v="7128.92"/>
    <n v="7456.24"/>
    <n v="327.31999999999971"/>
    <n v="4.5914388154166368E-2"/>
    <s v="On Budget"/>
  </r>
  <r>
    <d v="2023-07-01T00:00:00"/>
    <x v="6"/>
    <x v="6"/>
    <s v="Jul-2023"/>
    <x v="0"/>
    <x v="4"/>
    <x v="3"/>
    <x v="3"/>
    <s v="CC-500"/>
    <n v="7584.54"/>
    <n v="7822.89"/>
    <n v="238.35000000000036"/>
    <n v="3.1425768734821148E-2"/>
    <s v="On Budget"/>
  </r>
  <r>
    <d v="2023-07-01T00:00:00"/>
    <x v="6"/>
    <x v="6"/>
    <s v="Jul-2023"/>
    <x v="0"/>
    <x v="4"/>
    <x v="4"/>
    <x v="0"/>
    <s v="CC-500"/>
    <n v="6121.24"/>
    <n v="5917.13"/>
    <n v="-204.10999999999967"/>
    <n v="-3.3344551104024622E-2"/>
    <s v="On Budget"/>
  </r>
  <r>
    <d v="2023-07-01T00:00:00"/>
    <x v="6"/>
    <x v="6"/>
    <s v="Jul-2023"/>
    <x v="0"/>
    <x v="4"/>
    <x v="4"/>
    <x v="1"/>
    <s v="CC-500"/>
    <n v="5891.73"/>
    <n v="5714.86"/>
    <n v="-176.86999999999989"/>
    <n v="-3.0020045046191848E-2"/>
    <s v="On Budget"/>
  </r>
  <r>
    <d v="2023-07-01T00:00:00"/>
    <x v="6"/>
    <x v="6"/>
    <s v="Jul-2023"/>
    <x v="0"/>
    <x v="4"/>
    <x v="4"/>
    <x v="2"/>
    <s v="CC-500"/>
    <n v="5825.08"/>
    <n v="6045.6"/>
    <n v="220.52000000000044"/>
    <n v="3.7856990805276568E-2"/>
    <s v="On Budget"/>
  </r>
  <r>
    <d v="2023-07-01T00:00:00"/>
    <x v="6"/>
    <x v="6"/>
    <s v="Jul-2023"/>
    <x v="0"/>
    <x v="4"/>
    <x v="4"/>
    <x v="3"/>
    <s v="CC-500"/>
    <n v="6242.64"/>
    <n v="5966.92"/>
    <n v="-275.72000000000025"/>
    <n v="-4.4167211308036379E-2"/>
    <s v="On Budget"/>
  </r>
  <r>
    <d v="2023-08-01T00:00:00"/>
    <x v="7"/>
    <x v="7"/>
    <s v="Aug-2023"/>
    <x v="0"/>
    <x v="0"/>
    <x v="0"/>
    <x v="0"/>
    <s v="CC-100"/>
    <n v="47315.99"/>
    <n v="51972.47"/>
    <n v="4656.4800000000032"/>
    <n v="9.8412397162143353E-2"/>
    <s v="Overspend"/>
  </r>
  <r>
    <d v="2023-08-01T00:00:00"/>
    <x v="7"/>
    <x v="7"/>
    <s v="Aug-2023"/>
    <x v="0"/>
    <x v="0"/>
    <x v="0"/>
    <x v="1"/>
    <s v="CC-100"/>
    <n v="44797.39"/>
    <n v="50856.18"/>
    <n v="6058.7900000000009"/>
    <n v="0.13524872766024987"/>
    <s v="Overspend"/>
  </r>
  <r>
    <d v="2023-08-01T00:00:00"/>
    <x v="7"/>
    <x v="7"/>
    <s v="Aug-2023"/>
    <x v="0"/>
    <x v="0"/>
    <x v="0"/>
    <x v="2"/>
    <s v="CC-100"/>
    <n v="46119.76"/>
    <n v="51815.43"/>
    <n v="5695.6699999999983"/>
    <n v="0.12349739027262931"/>
    <s v="Overspend"/>
  </r>
  <r>
    <d v="2023-08-01T00:00:00"/>
    <x v="7"/>
    <x v="7"/>
    <s v="Aug-2023"/>
    <x v="0"/>
    <x v="0"/>
    <x v="0"/>
    <x v="3"/>
    <s v="CC-100"/>
    <n v="48409.94"/>
    <n v="54507.73"/>
    <n v="6097.7900000000009"/>
    <n v="0.12596152773583277"/>
    <s v="Overspend"/>
  </r>
  <r>
    <d v="2023-08-01T00:00:00"/>
    <x v="7"/>
    <x v="7"/>
    <s v="Aug-2023"/>
    <x v="0"/>
    <x v="0"/>
    <x v="1"/>
    <x v="0"/>
    <s v="CC-100"/>
    <n v="18811.14"/>
    <n v="22440.81"/>
    <n v="3629.6700000000019"/>
    <n v="0.19295321814626876"/>
    <s v="Overspend"/>
  </r>
  <r>
    <d v="2023-08-01T00:00:00"/>
    <x v="7"/>
    <x v="7"/>
    <s v="Aug-2023"/>
    <x v="0"/>
    <x v="0"/>
    <x v="1"/>
    <x v="1"/>
    <s v="CC-100"/>
    <n v="17419.18"/>
    <n v="19817.060000000001"/>
    <n v="2397.880000000001"/>
    <n v="0.1376574557470559"/>
    <s v="Overspend"/>
  </r>
  <r>
    <d v="2023-08-01T00:00:00"/>
    <x v="7"/>
    <x v="7"/>
    <s v="Aug-2023"/>
    <x v="0"/>
    <x v="0"/>
    <x v="1"/>
    <x v="2"/>
    <s v="CC-100"/>
    <n v="18022.62"/>
    <n v="21515.33"/>
    <n v="3492.7100000000028"/>
    <n v="0.1937959075872433"/>
    <s v="Overspend"/>
  </r>
  <r>
    <d v="2023-08-01T00:00:00"/>
    <x v="7"/>
    <x v="7"/>
    <s v="Aug-2023"/>
    <x v="0"/>
    <x v="0"/>
    <x v="1"/>
    <x v="3"/>
    <s v="CC-100"/>
    <n v="18907.88"/>
    <n v="22385.01"/>
    <n v="3477.1299999999974"/>
    <n v="0.18389845926671827"/>
    <s v="Overspend"/>
  </r>
  <r>
    <d v="2023-08-01T00:00:00"/>
    <x v="7"/>
    <x v="7"/>
    <s v="Aug-2023"/>
    <x v="0"/>
    <x v="0"/>
    <x v="2"/>
    <x v="0"/>
    <s v="CC-100"/>
    <n v="10160.450000000001"/>
    <n v="15415.53"/>
    <n v="5255.08"/>
    <n v="0.51720937556899538"/>
    <s v="Overspend"/>
  </r>
  <r>
    <d v="2023-08-01T00:00:00"/>
    <x v="7"/>
    <x v="7"/>
    <s v="Aug-2023"/>
    <x v="0"/>
    <x v="0"/>
    <x v="2"/>
    <x v="1"/>
    <s v="CC-100"/>
    <n v="9938.1"/>
    <n v="14521.64"/>
    <n v="4583.5399999999991"/>
    <n v="0.46120888298568125"/>
    <s v="Overspend"/>
  </r>
  <r>
    <d v="2023-08-01T00:00:00"/>
    <x v="7"/>
    <x v="7"/>
    <s v="Aug-2023"/>
    <x v="0"/>
    <x v="0"/>
    <x v="2"/>
    <x v="2"/>
    <s v="CC-100"/>
    <n v="10140.969999999999"/>
    <n v="15730.22"/>
    <n v="5589.25"/>
    <n v="0.55115536284990496"/>
    <s v="Overspend"/>
  </r>
  <r>
    <d v="2023-08-01T00:00:00"/>
    <x v="7"/>
    <x v="7"/>
    <s v="Aug-2023"/>
    <x v="0"/>
    <x v="0"/>
    <x v="2"/>
    <x v="3"/>
    <s v="CC-100"/>
    <n v="10420.120000000001"/>
    <n v="15167.19"/>
    <n v="4747.07"/>
    <n v="0.45556769019934507"/>
    <s v="Overspend"/>
  </r>
  <r>
    <d v="2023-08-01T00:00:00"/>
    <x v="7"/>
    <x v="7"/>
    <s v="Aug-2023"/>
    <x v="0"/>
    <x v="0"/>
    <x v="3"/>
    <x v="0"/>
    <s v="CC-100"/>
    <n v="7969.61"/>
    <n v="8958.68"/>
    <n v="989.07000000000062"/>
    <n v="0.12410519460801729"/>
    <s v="Overspend"/>
  </r>
  <r>
    <d v="2023-08-01T00:00:00"/>
    <x v="7"/>
    <x v="7"/>
    <s v="Aug-2023"/>
    <x v="0"/>
    <x v="0"/>
    <x v="3"/>
    <x v="1"/>
    <s v="CC-100"/>
    <n v="7572.19"/>
    <n v="8954"/>
    <n v="1381.8100000000004"/>
    <n v="0.18248485576827847"/>
    <s v="Overspend"/>
  </r>
  <r>
    <d v="2023-08-01T00:00:00"/>
    <x v="7"/>
    <x v="7"/>
    <s v="Aug-2023"/>
    <x v="0"/>
    <x v="0"/>
    <x v="3"/>
    <x v="2"/>
    <s v="CC-100"/>
    <n v="7944.96"/>
    <n v="9046.6299999999992"/>
    <n v="1101.6699999999992"/>
    <n v="0.13866274971806014"/>
    <s v="Overspend"/>
  </r>
  <r>
    <d v="2023-08-01T00:00:00"/>
    <x v="7"/>
    <x v="7"/>
    <s v="Aug-2023"/>
    <x v="0"/>
    <x v="0"/>
    <x v="3"/>
    <x v="3"/>
    <s v="CC-100"/>
    <n v="8306.16"/>
    <n v="9437.74"/>
    <n v="1131.58"/>
    <n v="0.13623383127702812"/>
    <s v="Overspend"/>
  </r>
  <r>
    <d v="2023-08-01T00:00:00"/>
    <x v="7"/>
    <x v="7"/>
    <s v="Aug-2023"/>
    <x v="0"/>
    <x v="0"/>
    <x v="4"/>
    <x v="0"/>
    <s v="CC-100"/>
    <n v="8224.18"/>
    <n v="9144.2800000000007"/>
    <n v="920.10000000000036"/>
    <n v="0.11187741513439642"/>
    <s v="Overspend"/>
  </r>
  <r>
    <d v="2023-08-01T00:00:00"/>
    <x v="7"/>
    <x v="7"/>
    <s v="Aug-2023"/>
    <x v="0"/>
    <x v="0"/>
    <x v="4"/>
    <x v="1"/>
    <s v="CC-100"/>
    <n v="7854.58"/>
    <n v="9022.83"/>
    <n v="1168.25"/>
    <n v="0.14873487824937806"/>
    <s v="Overspend"/>
  </r>
  <r>
    <d v="2023-08-01T00:00:00"/>
    <x v="7"/>
    <x v="7"/>
    <s v="Aug-2023"/>
    <x v="0"/>
    <x v="0"/>
    <x v="4"/>
    <x v="2"/>
    <s v="CC-100"/>
    <n v="7866.83"/>
    <n v="9470.0400000000009"/>
    <n v="1603.2100000000009"/>
    <n v="0.2037936500470966"/>
    <s v="Overspend"/>
  </r>
  <r>
    <d v="2023-08-01T00:00:00"/>
    <x v="7"/>
    <x v="7"/>
    <s v="Aug-2023"/>
    <x v="0"/>
    <x v="0"/>
    <x v="4"/>
    <x v="3"/>
    <s v="CC-100"/>
    <n v="8781.85"/>
    <n v="10321.66"/>
    <n v="1539.8099999999995"/>
    <n v="0.17534004793978483"/>
    <s v="Overspend"/>
  </r>
  <r>
    <d v="2023-08-01T00:00:00"/>
    <x v="7"/>
    <x v="7"/>
    <s v="Aug-2023"/>
    <x v="0"/>
    <x v="1"/>
    <x v="0"/>
    <x v="0"/>
    <s v="CC-200"/>
    <n v="50616.56"/>
    <n v="43730.83"/>
    <n v="-6885.7299999999959"/>
    <n v="-0.13603709932085462"/>
    <s v="Underspend"/>
  </r>
  <r>
    <d v="2023-08-01T00:00:00"/>
    <x v="7"/>
    <x v="7"/>
    <s v="Aug-2023"/>
    <x v="0"/>
    <x v="1"/>
    <x v="0"/>
    <x v="1"/>
    <s v="CC-200"/>
    <n v="48325.919999999998"/>
    <n v="42072.01"/>
    <n v="-6253.9099999999962"/>
    <n v="-0.12941109036310114"/>
    <s v="Underspend"/>
  </r>
  <r>
    <d v="2023-08-01T00:00:00"/>
    <x v="7"/>
    <x v="7"/>
    <s v="Aug-2023"/>
    <x v="0"/>
    <x v="1"/>
    <x v="0"/>
    <x v="2"/>
    <s v="CC-200"/>
    <n v="47931.56"/>
    <n v="42279.25"/>
    <n v="-5652.3099999999977"/>
    <n v="-0.11792459915763222"/>
    <s v="Underspend"/>
  </r>
  <r>
    <d v="2023-08-01T00:00:00"/>
    <x v="7"/>
    <x v="7"/>
    <s v="Aug-2023"/>
    <x v="0"/>
    <x v="1"/>
    <x v="0"/>
    <x v="3"/>
    <s v="CC-200"/>
    <n v="51109.31"/>
    <n v="45254.84"/>
    <n v="-5854.4700000000012"/>
    <n v="-0.11454801483330534"/>
    <s v="Underspend"/>
  </r>
  <r>
    <d v="2023-08-01T00:00:00"/>
    <x v="7"/>
    <x v="7"/>
    <s v="Aug-2023"/>
    <x v="0"/>
    <x v="1"/>
    <x v="1"/>
    <x v="0"/>
    <s v="CC-200"/>
    <n v="27190.95"/>
    <n v="23693.759999999998"/>
    <n v="-3497.1900000000023"/>
    <n v="-0.12861595494089034"/>
    <s v="Underspend"/>
  </r>
  <r>
    <d v="2023-08-01T00:00:00"/>
    <x v="7"/>
    <x v="7"/>
    <s v="Aug-2023"/>
    <x v="0"/>
    <x v="1"/>
    <x v="1"/>
    <x v="1"/>
    <s v="CC-200"/>
    <n v="26819.83"/>
    <n v="23156.66"/>
    <n v="-3663.1700000000019"/>
    <n v="-0.13658438550878219"/>
    <s v="Underspend"/>
  </r>
  <r>
    <d v="2023-08-01T00:00:00"/>
    <x v="7"/>
    <x v="7"/>
    <s v="Aug-2023"/>
    <x v="0"/>
    <x v="1"/>
    <x v="1"/>
    <x v="2"/>
    <s v="CC-200"/>
    <n v="27744.12"/>
    <n v="23756.22"/>
    <n v="-3987.8999999999978"/>
    <n v="-0.14373856514461436"/>
    <s v="Underspend"/>
  </r>
  <r>
    <d v="2023-08-01T00:00:00"/>
    <x v="7"/>
    <x v="7"/>
    <s v="Aug-2023"/>
    <x v="0"/>
    <x v="1"/>
    <x v="1"/>
    <x v="3"/>
    <s v="CC-200"/>
    <n v="29151.88"/>
    <n v="25796.12"/>
    <n v="-3355.760000000002"/>
    <n v="-0.1151129875671827"/>
    <s v="Underspend"/>
  </r>
  <r>
    <d v="2023-08-01T00:00:00"/>
    <x v="7"/>
    <x v="7"/>
    <s v="Aug-2023"/>
    <x v="0"/>
    <x v="1"/>
    <x v="2"/>
    <x v="0"/>
    <s v="CC-200"/>
    <n v="10605.89"/>
    <n v="13300.46"/>
    <n v="2694.5699999999997"/>
    <n v="0.25406354393643532"/>
    <s v="Overspend"/>
  </r>
  <r>
    <d v="2023-08-01T00:00:00"/>
    <x v="7"/>
    <x v="7"/>
    <s v="Aug-2023"/>
    <x v="0"/>
    <x v="1"/>
    <x v="2"/>
    <x v="1"/>
    <s v="CC-200"/>
    <n v="10533.83"/>
    <n v="13229.58"/>
    <n v="2695.75"/>
    <n v="0.25591356610083893"/>
    <s v="Overspend"/>
  </r>
  <r>
    <d v="2023-08-01T00:00:00"/>
    <x v="7"/>
    <x v="7"/>
    <s v="Aug-2023"/>
    <x v="0"/>
    <x v="1"/>
    <x v="2"/>
    <x v="2"/>
    <s v="CC-200"/>
    <n v="10270.31"/>
    <n v="13212.2"/>
    <n v="2941.8900000000012"/>
    <n v="0.28644607611649514"/>
    <s v="Overspend"/>
  </r>
  <r>
    <d v="2023-08-01T00:00:00"/>
    <x v="7"/>
    <x v="7"/>
    <s v="Aug-2023"/>
    <x v="0"/>
    <x v="1"/>
    <x v="2"/>
    <x v="3"/>
    <s v="CC-200"/>
    <n v="11152"/>
    <n v="13457.25"/>
    <n v="2305.25"/>
    <n v="0.2067118005738881"/>
    <s v="Overspend"/>
  </r>
  <r>
    <d v="2023-08-01T00:00:00"/>
    <x v="7"/>
    <x v="7"/>
    <s v="Aug-2023"/>
    <x v="0"/>
    <x v="1"/>
    <x v="3"/>
    <x v="0"/>
    <s v="CC-200"/>
    <n v="8624.0499999999993"/>
    <n v="7470.21"/>
    <n v="-1153.8399999999992"/>
    <n v="-0.13379328737658053"/>
    <s v="Underspend"/>
  </r>
  <r>
    <d v="2023-08-01T00:00:00"/>
    <x v="7"/>
    <x v="7"/>
    <s v="Aug-2023"/>
    <x v="0"/>
    <x v="1"/>
    <x v="3"/>
    <x v="1"/>
    <s v="CC-200"/>
    <n v="7805.73"/>
    <n v="6670.44"/>
    <n v="-1135.29"/>
    <n v="-0.14544315522058796"/>
    <s v="Underspend"/>
  </r>
  <r>
    <d v="2023-08-01T00:00:00"/>
    <x v="7"/>
    <x v="7"/>
    <s v="Aug-2023"/>
    <x v="0"/>
    <x v="1"/>
    <x v="3"/>
    <x v="2"/>
    <s v="CC-200"/>
    <n v="8098.41"/>
    <n v="7091.01"/>
    <n v="-1007.3999999999996"/>
    <n v="-0.12439478860665237"/>
    <s v="Underspend"/>
  </r>
  <r>
    <d v="2023-08-01T00:00:00"/>
    <x v="7"/>
    <x v="7"/>
    <s v="Aug-2023"/>
    <x v="0"/>
    <x v="1"/>
    <x v="3"/>
    <x v="3"/>
    <s v="CC-200"/>
    <n v="8985.99"/>
    <n v="8034.41"/>
    <n v="-951.57999999999993"/>
    <n v="-0.10589595581566416"/>
    <s v="Underspend"/>
  </r>
  <r>
    <d v="2023-08-01T00:00:00"/>
    <x v="7"/>
    <x v="7"/>
    <s v="Aug-2023"/>
    <x v="0"/>
    <x v="1"/>
    <x v="4"/>
    <x v="0"/>
    <s v="CC-200"/>
    <n v="7062.01"/>
    <n v="6099.65"/>
    <n v="-962.36000000000058"/>
    <n v="-0.13627281751229472"/>
    <s v="Underspend"/>
  </r>
  <r>
    <d v="2023-08-01T00:00:00"/>
    <x v="7"/>
    <x v="7"/>
    <s v="Aug-2023"/>
    <x v="0"/>
    <x v="1"/>
    <x v="4"/>
    <x v="1"/>
    <s v="CC-200"/>
    <n v="6884.34"/>
    <n v="5901.56"/>
    <n v="-982.77999999999975"/>
    <n v="-0.14275587783287863"/>
    <s v="Underspend"/>
  </r>
  <r>
    <d v="2023-08-01T00:00:00"/>
    <x v="7"/>
    <x v="7"/>
    <s v="Aug-2023"/>
    <x v="0"/>
    <x v="1"/>
    <x v="4"/>
    <x v="2"/>
    <s v="CC-200"/>
    <n v="6954.06"/>
    <n v="5985.77"/>
    <n v="-968.29"/>
    <n v="-0.13924096139521372"/>
    <s v="Underspend"/>
  </r>
  <r>
    <d v="2023-08-01T00:00:00"/>
    <x v="7"/>
    <x v="7"/>
    <s v="Aug-2023"/>
    <x v="0"/>
    <x v="1"/>
    <x v="4"/>
    <x v="3"/>
    <s v="CC-200"/>
    <n v="7363.48"/>
    <n v="6371.52"/>
    <n v="-991.95999999999913"/>
    <n v="-0.13471347786644347"/>
    <s v="Underspend"/>
  </r>
  <r>
    <d v="2023-08-01T00:00:00"/>
    <x v="7"/>
    <x v="7"/>
    <s v="Aug-2023"/>
    <x v="0"/>
    <x v="2"/>
    <x v="0"/>
    <x v="0"/>
    <s v="CC-300"/>
    <n v="43833.21"/>
    <n v="43456.02"/>
    <n v="-377.19000000000233"/>
    <n v="-8.6051192691569325E-3"/>
    <s v="On Budget"/>
  </r>
  <r>
    <d v="2023-08-01T00:00:00"/>
    <x v="7"/>
    <x v="7"/>
    <s v="Aug-2023"/>
    <x v="0"/>
    <x v="2"/>
    <x v="0"/>
    <x v="1"/>
    <s v="CC-300"/>
    <n v="42672.03"/>
    <n v="42436.04"/>
    <n v="-235.98999999999796"/>
    <n v="-5.530320446437584E-3"/>
    <s v="On Budget"/>
  </r>
  <r>
    <d v="2023-08-01T00:00:00"/>
    <x v="7"/>
    <x v="7"/>
    <s v="Aug-2023"/>
    <x v="0"/>
    <x v="2"/>
    <x v="0"/>
    <x v="2"/>
    <s v="CC-300"/>
    <n v="44042.47"/>
    <n v="44462"/>
    <n v="419.52999999999884"/>
    <n v="9.5255783792325636E-3"/>
    <s v="On Budget"/>
  </r>
  <r>
    <d v="2023-08-01T00:00:00"/>
    <x v="7"/>
    <x v="7"/>
    <s v="Aug-2023"/>
    <x v="0"/>
    <x v="2"/>
    <x v="0"/>
    <x v="3"/>
    <s v="CC-300"/>
    <n v="46650.89"/>
    <n v="45351.32"/>
    <n v="-1299.5699999999997"/>
    <n v="-2.7857346344303393E-2"/>
    <s v="On Budget"/>
  </r>
  <r>
    <d v="2023-08-01T00:00:00"/>
    <x v="7"/>
    <x v="7"/>
    <s v="Aug-2023"/>
    <x v="0"/>
    <x v="2"/>
    <x v="1"/>
    <x v="0"/>
    <s v="CC-300"/>
    <n v="15188.59"/>
    <n v="15619.12"/>
    <n v="430.53000000000065"/>
    <n v="2.8345619968673897E-2"/>
    <s v="On Budget"/>
  </r>
  <r>
    <d v="2023-08-01T00:00:00"/>
    <x v="7"/>
    <x v="7"/>
    <s v="Aug-2023"/>
    <x v="0"/>
    <x v="2"/>
    <x v="1"/>
    <x v="1"/>
    <s v="CC-300"/>
    <n v="13932.41"/>
    <n v="13879.8"/>
    <n v="-52.610000000000582"/>
    <n v="-3.7760875541274328E-3"/>
    <s v="On Budget"/>
  </r>
  <r>
    <d v="2023-08-01T00:00:00"/>
    <x v="7"/>
    <x v="7"/>
    <s v="Aug-2023"/>
    <x v="0"/>
    <x v="2"/>
    <x v="1"/>
    <x v="2"/>
    <s v="CC-300"/>
    <n v="14792.72"/>
    <n v="14865.67"/>
    <n v="72.950000000000728"/>
    <n v="4.9314798089871732E-3"/>
    <s v="On Budget"/>
  </r>
  <r>
    <d v="2023-08-01T00:00:00"/>
    <x v="7"/>
    <x v="7"/>
    <s v="Aug-2023"/>
    <x v="0"/>
    <x v="2"/>
    <x v="1"/>
    <x v="3"/>
    <s v="CC-300"/>
    <n v="15938.46"/>
    <n v="16097.89"/>
    <n v="159.43000000000029"/>
    <n v="1.0002848455873422E-2"/>
    <s v="On Budget"/>
  </r>
  <r>
    <d v="2023-08-01T00:00:00"/>
    <x v="7"/>
    <x v="7"/>
    <s v="Aug-2023"/>
    <x v="0"/>
    <x v="2"/>
    <x v="2"/>
    <x v="0"/>
    <s v="CC-300"/>
    <n v="8572.08"/>
    <n v="11952.94"/>
    <n v="3380.8600000000006"/>
    <n v="0.39440369198607578"/>
    <s v="Overspend"/>
  </r>
  <r>
    <d v="2023-08-01T00:00:00"/>
    <x v="7"/>
    <x v="7"/>
    <s v="Aug-2023"/>
    <x v="0"/>
    <x v="2"/>
    <x v="2"/>
    <x v="1"/>
    <s v="CC-300"/>
    <n v="8060.34"/>
    <n v="11067.44"/>
    <n v="3007.1000000000004"/>
    <n v="0.37307359242910354"/>
    <s v="Overspend"/>
  </r>
  <r>
    <d v="2023-08-01T00:00:00"/>
    <x v="7"/>
    <x v="7"/>
    <s v="Aug-2023"/>
    <x v="0"/>
    <x v="2"/>
    <x v="2"/>
    <x v="2"/>
    <s v="CC-300"/>
    <n v="8157.96"/>
    <n v="10772.98"/>
    <n v="2615.0199999999995"/>
    <n v="0.32054827432348276"/>
    <s v="Overspend"/>
  </r>
  <r>
    <d v="2023-08-01T00:00:00"/>
    <x v="7"/>
    <x v="7"/>
    <s v="Aug-2023"/>
    <x v="0"/>
    <x v="2"/>
    <x v="2"/>
    <x v="3"/>
    <s v="CC-300"/>
    <n v="8615.42"/>
    <n v="11817.15"/>
    <n v="3201.7299999999996"/>
    <n v="0.37162784867133575"/>
    <s v="Overspend"/>
  </r>
  <r>
    <d v="2023-08-01T00:00:00"/>
    <x v="7"/>
    <x v="7"/>
    <s v="Aug-2023"/>
    <x v="0"/>
    <x v="2"/>
    <x v="3"/>
    <x v="0"/>
    <s v="CC-300"/>
    <n v="6448.58"/>
    <n v="6428.35"/>
    <n v="-20.229999999999563"/>
    <n v="-3.1371247623507136E-3"/>
    <s v="On Budget"/>
  </r>
  <r>
    <d v="2023-08-01T00:00:00"/>
    <x v="7"/>
    <x v="7"/>
    <s v="Aug-2023"/>
    <x v="0"/>
    <x v="2"/>
    <x v="3"/>
    <x v="1"/>
    <s v="CC-300"/>
    <n v="6326.13"/>
    <n v="6343.58"/>
    <n v="17.449999999999818"/>
    <n v="2.7584004754881448E-3"/>
    <s v="On Budget"/>
  </r>
  <r>
    <d v="2023-08-01T00:00:00"/>
    <x v="7"/>
    <x v="7"/>
    <s v="Aug-2023"/>
    <x v="0"/>
    <x v="2"/>
    <x v="3"/>
    <x v="2"/>
    <s v="CC-300"/>
    <n v="6298.76"/>
    <n v="6152.72"/>
    <n v="-146.03999999999996"/>
    <n v="-2.3185515879315922E-2"/>
    <s v="On Budget"/>
  </r>
  <r>
    <d v="2023-08-01T00:00:00"/>
    <x v="7"/>
    <x v="7"/>
    <s v="Aug-2023"/>
    <x v="0"/>
    <x v="2"/>
    <x v="3"/>
    <x v="3"/>
    <s v="CC-300"/>
    <n v="6634.91"/>
    <n v="6467.35"/>
    <n v="-167.55999999999949"/>
    <n v="-2.525429885258421E-2"/>
    <s v="On Budget"/>
  </r>
  <r>
    <d v="2023-08-01T00:00:00"/>
    <x v="7"/>
    <x v="7"/>
    <s v="Aug-2023"/>
    <x v="0"/>
    <x v="2"/>
    <x v="4"/>
    <x v="0"/>
    <s v="CC-300"/>
    <n v="5780.34"/>
    <n v="5865.97"/>
    <n v="85.630000000000109"/>
    <n v="1.4814007480528845E-2"/>
    <s v="On Budget"/>
  </r>
  <r>
    <d v="2023-08-01T00:00:00"/>
    <x v="7"/>
    <x v="7"/>
    <s v="Aug-2023"/>
    <x v="0"/>
    <x v="2"/>
    <x v="4"/>
    <x v="1"/>
    <s v="CC-300"/>
    <n v="5351.02"/>
    <n v="5311.82"/>
    <n v="-39.200000000000728"/>
    <n v="-7.3257061270562852E-3"/>
    <s v="On Budget"/>
  </r>
  <r>
    <d v="2023-08-01T00:00:00"/>
    <x v="7"/>
    <x v="7"/>
    <s v="Aug-2023"/>
    <x v="0"/>
    <x v="2"/>
    <x v="4"/>
    <x v="2"/>
    <s v="CC-300"/>
    <n v="5471.92"/>
    <n v="5460.01"/>
    <n v="-11.909999999999854"/>
    <n v="-2.1765669088729101E-3"/>
    <s v="On Budget"/>
  </r>
  <r>
    <d v="2023-08-01T00:00:00"/>
    <x v="7"/>
    <x v="7"/>
    <s v="Aug-2023"/>
    <x v="0"/>
    <x v="2"/>
    <x v="4"/>
    <x v="3"/>
    <s v="CC-300"/>
    <n v="5987.01"/>
    <n v="6112.89"/>
    <n v="125.88000000000011"/>
    <n v="2.1025520251344177E-2"/>
    <s v="On Budget"/>
  </r>
  <r>
    <d v="2023-08-01T00:00:00"/>
    <x v="7"/>
    <x v="7"/>
    <s v="Aug-2023"/>
    <x v="0"/>
    <x v="3"/>
    <x v="0"/>
    <x v="0"/>
    <s v="CC-400"/>
    <n v="53163.85"/>
    <n v="48650.85"/>
    <n v="-4513"/>
    <n v="-8.4888509767445358E-2"/>
    <s v="Underspend"/>
  </r>
  <r>
    <d v="2023-08-01T00:00:00"/>
    <x v="7"/>
    <x v="7"/>
    <s v="Aug-2023"/>
    <x v="0"/>
    <x v="3"/>
    <x v="0"/>
    <x v="1"/>
    <s v="CC-400"/>
    <n v="50285.99"/>
    <n v="46297.760000000002"/>
    <n v="-3988.2299999999959"/>
    <n v="-7.9310957187081255E-2"/>
    <s v="Underspend"/>
  </r>
  <r>
    <d v="2023-08-01T00:00:00"/>
    <x v="7"/>
    <x v="7"/>
    <s v="Aug-2023"/>
    <x v="0"/>
    <x v="3"/>
    <x v="0"/>
    <x v="2"/>
    <s v="CC-400"/>
    <n v="51963.43"/>
    <n v="59413.39"/>
    <n v="7449.9599999999991"/>
    <n v="0.14336928874787516"/>
    <s v="Overspend"/>
  </r>
  <r>
    <d v="2023-08-01T00:00:00"/>
    <x v="7"/>
    <x v="7"/>
    <s v="Aug-2023"/>
    <x v="0"/>
    <x v="3"/>
    <x v="0"/>
    <x v="3"/>
    <s v="CC-400"/>
    <n v="54168.34"/>
    <n v="53125.33"/>
    <n v="-1043.0099999999948"/>
    <n v="-1.9254974400175359E-2"/>
    <s v="On Budget"/>
  </r>
  <r>
    <d v="2023-08-01T00:00:00"/>
    <x v="7"/>
    <x v="7"/>
    <s v="Aug-2023"/>
    <x v="0"/>
    <x v="3"/>
    <x v="1"/>
    <x v="0"/>
    <s v="CC-400"/>
    <n v="20103.669999999998"/>
    <n v="23494.9"/>
    <n v="3391.2300000000032"/>
    <n v="0.16868711036343134"/>
    <s v="Overspend"/>
  </r>
  <r>
    <d v="2023-08-01T00:00:00"/>
    <x v="7"/>
    <x v="7"/>
    <s v="Aug-2023"/>
    <x v="0"/>
    <x v="3"/>
    <x v="1"/>
    <x v="1"/>
    <s v="CC-400"/>
    <n v="19052.54"/>
    <n v="19881.77"/>
    <n v="829.22999999999956"/>
    <n v="4.3523330747501358E-2"/>
    <s v="On Budget"/>
  </r>
  <r>
    <d v="2023-08-01T00:00:00"/>
    <x v="7"/>
    <x v="7"/>
    <s v="Aug-2023"/>
    <x v="0"/>
    <x v="3"/>
    <x v="1"/>
    <x v="2"/>
    <s v="CC-400"/>
    <n v="19895.560000000001"/>
    <n v="19636.189999999999"/>
    <n v="-259.37000000000262"/>
    <n v="-1.3036577005120871E-2"/>
    <s v="On Budget"/>
  </r>
  <r>
    <d v="2023-08-01T00:00:00"/>
    <x v="7"/>
    <x v="7"/>
    <s v="Aug-2023"/>
    <x v="0"/>
    <x v="3"/>
    <x v="1"/>
    <x v="3"/>
    <s v="CC-400"/>
    <n v="20726.580000000002"/>
    <n v="20744.61"/>
    <n v="18.029999999998836"/>
    <n v="8.6989749394250442E-4"/>
    <s v="On Budget"/>
  </r>
  <r>
    <d v="2023-08-01T00:00:00"/>
    <x v="7"/>
    <x v="7"/>
    <s v="Aug-2023"/>
    <x v="0"/>
    <x v="3"/>
    <x v="2"/>
    <x v="0"/>
    <s v="CC-400"/>
    <n v="11725.08"/>
    <n v="15518.53"/>
    <n v="3793.4500000000007"/>
    <n v="0.32353297376222601"/>
    <s v="Overspend"/>
  </r>
  <r>
    <d v="2023-08-01T00:00:00"/>
    <x v="7"/>
    <x v="7"/>
    <s v="Aug-2023"/>
    <x v="0"/>
    <x v="3"/>
    <x v="2"/>
    <x v="1"/>
    <s v="CC-400"/>
    <n v="10698.85"/>
    <n v="13369.21"/>
    <n v="2670.3599999999988"/>
    <n v="0.2495931805754823"/>
    <s v="Overspend"/>
  </r>
  <r>
    <d v="2023-08-01T00:00:00"/>
    <x v="7"/>
    <x v="7"/>
    <s v="Aug-2023"/>
    <x v="0"/>
    <x v="3"/>
    <x v="2"/>
    <x v="2"/>
    <s v="CC-400"/>
    <n v="11287.02"/>
    <n v="14402.33"/>
    <n v="3115.3099999999995"/>
    <n v="0.27600819348242489"/>
    <s v="Overspend"/>
  </r>
  <r>
    <d v="2023-08-01T00:00:00"/>
    <x v="7"/>
    <x v="7"/>
    <s v="Aug-2023"/>
    <x v="0"/>
    <x v="3"/>
    <x v="2"/>
    <x v="3"/>
    <s v="CC-400"/>
    <n v="11623.2"/>
    <n v="13733.15"/>
    <n v="2109.9499999999989"/>
    <n v="0.18152918301328366"/>
    <s v="Overspend"/>
  </r>
  <r>
    <d v="2023-08-01T00:00:00"/>
    <x v="7"/>
    <x v="7"/>
    <s v="Aug-2023"/>
    <x v="0"/>
    <x v="3"/>
    <x v="3"/>
    <x v="0"/>
    <s v="CC-400"/>
    <n v="11853.47"/>
    <n v="12255.54"/>
    <n v="402.07000000000153"/>
    <n v="3.3920025106572299E-2"/>
    <s v="On Budget"/>
  </r>
  <r>
    <d v="2023-08-01T00:00:00"/>
    <x v="7"/>
    <x v="7"/>
    <s v="Aug-2023"/>
    <x v="0"/>
    <x v="3"/>
    <x v="3"/>
    <x v="1"/>
    <s v="CC-400"/>
    <n v="11663.7"/>
    <n v="11855.69"/>
    <n v="191.98999999999978"/>
    <n v="1.6460471377007277E-2"/>
    <s v="On Budget"/>
  </r>
  <r>
    <d v="2023-08-01T00:00:00"/>
    <x v="7"/>
    <x v="7"/>
    <s v="Aug-2023"/>
    <x v="0"/>
    <x v="3"/>
    <x v="3"/>
    <x v="2"/>
    <s v="CC-400"/>
    <n v="12037.55"/>
    <n v="11002.89"/>
    <n v="-1034.6599999999999"/>
    <n v="-8.5952706323130526E-2"/>
    <s v="Underspend"/>
  </r>
  <r>
    <d v="2023-08-01T00:00:00"/>
    <x v="7"/>
    <x v="7"/>
    <s v="Aug-2023"/>
    <x v="0"/>
    <x v="3"/>
    <x v="3"/>
    <x v="3"/>
    <s v="CC-400"/>
    <n v="12176.44"/>
    <n v="12428.17"/>
    <n v="251.72999999999956"/>
    <n v="2.0673530194375331E-2"/>
    <s v="On Budget"/>
  </r>
  <r>
    <d v="2023-08-01T00:00:00"/>
    <x v="7"/>
    <x v="7"/>
    <s v="Aug-2023"/>
    <x v="0"/>
    <x v="3"/>
    <x v="4"/>
    <x v="0"/>
    <s v="CC-400"/>
    <n v="7723.56"/>
    <n v="8296.34"/>
    <n v="572.77999999999975"/>
    <n v="7.4160102336228328E-2"/>
    <s v="Overspend"/>
  </r>
  <r>
    <d v="2023-08-01T00:00:00"/>
    <x v="7"/>
    <x v="7"/>
    <s v="Aug-2023"/>
    <x v="0"/>
    <x v="3"/>
    <x v="4"/>
    <x v="1"/>
    <s v="CC-400"/>
    <n v="7240.95"/>
    <n v="7079.66"/>
    <n v="-161.28999999999996"/>
    <n v="-2.2274701523971298E-2"/>
    <s v="On Budget"/>
  </r>
  <r>
    <d v="2023-08-01T00:00:00"/>
    <x v="7"/>
    <x v="7"/>
    <s v="Aug-2023"/>
    <x v="0"/>
    <x v="3"/>
    <x v="4"/>
    <x v="2"/>
    <s v="CC-400"/>
    <n v="7408.17"/>
    <n v="7118.18"/>
    <n v="-289.98999999999978"/>
    <n v="-3.9144620061364654E-2"/>
    <s v="On Budget"/>
  </r>
  <r>
    <d v="2023-08-01T00:00:00"/>
    <x v="7"/>
    <x v="7"/>
    <s v="Aug-2023"/>
    <x v="0"/>
    <x v="3"/>
    <x v="4"/>
    <x v="3"/>
    <s v="CC-400"/>
    <n v="7825.99"/>
    <n v="7591.02"/>
    <n v="-234.96999999999935"/>
    <n v="-3.002431641236436E-2"/>
    <s v="On Budget"/>
  </r>
  <r>
    <d v="2023-08-01T00:00:00"/>
    <x v="7"/>
    <x v="7"/>
    <s v="Aug-2023"/>
    <x v="0"/>
    <x v="4"/>
    <x v="0"/>
    <x v="0"/>
    <s v="CC-500"/>
    <n v="43783.58"/>
    <n v="43906.74"/>
    <n v="123.15999999999622"/>
    <n v="2.8129266725104756E-3"/>
    <s v="On Budget"/>
  </r>
  <r>
    <d v="2023-08-01T00:00:00"/>
    <x v="7"/>
    <x v="7"/>
    <s v="Aug-2023"/>
    <x v="0"/>
    <x v="4"/>
    <x v="0"/>
    <x v="1"/>
    <s v="CC-500"/>
    <n v="41222.370000000003"/>
    <n v="42431.62"/>
    <n v="1209.25"/>
    <n v="2.9334800497885005E-2"/>
    <s v="On Budget"/>
  </r>
  <r>
    <d v="2023-08-01T00:00:00"/>
    <x v="7"/>
    <x v="7"/>
    <s v="Aug-2023"/>
    <x v="0"/>
    <x v="4"/>
    <x v="0"/>
    <x v="2"/>
    <s v="CC-500"/>
    <n v="40708.32"/>
    <n v="38357.480000000003"/>
    <n v="-2350.8399999999965"/>
    <n v="-5.7748391483608177E-2"/>
    <s v="Underspend"/>
  </r>
  <r>
    <d v="2023-08-01T00:00:00"/>
    <x v="7"/>
    <x v="7"/>
    <s v="Aug-2023"/>
    <x v="0"/>
    <x v="4"/>
    <x v="0"/>
    <x v="3"/>
    <s v="CC-500"/>
    <n v="45190.66"/>
    <n v="46960.9"/>
    <n v="1770.239999999998"/>
    <n v="3.9172696304944382E-2"/>
    <s v="On Budget"/>
  </r>
  <r>
    <d v="2023-08-01T00:00:00"/>
    <x v="7"/>
    <x v="7"/>
    <s v="Aug-2023"/>
    <x v="0"/>
    <x v="4"/>
    <x v="1"/>
    <x v="0"/>
    <s v="CC-500"/>
    <n v="16558.04"/>
    <n v="15878.33"/>
    <n v="-679.71000000000095"/>
    <n v="-4.1050148447521619E-2"/>
    <s v="On Budget"/>
  </r>
  <r>
    <d v="2023-08-01T00:00:00"/>
    <x v="7"/>
    <x v="7"/>
    <s v="Aug-2023"/>
    <x v="0"/>
    <x v="4"/>
    <x v="1"/>
    <x v="1"/>
    <s v="CC-500"/>
    <n v="15761.71"/>
    <n v="15387.79"/>
    <n v="-373.91999999999825"/>
    <n v="-2.3723314285061602E-2"/>
    <s v="On Budget"/>
  </r>
  <r>
    <d v="2023-08-01T00:00:00"/>
    <x v="7"/>
    <x v="7"/>
    <s v="Aug-2023"/>
    <x v="0"/>
    <x v="4"/>
    <x v="1"/>
    <x v="2"/>
    <s v="CC-500"/>
    <n v="15930.47"/>
    <n v="16632.03"/>
    <n v="701.55999999999949"/>
    <n v="4.4038876442440152E-2"/>
    <s v="On Budget"/>
  </r>
  <r>
    <d v="2023-08-01T00:00:00"/>
    <x v="7"/>
    <x v="7"/>
    <s v="Aug-2023"/>
    <x v="0"/>
    <x v="4"/>
    <x v="1"/>
    <x v="3"/>
    <s v="CC-500"/>
    <n v="16633.03"/>
    <n v="16025.19"/>
    <n v="-607.83999999999833"/>
    <n v="-3.6544153410412797E-2"/>
    <s v="On Budget"/>
  </r>
  <r>
    <d v="2023-08-01T00:00:00"/>
    <x v="7"/>
    <x v="7"/>
    <s v="Aug-2023"/>
    <x v="0"/>
    <x v="4"/>
    <x v="2"/>
    <x v="0"/>
    <s v="CC-500"/>
    <n v="6922.8"/>
    <n v="9799.65"/>
    <n v="2876.8499999999995"/>
    <n v="0.41556162246489853"/>
    <s v="Overspend"/>
  </r>
  <r>
    <d v="2023-08-01T00:00:00"/>
    <x v="7"/>
    <x v="7"/>
    <s v="Aug-2023"/>
    <x v="0"/>
    <x v="4"/>
    <x v="2"/>
    <x v="1"/>
    <s v="CC-500"/>
    <n v="6669"/>
    <n v="8835.92"/>
    <n v="2166.92"/>
    <n v="0.32492427650322386"/>
    <s v="Overspend"/>
  </r>
  <r>
    <d v="2023-08-01T00:00:00"/>
    <x v="7"/>
    <x v="7"/>
    <s v="Aug-2023"/>
    <x v="0"/>
    <x v="4"/>
    <x v="2"/>
    <x v="2"/>
    <s v="CC-500"/>
    <n v="6614.25"/>
    <n v="9423.86"/>
    <n v="2809.6100000000006"/>
    <n v="0.42478134331178902"/>
    <s v="Overspend"/>
  </r>
  <r>
    <d v="2023-08-01T00:00:00"/>
    <x v="7"/>
    <x v="7"/>
    <s v="Aug-2023"/>
    <x v="0"/>
    <x v="4"/>
    <x v="2"/>
    <x v="3"/>
    <s v="CC-500"/>
    <n v="7114.63"/>
    <n v="9546.64"/>
    <n v="2432.0099999999993"/>
    <n v="0.34183225269620476"/>
    <s v="Overspend"/>
  </r>
  <r>
    <d v="2023-08-01T00:00:00"/>
    <x v="7"/>
    <x v="7"/>
    <s v="Aug-2023"/>
    <x v="0"/>
    <x v="4"/>
    <x v="3"/>
    <x v="0"/>
    <s v="CC-500"/>
    <n v="7025.14"/>
    <n v="6983.6"/>
    <n v="-41.539999999999964"/>
    <n v="-5.9130494196556879E-3"/>
    <s v="On Budget"/>
  </r>
  <r>
    <d v="2023-08-01T00:00:00"/>
    <x v="7"/>
    <x v="7"/>
    <s v="Aug-2023"/>
    <x v="0"/>
    <x v="4"/>
    <x v="3"/>
    <x v="1"/>
    <s v="CC-500"/>
    <n v="6967.21"/>
    <n v="6664.63"/>
    <n v="-302.57999999999993"/>
    <n v="-4.3429148827148878E-2"/>
    <s v="On Budget"/>
  </r>
  <r>
    <d v="2023-08-01T00:00:00"/>
    <x v="7"/>
    <x v="7"/>
    <s v="Aug-2023"/>
    <x v="0"/>
    <x v="4"/>
    <x v="3"/>
    <x v="2"/>
    <s v="CC-500"/>
    <n v="7040.32"/>
    <n v="6810.64"/>
    <n v="-229.67999999999938"/>
    <n v="-3.2623517112858422E-2"/>
    <s v="On Budget"/>
  </r>
  <r>
    <d v="2023-08-01T00:00:00"/>
    <x v="7"/>
    <x v="7"/>
    <s v="Aug-2023"/>
    <x v="0"/>
    <x v="4"/>
    <x v="3"/>
    <x v="3"/>
    <s v="CC-500"/>
    <n v="7515.52"/>
    <n v="7218.91"/>
    <n v="-296.61000000000058"/>
    <n v="-3.9466331005705603E-2"/>
    <s v="On Budget"/>
  </r>
  <r>
    <d v="2023-08-01T00:00:00"/>
    <x v="7"/>
    <x v="7"/>
    <s v="Aug-2023"/>
    <x v="0"/>
    <x v="4"/>
    <x v="4"/>
    <x v="0"/>
    <s v="CC-500"/>
    <n v="6166.52"/>
    <n v="6366.73"/>
    <n v="200.20999999999913"/>
    <n v="3.246725868074686E-2"/>
    <s v="On Budget"/>
  </r>
  <r>
    <d v="2023-08-01T00:00:00"/>
    <x v="7"/>
    <x v="7"/>
    <s v="Aug-2023"/>
    <x v="0"/>
    <x v="4"/>
    <x v="4"/>
    <x v="1"/>
    <s v="CC-500"/>
    <n v="5897.46"/>
    <n v="5927.16"/>
    <n v="29.699999999999818"/>
    <n v="5.0360663743373958E-3"/>
    <s v="On Budget"/>
  </r>
  <r>
    <d v="2023-08-01T00:00:00"/>
    <x v="7"/>
    <x v="7"/>
    <s v="Aug-2023"/>
    <x v="0"/>
    <x v="4"/>
    <x v="4"/>
    <x v="2"/>
    <s v="CC-500"/>
    <n v="6010.31"/>
    <n v="6295.97"/>
    <n v="285.65999999999985"/>
    <n v="4.752833048544914E-2"/>
    <s v="On Budget"/>
  </r>
  <r>
    <d v="2023-08-01T00:00:00"/>
    <x v="7"/>
    <x v="7"/>
    <s v="Aug-2023"/>
    <x v="0"/>
    <x v="4"/>
    <x v="4"/>
    <x v="3"/>
    <s v="CC-500"/>
    <n v="6418.47"/>
    <n v="6410.79"/>
    <n v="-7.680000000000291"/>
    <n v="-1.1965468406022449E-3"/>
    <s v="On Budget"/>
  </r>
  <r>
    <d v="2023-09-01T00:00:00"/>
    <x v="8"/>
    <x v="8"/>
    <s v="Sep-2023"/>
    <x v="0"/>
    <x v="0"/>
    <x v="0"/>
    <x v="0"/>
    <s v="CC-100"/>
    <n v="49033.7"/>
    <n v="54397.81"/>
    <n v="5364.1100000000006"/>
    <n v="0.10939639472444464"/>
    <s v="Overspend"/>
  </r>
  <r>
    <d v="2023-09-01T00:00:00"/>
    <x v="8"/>
    <x v="8"/>
    <s v="Sep-2023"/>
    <x v="0"/>
    <x v="0"/>
    <x v="0"/>
    <x v="1"/>
    <s v="CC-100"/>
    <n v="45407.93"/>
    <n v="52209.17"/>
    <n v="6801.239999999998"/>
    <n v="0.14978088629012593"/>
    <s v="Overspend"/>
  </r>
  <r>
    <d v="2023-09-01T00:00:00"/>
    <x v="8"/>
    <x v="8"/>
    <s v="Sep-2023"/>
    <x v="0"/>
    <x v="0"/>
    <x v="0"/>
    <x v="2"/>
    <s v="CC-100"/>
    <n v="44974.59"/>
    <n v="51375.39"/>
    <n v="6400.8000000000029"/>
    <n v="0.14232036356529329"/>
    <s v="Overspend"/>
  </r>
  <r>
    <d v="2023-09-01T00:00:00"/>
    <x v="8"/>
    <x v="8"/>
    <s v="Sep-2023"/>
    <x v="0"/>
    <x v="0"/>
    <x v="0"/>
    <x v="3"/>
    <s v="CC-100"/>
    <n v="49713.83"/>
    <n v="58208.32"/>
    <n v="8494.489999999998"/>
    <n v="0.17086774444857694"/>
    <s v="Overspend"/>
  </r>
  <r>
    <d v="2023-09-01T00:00:00"/>
    <x v="8"/>
    <x v="8"/>
    <s v="Sep-2023"/>
    <x v="0"/>
    <x v="0"/>
    <x v="1"/>
    <x v="0"/>
    <s v="CC-100"/>
    <n v="18291.95"/>
    <n v="21620.47"/>
    <n v="3328.5200000000004"/>
    <n v="0.18196638411979041"/>
    <s v="Overspend"/>
  </r>
  <r>
    <d v="2023-09-01T00:00:00"/>
    <x v="8"/>
    <x v="8"/>
    <s v="Sep-2023"/>
    <x v="0"/>
    <x v="0"/>
    <x v="1"/>
    <x v="1"/>
    <s v="CC-100"/>
    <n v="17296.259999999998"/>
    <n v="19914.259999999998"/>
    <n v="2618"/>
    <n v="0.15136220200205133"/>
    <s v="Overspend"/>
  </r>
  <r>
    <d v="2023-09-01T00:00:00"/>
    <x v="8"/>
    <x v="8"/>
    <s v="Sep-2023"/>
    <x v="0"/>
    <x v="0"/>
    <x v="1"/>
    <x v="2"/>
    <s v="CC-100"/>
    <n v="17369.939999999999"/>
    <n v="20172.39"/>
    <n v="2802.4500000000007"/>
    <n v="0.16133907198297753"/>
    <s v="Overspend"/>
  </r>
  <r>
    <d v="2023-09-01T00:00:00"/>
    <x v="8"/>
    <x v="8"/>
    <s v="Sep-2023"/>
    <x v="0"/>
    <x v="0"/>
    <x v="1"/>
    <x v="3"/>
    <s v="CC-100"/>
    <n v="19044.71"/>
    <n v="21160.34"/>
    <n v="2115.630000000001"/>
    <n v="0.11108754084467556"/>
    <s v="Overspend"/>
  </r>
  <r>
    <d v="2023-09-01T00:00:00"/>
    <x v="8"/>
    <x v="8"/>
    <s v="Sep-2023"/>
    <x v="0"/>
    <x v="0"/>
    <x v="2"/>
    <x v="0"/>
    <s v="CC-100"/>
    <n v="10032.23"/>
    <n v="15640.79"/>
    <n v="5608.5600000000013"/>
    <n v="0.55905416841519795"/>
    <s v="Overspend"/>
  </r>
  <r>
    <d v="2023-09-01T00:00:00"/>
    <x v="8"/>
    <x v="8"/>
    <s v="Sep-2023"/>
    <x v="0"/>
    <x v="0"/>
    <x v="2"/>
    <x v="1"/>
    <s v="CC-100"/>
    <n v="9760.51"/>
    <n v="14535.85"/>
    <n v="4775.34"/>
    <n v="0.48925107397051998"/>
    <s v="Overspend"/>
  </r>
  <r>
    <d v="2023-09-01T00:00:00"/>
    <x v="8"/>
    <x v="8"/>
    <s v="Sep-2023"/>
    <x v="0"/>
    <x v="0"/>
    <x v="2"/>
    <x v="2"/>
    <s v="CC-100"/>
    <n v="10038.129999999999"/>
    <n v="14810.36"/>
    <n v="4772.2300000000014"/>
    <n v="0.47541026067604242"/>
    <s v="Overspend"/>
  </r>
  <r>
    <d v="2023-09-01T00:00:00"/>
    <x v="8"/>
    <x v="8"/>
    <s v="Sep-2023"/>
    <x v="0"/>
    <x v="0"/>
    <x v="2"/>
    <x v="3"/>
    <s v="CC-100"/>
    <n v="10371.77"/>
    <n v="15242.15"/>
    <n v="4870.3799999999992"/>
    <n v="0.46958040912978199"/>
    <s v="Overspend"/>
  </r>
  <r>
    <d v="2023-09-01T00:00:00"/>
    <x v="8"/>
    <x v="8"/>
    <s v="Sep-2023"/>
    <x v="0"/>
    <x v="0"/>
    <x v="3"/>
    <x v="0"/>
    <s v="CC-100"/>
    <n v="7937.79"/>
    <n v="8847.66"/>
    <n v="909.86999999999989"/>
    <n v="0.11462510346078693"/>
    <s v="Overspend"/>
  </r>
  <r>
    <d v="2023-09-01T00:00:00"/>
    <x v="8"/>
    <x v="8"/>
    <s v="Sep-2023"/>
    <x v="0"/>
    <x v="0"/>
    <x v="3"/>
    <x v="1"/>
    <s v="CC-100"/>
    <n v="7476.87"/>
    <n v="8813.86"/>
    <n v="1336.9900000000007"/>
    <n v="0.17881680435797342"/>
    <s v="Overspend"/>
  </r>
  <r>
    <d v="2023-09-01T00:00:00"/>
    <x v="8"/>
    <x v="8"/>
    <s v="Sep-2023"/>
    <x v="0"/>
    <x v="0"/>
    <x v="3"/>
    <x v="2"/>
    <s v="CC-100"/>
    <n v="7830.17"/>
    <n v="9169.7800000000007"/>
    <n v="1339.6100000000006"/>
    <n v="0.17108313101758973"/>
    <s v="Overspend"/>
  </r>
  <r>
    <d v="2023-09-01T00:00:00"/>
    <x v="8"/>
    <x v="8"/>
    <s v="Sep-2023"/>
    <x v="0"/>
    <x v="0"/>
    <x v="3"/>
    <x v="3"/>
    <s v="CC-100"/>
    <n v="8297.25"/>
    <n v="9903.34"/>
    <n v="1606.0900000000001"/>
    <n v="0.19356895356895359"/>
    <s v="Overspend"/>
  </r>
  <r>
    <d v="2023-09-01T00:00:00"/>
    <x v="8"/>
    <x v="8"/>
    <s v="Sep-2023"/>
    <x v="0"/>
    <x v="0"/>
    <x v="4"/>
    <x v="0"/>
    <s v="CC-100"/>
    <n v="7942.14"/>
    <n v="9542.32"/>
    <n v="1600.1799999999994"/>
    <n v="0.20147970194431214"/>
    <s v="Overspend"/>
  </r>
  <r>
    <d v="2023-09-01T00:00:00"/>
    <x v="8"/>
    <x v="8"/>
    <s v="Sep-2023"/>
    <x v="0"/>
    <x v="0"/>
    <x v="4"/>
    <x v="1"/>
    <s v="CC-100"/>
    <n v="7776.16"/>
    <n v="8931.43"/>
    <n v="1155.2700000000004"/>
    <n v="0.14856561593382858"/>
    <s v="Overspend"/>
  </r>
  <r>
    <d v="2023-09-01T00:00:00"/>
    <x v="8"/>
    <x v="8"/>
    <s v="Sep-2023"/>
    <x v="0"/>
    <x v="0"/>
    <x v="4"/>
    <x v="2"/>
    <s v="CC-100"/>
    <n v="8076.21"/>
    <n v="9199.94"/>
    <n v="1123.7300000000005"/>
    <n v="0.13914076033188841"/>
    <s v="Overspend"/>
  </r>
  <r>
    <d v="2023-09-01T00:00:00"/>
    <x v="8"/>
    <x v="8"/>
    <s v="Sep-2023"/>
    <x v="0"/>
    <x v="0"/>
    <x v="4"/>
    <x v="3"/>
    <s v="CC-100"/>
    <n v="8572.14"/>
    <n v="10311.57"/>
    <n v="1739.4300000000003"/>
    <n v="0.20291665791739291"/>
    <s v="Overspend"/>
  </r>
  <r>
    <d v="2023-09-01T00:00:00"/>
    <x v="8"/>
    <x v="8"/>
    <s v="Sep-2023"/>
    <x v="0"/>
    <x v="1"/>
    <x v="0"/>
    <x v="0"/>
    <s v="CC-200"/>
    <n v="49492.06"/>
    <n v="42571.87"/>
    <n v="-6920.1899999999951"/>
    <n v="-0.13982424655591211"/>
    <s v="Underspend"/>
  </r>
  <r>
    <d v="2023-09-01T00:00:00"/>
    <x v="8"/>
    <x v="8"/>
    <s v="Sep-2023"/>
    <x v="0"/>
    <x v="1"/>
    <x v="0"/>
    <x v="1"/>
    <s v="CC-200"/>
    <n v="48979.16"/>
    <n v="43058.36"/>
    <n v="-5920.8000000000029"/>
    <n v="-0.12088406579451347"/>
    <s v="Underspend"/>
  </r>
  <r>
    <d v="2023-09-01T00:00:00"/>
    <x v="8"/>
    <x v="8"/>
    <s v="Sep-2023"/>
    <x v="0"/>
    <x v="1"/>
    <x v="0"/>
    <x v="2"/>
    <s v="CC-200"/>
    <n v="48592.31"/>
    <n v="42001.21"/>
    <n v="-6591.0999999999985"/>
    <n v="-0.1356408040696151"/>
    <s v="Underspend"/>
  </r>
  <r>
    <d v="2023-09-01T00:00:00"/>
    <x v="8"/>
    <x v="8"/>
    <s v="Sep-2023"/>
    <x v="0"/>
    <x v="1"/>
    <x v="0"/>
    <x v="3"/>
    <s v="CC-200"/>
    <n v="50849.9"/>
    <n v="44109.13"/>
    <n v="-6740.7700000000041"/>
    <n v="-0.13256210926668496"/>
    <s v="Underspend"/>
  </r>
  <r>
    <d v="2023-09-01T00:00:00"/>
    <x v="8"/>
    <x v="8"/>
    <s v="Sep-2023"/>
    <x v="0"/>
    <x v="1"/>
    <x v="1"/>
    <x v="0"/>
    <s v="CC-200"/>
    <n v="27120.07"/>
    <n v="23382.18"/>
    <n v="-3737.8899999999994"/>
    <n v="-0.13782744661057289"/>
    <s v="Underspend"/>
  </r>
  <r>
    <d v="2023-09-01T00:00:00"/>
    <x v="8"/>
    <x v="8"/>
    <s v="Sep-2023"/>
    <x v="0"/>
    <x v="1"/>
    <x v="1"/>
    <x v="1"/>
    <s v="CC-200"/>
    <n v="25913.18"/>
    <n v="22265.82"/>
    <n v="-3647.3600000000006"/>
    <n v="-0.14075308395187316"/>
    <s v="Underspend"/>
  </r>
  <r>
    <d v="2023-09-01T00:00:00"/>
    <x v="8"/>
    <x v="8"/>
    <s v="Sep-2023"/>
    <x v="0"/>
    <x v="1"/>
    <x v="1"/>
    <x v="2"/>
    <s v="CC-200"/>
    <n v="26688.92"/>
    <n v="23715.07"/>
    <n v="-2973.8499999999985"/>
    <n v="-0.11142638967781382"/>
    <s v="Underspend"/>
  </r>
  <r>
    <d v="2023-09-01T00:00:00"/>
    <x v="8"/>
    <x v="8"/>
    <s v="Sep-2023"/>
    <x v="0"/>
    <x v="1"/>
    <x v="1"/>
    <x v="3"/>
    <s v="CC-200"/>
    <n v="28182.19"/>
    <n v="25445.18"/>
    <n v="-2737.0099999999984"/>
    <n v="-9.711842834073571E-2"/>
    <s v="Underspend"/>
  </r>
  <r>
    <d v="2023-09-01T00:00:00"/>
    <x v="8"/>
    <x v="8"/>
    <s v="Sep-2023"/>
    <x v="0"/>
    <x v="1"/>
    <x v="2"/>
    <x v="0"/>
    <s v="CC-200"/>
    <n v="10961.38"/>
    <n v="13669.29"/>
    <n v="2707.9100000000017"/>
    <n v="0.24704097476777576"/>
    <s v="Overspend"/>
  </r>
  <r>
    <d v="2023-09-01T00:00:00"/>
    <x v="8"/>
    <x v="8"/>
    <s v="Sep-2023"/>
    <x v="0"/>
    <x v="1"/>
    <x v="2"/>
    <x v="1"/>
    <s v="CC-200"/>
    <n v="10344.23"/>
    <n v="12917.54"/>
    <n v="2573.3100000000013"/>
    <n v="0.24876767047909815"/>
    <s v="Overspend"/>
  </r>
  <r>
    <d v="2023-09-01T00:00:00"/>
    <x v="8"/>
    <x v="8"/>
    <s v="Sep-2023"/>
    <x v="0"/>
    <x v="1"/>
    <x v="2"/>
    <x v="2"/>
    <s v="CC-200"/>
    <n v="10612.3"/>
    <n v="12419.91"/>
    <n v="1807.6100000000006"/>
    <n v="0.17033159635517284"/>
    <s v="Overspend"/>
  </r>
  <r>
    <d v="2023-09-01T00:00:00"/>
    <x v="8"/>
    <x v="8"/>
    <s v="Sep-2023"/>
    <x v="0"/>
    <x v="1"/>
    <x v="2"/>
    <x v="3"/>
    <s v="CC-200"/>
    <n v="11171.4"/>
    <n v="13403.31"/>
    <n v="2231.91"/>
    <n v="0.19978785111982383"/>
    <s v="Overspend"/>
  </r>
  <r>
    <d v="2023-09-01T00:00:00"/>
    <x v="8"/>
    <x v="8"/>
    <s v="Sep-2023"/>
    <x v="0"/>
    <x v="1"/>
    <x v="3"/>
    <x v="0"/>
    <s v="CC-200"/>
    <n v="8374.26"/>
    <n v="7343.63"/>
    <n v="-1030.6300000000001"/>
    <n v="-0.12307117285587026"/>
    <s v="Underspend"/>
  </r>
  <r>
    <d v="2023-09-01T00:00:00"/>
    <x v="8"/>
    <x v="8"/>
    <s v="Sep-2023"/>
    <x v="0"/>
    <x v="1"/>
    <x v="3"/>
    <x v="1"/>
    <s v="CC-200"/>
    <n v="7798.49"/>
    <n v="6725.53"/>
    <n v="-1072.96"/>
    <n v="-0.13758560952184334"/>
    <s v="Underspend"/>
  </r>
  <r>
    <d v="2023-09-01T00:00:00"/>
    <x v="8"/>
    <x v="8"/>
    <s v="Sep-2023"/>
    <x v="0"/>
    <x v="1"/>
    <x v="3"/>
    <x v="2"/>
    <s v="CC-200"/>
    <n v="8138.02"/>
    <n v="7140.94"/>
    <n v="-997.08000000000084"/>
    <n v="-0.12252120294617128"/>
    <s v="Underspend"/>
  </r>
  <r>
    <d v="2023-09-01T00:00:00"/>
    <x v="8"/>
    <x v="8"/>
    <s v="Sep-2023"/>
    <x v="0"/>
    <x v="1"/>
    <x v="3"/>
    <x v="3"/>
    <s v="CC-200"/>
    <n v="8919.6200000000008"/>
    <n v="7738.6"/>
    <n v="-1181.0200000000004"/>
    <n v="-0.1324069859478319"/>
    <s v="Underspend"/>
  </r>
  <r>
    <d v="2023-09-01T00:00:00"/>
    <x v="8"/>
    <x v="8"/>
    <s v="Sep-2023"/>
    <x v="0"/>
    <x v="1"/>
    <x v="4"/>
    <x v="0"/>
    <s v="CC-200"/>
    <n v="6961.88"/>
    <n v="6004.57"/>
    <n v="-957.3100000000004"/>
    <n v="-0.13750739742713181"/>
    <s v="Underspend"/>
  </r>
  <r>
    <d v="2023-09-01T00:00:00"/>
    <x v="8"/>
    <x v="8"/>
    <s v="Sep-2023"/>
    <x v="0"/>
    <x v="1"/>
    <x v="4"/>
    <x v="1"/>
    <s v="CC-200"/>
    <n v="6626.36"/>
    <n v="5857.87"/>
    <n v="-768.48999999999978"/>
    <n v="-0.11597468293301297"/>
    <s v="Underspend"/>
  </r>
  <r>
    <d v="2023-09-01T00:00:00"/>
    <x v="8"/>
    <x v="8"/>
    <s v="Sep-2023"/>
    <x v="0"/>
    <x v="1"/>
    <x v="4"/>
    <x v="2"/>
    <s v="CC-200"/>
    <n v="7060.37"/>
    <n v="6196.53"/>
    <n v="-863.84000000000015"/>
    <n v="-0.12235052837174258"/>
    <s v="Underspend"/>
  </r>
  <r>
    <d v="2023-09-01T00:00:00"/>
    <x v="8"/>
    <x v="8"/>
    <s v="Sep-2023"/>
    <x v="0"/>
    <x v="1"/>
    <x v="4"/>
    <x v="3"/>
    <s v="CC-200"/>
    <n v="7397.96"/>
    <n v="6253.09"/>
    <n v="-1144.8699999999999"/>
    <n v="-0.15475482430291593"/>
    <s v="Underspend"/>
  </r>
  <r>
    <d v="2023-09-01T00:00:00"/>
    <x v="8"/>
    <x v="8"/>
    <s v="Sep-2023"/>
    <x v="0"/>
    <x v="2"/>
    <x v="0"/>
    <x v="0"/>
    <s v="CC-300"/>
    <n v="44210.400000000001"/>
    <n v="45084.06"/>
    <n v="873.65999999999622"/>
    <n v="1.9761413604038783E-2"/>
    <s v="On Budget"/>
  </r>
  <r>
    <d v="2023-09-01T00:00:00"/>
    <x v="8"/>
    <x v="8"/>
    <s v="Sep-2023"/>
    <x v="0"/>
    <x v="2"/>
    <x v="0"/>
    <x v="1"/>
    <s v="CC-300"/>
    <n v="41820.67"/>
    <n v="42727.95"/>
    <n v="907.27999999999884"/>
    <n v="2.1694535262108398E-2"/>
    <s v="On Budget"/>
  </r>
  <r>
    <d v="2023-09-01T00:00:00"/>
    <x v="8"/>
    <x v="8"/>
    <s v="Sep-2023"/>
    <x v="0"/>
    <x v="2"/>
    <x v="0"/>
    <x v="2"/>
    <s v="CC-300"/>
    <n v="42642.57"/>
    <n v="43118.37"/>
    <n v="475.80000000000291"/>
    <n v="1.1157864078079791E-2"/>
    <s v="On Budget"/>
  </r>
  <r>
    <d v="2023-09-01T00:00:00"/>
    <x v="8"/>
    <x v="8"/>
    <s v="Sep-2023"/>
    <x v="0"/>
    <x v="2"/>
    <x v="0"/>
    <x v="3"/>
    <s v="CC-300"/>
    <n v="46484.2"/>
    <n v="45817.98"/>
    <n v="-666.21999999999389"/>
    <n v="-1.4332181687541013E-2"/>
    <s v="On Budget"/>
  </r>
  <r>
    <d v="2023-09-01T00:00:00"/>
    <x v="8"/>
    <x v="8"/>
    <s v="Sep-2023"/>
    <x v="0"/>
    <x v="2"/>
    <x v="1"/>
    <x v="0"/>
    <s v="CC-300"/>
    <n v="14475.28"/>
    <n v="14642.27"/>
    <n v="166.98999999999978"/>
    <n v="1.1536218988510051E-2"/>
    <s v="On Budget"/>
  </r>
  <r>
    <d v="2023-09-01T00:00:00"/>
    <x v="8"/>
    <x v="8"/>
    <s v="Sep-2023"/>
    <x v="0"/>
    <x v="2"/>
    <x v="1"/>
    <x v="1"/>
    <s v="CC-300"/>
    <n v="13916.01"/>
    <n v="13487"/>
    <n v="-429.01000000000022"/>
    <n v="-3.0828520531387963E-2"/>
    <s v="On Budget"/>
  </r>
  <r>
    <d v="2023-09-01T00:00:00"/>
    <x v="8"/>
    <x v="8"/>
    <s v="Sep-2023"/>
    <x v="0"/>
    <x v="2"/>
    <x v="1"/>
    <x v="2"/>
    <s v="CC-300"/>
    <n v="14321.28"/>
    <n v="14020.55"/>
    <n v="-300.73000000000138"/>
    <n v="-2.0998821334405959E-2"/>
    <s v="On Budget"/>
  </r>
  <r>
    <d v="2023-09-01T00:00:00"/>
    <x v="8"/>
    <x v="8"/>
    <s v="Sep-2023"/>
    <x v="0"/>
    <x v="2"/>
    <x v="1"/>
    <x v="3"/>
    <s v="CC-300"/>
    <n v="15386.93"/>
    <n v="15756.96"/>
    <n v="370.02999999999884"/>
    <n v="2.4048331928461286E-2"/>
    <s v="On Budget"/>
  </r>
  <r>
    <d v="2023-09-01T00:00:00"/>
    <x v="8"/>
    <x v="8"/>
    <s v="Sep-2023"/>
    <x v="0"/>
    <x v="2"/>
    <x v="2"/>
    <x v="0"/>
    <s v="CC-300"/>
    <n v="8457.4"/>
    <n v="11145.23"/>
    <n v="2687.83"/>
    <n v="0.31780807340317357"/>
    <s v="Overspend"/>
  </r>
  <r>
    <d v="2023-09-01T00:00:00"/>
    <x v="8"/>
    <x v="8"/>
    <s v="Sep-2023"/>
    <x v="0"/>
    <x v="2"/>
    <x v="2"/>
    <x v="1"/>
    <s v="CC-300"/>
    <n v="7777.09"/>
    <n v="10897.09"/>
    <n v="3120"/>
    <n v="0.40117833276971204"/>
    <s v="Overspend"/>
  </r>
  <r>
    <d v="2023-09-01T00:00:00"/>
    <x v="8"/>
    <x v="8"/>
    <s v="Sep-2023"/>
    <x v="0"/>
    <x v="2"/>
    <x v="2"/>
    <x v="2"/>
    <s v="CC-300"/>
    <n v="8093.24"/>
    <n v="11027.77"/>
    <n v="2934.5300000000007"/>
    <n v="0.36259026051371279"/>
    <s v="Overspend"/>
  </r>
  <r>
    <d v="2023-09-01T00:00:00"/>
    <x v="8"/>
    <x v="8"/>
    <s v="Sep-2023"/>
    <x v="0"/>
    <x v="2"/>
    <x v="2"/>
    <x v="3"/>
    <s v="CC-300"/>
    <n v="8461.4599999999991"/>
    <n v="11278.29"/>
    <n v="2816.8300000000017"/>
    <n v="0.33290117781092177"/>
    <s v="Overspend"/>
  </r>
  <r>
    <d v="2023-09-01T00:00:00"/>
    <x v="8"/>
    <x v="8"/>
    <s v="Sep-2023"/>
    <x v="0"/>
    <x v="2"/>
    <x v="3"/>
    <x v="0"/>
    <s v="CC-300"/>
    <n v="6583.25"/>
    <n v="6574.94"/>
    <n v="-8.3100000000004002"/>
    <n v="-1.2622944594235979E-3"/>
    <s v="On Budget"/>
  </r>
  <r>
    <d v="2023-09-01T00:00:00"/>
    <x v="8"/>
    <x v="8"/>
    <s v="Sep-2023"/>
    <x v="0"/>
    <x v="2"/>
    <x v="3"/>
    <x v="1"/>
    <s v="CC-300"/>
    <n v="6320.69"/>
    <n v="6352.46"/>
    <n v="31.770000000000437"/>
    <n v="5.0263499712848497E-3"/>
    <s v="On Budget"/>
  </r>
  <r>
    <d v="2023-09-01T00:00:00"/>
    <x v="8"/>
    <x v="8"/>
    <s v="Sep-2023"/>
    <x v="0"/>
    <x v="2"/>
    <x v="3"/>
    <x v="2"/>
    <s v="CC-300"/>
    <n v="6241.56"/>
    <n v="6201.66"/>
    <n v="-39.900000000000546"/>
    <n v="-6.3926326110780871E-3"/>
    <s v="On Budget"/>
  </r>
  <r>
    <d v="2023-09-01T00:00:00"/>
    <x v="8"/>
    <x v="8"/>
    <s v="Sep-2023"/>
    <x v="0"/>
    <x v="2"/>
    <x v="3"/>
    <x v="3"/>
    <s v="CC-300"/>
    <n v="6918.07"/>
    <n v="7108.89"/>
    <n v="190.82000000000062"/>
    <n v="2.7582837409855728E-2"/>
    <s v="On Budget"/>
  </r>
  <r>
    <d v="2023-09-01T00:00:00"/>
    <x v="8"/>
    <x v="8"/>
    <s v="Sep-2023"/>
    <x v="0"/>
    <x v="2"/>
    <x v="4"/>
    <x v="0"/>
    <s v="CC-300"/>
    <n v="5713.66"/>
    <n v="5839.32"/>
    <n v="125.65999999999985"/>
    <n v="2.1992908223450444E-2"/>
    <s v="On Budget"/>
  </r>
  <r>
    <d v="2023-09-01T00:00:00"/>
    <x v="8"/>
    <x v="8"/>
    <s v="Sep-2023"/>
    <x v="0"/>
    <x v="2"/>
    <x v="4"/>
    <x v="1"/>
    <s v="CC-300"/>
    <n v="5453.64"/>
    <n v="5468.45"/>
    <n v="14.809999999999491"/>
    <n v="2.7156174591647943E-3"/>
    <s v="On Budget"/>
  </r>
  <r>
    <d v="2023-09-01T00:00:00"/>
    <x v="8"/>
    <x v="8"/>
    <s v="Sep-2023"/>
    <x v="0"/>
    <x v="2"/>
    <x v="4"/>
    <x v="2"/>
    <s v="CC-300"/>
    <n v="5444.04"/>
    <n v="5369.82"/>
    <n v="-74.220000000000255"/>
    <n v="-1.3633257654242116E-2"/>
    <s v="On Budget"/>
  </r>
  <r>
    <d v="2023-09-01T00:00:00"/>
    <x v="8"/>
    <x v="8"/>
    <s v="Sep-2023"/>
    <x v="0"/>
    <x v="2"/>
    <x v="4"/>
    <x v="3"/>
    <s v="CC-300"/>
    <n v="5714.01"/>
    <n v="5570.47"/>
    <n v="-143.53999999999996"/>
    <n v="-2.5120712074357579E-2"/>
    <s v="On Budget"/>
  </r>
  <r>
    <d v="2023-09-01T00:00:00"/>
    <x v="8"/>
    <x v="8"/>
    <s v="Sep-2023"/>
    <x v="0"/>
    <x v="3"/>
    <x v="0"/>
    <x v="0"/>
    <s v="CC-400"/>
    <n v="54374.7"/>
    <n v="57751.040000000001"/>
    <n v="3376.3400000000038"/>
    <n v="6.2093951782722555E-2"/>
    <s v="Overspend"/>
  </r>
  <r>
    <d v="2023-09-01T00:00:00"/>
    <x v="8"/>
    <x v="8"/>
    <s v="Sep-2023"/>
    <x v="0"/>
    <x v="3"/>
    <x v="0"/>
    <x v="1"/>
    <s v="CC-400"/>
    <n v="50342.239999999998"/>
    <n v="50480.38"/>
    <n v="138.13999999999942"/>
    <n v="2.7440177473231115E-3"/>
    <s v="On Budget"/>
  </r>
  <r>
    <d v="2023-09-01T00:00:00"/>
    <x v="8"/>
    <x v="8"/>
    <s v="Sep-2023"/>
    <x v="0"/>
    <x v="3"/>
    <x v="0"/>
    <x v="2"/>
    <s v="CC-400"/>
    <n v="52590.3"/>
    <n v="48776.639999999999"/>
    <n v="-3813.6600000000035"/>
    <n v="-7.2516414623989653E-2"/>
    <s v="Underspend"/>
  </r>
  <r>
    <d v="2023-09-01T00:00:00"/>
    <x v="8"/>
    <x v="8"/>
    <s v="Sep-2023"/>
    <x v="0"/>
    <x v="3"/>
    <x v="0"/>
    <x v="3"/>
    <s v="CC-400"/>
    <n v="56063.12"/>
    <n v="58952.37"/>
    <n v="2889.25"/>
    <n v="5.1535661946748593E-2"/>
    <s v="Overspend"/>
  </r>
  <r>
    <d v="2023-09-01T00:00:00"/>
    <x v="8"/>
    <x v="8"/>
    <s v="Sep-2023"/>
    <x v="0"/>
    <x v="3"/>
    <x v="1"/>
    <x v="0"/>
    <s v="CC-400"/>
    <n v="19989.41"/>
    <n v="22935.01"/>
    <n v="2945.5999999999985"/>
    <n v="0.14735802607480653"/>
    <s v="Overspend"/>
  </r>
  <r>
    <d v="2023-09-01T00:00:00"/>
    <x v="8"/>
    <x v="8"/>
    <s v="Sep-2023"/>
    <x v="0"/>
    <x v="3"/>
    <x v="1"/>
    <x v="1"/>
    <s v="CC-400"/>
    <n v="19605.759999999998"/>
    <n v="21176.1"/>
    <n v="1570.3400000000001"/>
    <n v="8.0095849383038473E-2"/>
    <s v="Overspend"/>
  </r>
  <r>
    <d v="2023-09-01T00:00:00"/>
    <x v="8"/>
    <x v="8"/>
    <s v="Sep-2023"/>
    <x v="0"/>
    <x v="3"/>
    <x v="1"/>
    <x v="2"/>
    <s v="CC-400"/>
    <n v="20235.060000000001"/>
    <n v="20249.14"/>
    <n v="14.079999999998108"/>
    <n v="6.9582200398704563E-4"/>
    <s v="On Budget"/>
  </r>
  <r>
    <d v="2023-09-01T00:00:00"/>
    <x v="8"/>
    <x v="8"/>
    <s v="Sep-2023"/>
    <x v="0"/>
    <x v="3"/>
    <x v="1"/>
    <x v="3"/>
    <s v="CC-400"/>
    <n v="21337.94"/>
    <n v="21625.99"/>
    <n v="288.05000000000291"/>
    <n v="1.3499428717111536E-2"/>
    <s v="On Budget"/>
  </r>
  <r>
    <d v="2023-09-01T00:00:00"/>
    <x v="8"/>
    <x v="8"/>
    <s v="Sep-2023"/>
    <x v="0"/>
    <x v="3"/>
    <x v="2"/>
    <x v="0"/>
    <s v="CC-400"/>
    <n v="11314.67"/>
    <n v="15208.4"/>
    <n v="3893.7299999999996"/>
    <n v="0.34413111473865343"/>
    <s v="Overspend"/>
  </r>
  <r>
    <d v="2023-09-01T00:00:00"/>
    <x v="8"/>
    <x v="8"/>
    <s v="Sep-2023"/>
    <x v="0"/>
    <x v="3"/>
    <x v="2"/>
    <x v="1"/>
    <s v="CC-400"/>
    <n v="11055.51"/>
    <n v="14588.49"/>
    <n v="3532.9799999999996"/>
    <n v="0.31956734696092715"/>
    <s v="Overspend"/>
  </r>
  <r>
    <d v="2023-09-01T00:00:00"/>
    <x v="8"/>
    <x v="8"/>
    <s v="Sep-2023"/>
    <x v="0"/>
    <x v="3"/>
    <x v="2"/>
    <x v="2"/>
    <s v="CC-400"/>
    <n v="11049.58"/>
    <n v="16512.689999999999"/>
    <n v="5463.1099999999988"/>
    <n v="0.49441788737671466"/>
    <s v="Overspend"/>
  </r>
  <r>
    <d v="2023-09-01T00:00:00"/>
    <x v="8"/>
    <x v="8"/>
    <s v="Sep-2023"/>
    <x v="0"/>
    <x v="3"/>
    <x v="2"/>
    <x v="3"/>
    <s v="CC-400"/>
    <n v="11882.11"/>
    <n v="16272.67"/>
    <n v="4390.5599999999995"/>
    <n v="0.36951012909323339"/>
    <s v="Overspend"/>
  </r>
  <r>
    <d v="2023-09-01T00:00:00"/>
    <x v="8"/>
    <x v="8"/>
    <s v="Sep-2023"/>
    <x v="0"/>
    <x v="3"/>
    <x v="3"/>
    <x v="0"/>
    <s v="CC-400"/>
    <n v="11883.43"/>
    <n v="12033.87"/>
    <n v="150.44000000000051"/>
    <n v="1.2659644563901206E-2"/>
    <s v="On Budget"/>
  </r>
  <r>
    <d v="2023-09-01T00:00:00"/>
    <x v="8"/>
    <x v="8"/>
    <s v="Sep-2023"/>
    <x v="0"/>
    <x v="3"/>
    <x v="3"/>
    <x v="1"/>
    <s v="CC-400"/>
    <n v="11376.41"/>
    <n v="11575.65"/>
    <n v="199.23999999999978"/>
    <n v="1.751343349967167E-2"/>
    <s v="On Budget"/>
  </r>
  <r>
    <d v="2023-09-01T00:00:00"/>
    <x v="8"/>
    <x v="8"/>
    <s v="Sep-2023"/>
    <x v="0"/>
    <x v="3"/>
    <x v="3"/>
    <x v="2"/>
    <s v="CC-400"/>
    <n v="11778.99"/>
    <n v="11485.31"/>
    <n v="-293.68000000000029"/>
    <n v="-2.49325281709213E-2"/>
    <s v="On Budget"/>
  </r>
  <r>
    <d v="2023-09-01T00:00:00"/>
    <x v="8"/>
    <x v="8"/>
    <s v="Sep-2023"/>
    <x v="0"/>
    <x v="3"/>
    <x v="3"/>
    <x v="3"/>
    <s v="CC-400"/>
    <n v="12684"/>
    <n v="11550.32"/>
    <n v="-1133.6800000000003"/>
    <n v="-8.9378744875433638E-2"/>
    <s v="Underspend"/>
  </r>
  <r>
    <d v="2023-09-01T00:00:00"/>
    <x v="8"/>
    <x v="8"/>
    <s v="Sep-2023"/>
    <x v="0"/>
    <x v="3"/>
    <x v="4"/>
    <x v="0"/>
    <s v="CC-400"/>
    <n v="7493.41"/>
    <n v="8173.86"/>
    <n v="680.44999999999982"/>
    <n v="9.0806455272032335E-2"/>
    <s v="Overspend"/>
  </r>
  <r>
    <d v="2023-09-01T00:00:00"/>
    <x v="8"/>
    <x v="8"/>
    <s v="Sep-2023"/>
    <x v="0"/>
    <x v="3"/>
    <x v="4"/>
    <x v="1"/>
    <s v="CC-400"/>
    <n v="7296.97"/>
    <n v="6872.65"/>
    <n v="-424.32000000000062"/>
    <n v="-5.8150163698082985E-2"/>
    <s v="Underspend"/>
  </r>
  <r>
    <d v="2023-09-01T00:00:00"/>
    <x v="8"/>
    <x v="8"/>
    <s v="Sep-2023"/>
    <x v="0"/>
    <x v="3"/>
    <x v="4"/>
    <x v="2"/>
    <s v="CC-400"/>
    <n v="7568.49"/>
    <n v="7488.25"/>
    <n v="-80.239999999999782"/>
    <n v="-1.0601850567286181E-2"/>
    <s v="On Budget"/>
  </r>
  <r>
    <d v="2023-09-01T00:00:00"/>
    <x v="8"/>
    <x v="8"/>
    <s v="Sep-2023"/>
    <x v="0"/>
    <x v="3"/>
    <x v="4"/>
    <x v="3"/>
    <s v="CC-400"/>
    <n v="8116.41"/>
    <n v="9190.49"/>
    <n v="1074.08"/>
    <n v="0.13233436950572974"/>
    <s v="Overspend"/>
  </r>
  <r>
    <d v="2023-09-01T00:00:00"/>
    <x v="8"/>
    <x v="8"/>
    <s v="Sep-2023"/>
    <x v="0"/>
    <x v="4"/>
    <x v="0"/>
    <x v="0"/>
    <s v="CC-500"/>
    <n v="43326.05"/>
    <n v="41210.910000000003"/>
    <n v="-2115.1399999999994"/>
    <n v="-4.881912844581953E-2"/>
    <s v="On Budget"/>
  </r>
  <r>
    <d v="2023-09-01T00:00:00"/>
    <x v="8"/>
    <x v="8"/>
    <s v="Sep-2023"/>
    <x v="0"/>
    <x v="4"/>
    <x v="0"/>
    <x v="1"/>
    <s v="CC-500"/>
    <n v="41346.79"/>
    <n v="42154.81"/>
    <n v="808.0199999999968"/>
    <n v="1.9542508620378915E-2"/>
    <s v="On Budget"/>
  </r>
  <r>
    <d v="2023-09-01T00:00:00"/>
    <x v="8"/>
    <x v="8"/>
    <s v="Sep-2023"/>
    <x v="0"/>
    <x v="4"/>
    <x v="0"/>
    <x v="2"/>
    <s v="CC-500"/>
    <n v="40994.85"/>
    <n v="42452.29"/>
    <n v="1457.4400000000023"/>
    <n v="3.5551782723927575E-2"/>
    <s v="On Budget"/>
  </r>
  <r>
    <d v="2023-09-01T00:00:00"/>
    <x v="8"/>
    <x v="8"/>
    <s v="Sep-2023"/>
    <x v="0"/>
    <x v="4"/>
    <x v="0"/>
    <x v="3"/>
    <s v="CC-500"/>
    <n v="44077.9"/>
    <n v="45560.480000000003"/>
    <n v="1482.5800000000017"/>
    <n v="3.3635449964721585E-2"/>
    <s v="On Budget"/>
  </r>
  <r>
    <d v="2023-09-01T00:00:00"/>
    <x v="8"/>
    <x v="8"/>
    <s v="Sep-2023"/>
    <x v="0"/>
    <x v="4"/>
    <x v="1"/>
    <x v="0"/>
    <s v="CC-500"/>
    <n v="15874.29"/>
    <n v="16252.97"/>
    <n v="378.67999999999847"/>
    <n v="2.3854925165156894E-2"/>
    <s v="On Budget"/>
  </r>
  <r>
    <d v="2023-09-01T00:00:00"/>
    <x v="8"/>
    <x v="8"/>
    <s v="Sep-2023"/>
    <x v="0"/>
    <x v="4"/>
    <x v="1"/>
    <x v="1"/>
    <s v="CC-500"/>
    <n v="15174.75"/>
    <n v="14688.21"/>
    <n v="-486.54000000000087"/>
    <n v="-3.2062472198883071E-2"/>
    <s v="On Budget"/>
  </r>
  <r>
    <d v="2023-09-01T00:00:00"/>
    <x v="8"/>
    <x v="8"/>
    <s v="Sep-2023"/>
    <x v="0"/>
    <x v="4"/>
    <x v="1"/>
    <x v="2"/>
    <s v="CC-500"/>
    <n v="16063.02"/>
    <n v="15624.53"/>
    <n v="-438.48999999999978"/>
    <n v="-2.7298104590543982E-2"/>
    <s v="On Budget"/>
  </r>
  <r>
    <d v="2023-09-01T00:00:00"/>
    <x v="8"/>
    <x v="8"/>
    <s v="Sep-2023"/>
    <x v="0"/>
    <x v="4"/>
    <x v="1"/>
    <x v="3"/>
    <s v="CC-500"/>
    <n v="17318.96"/>
    <n v="16492.650000000001"/>
    <n v="-826.30999999999767"/>
    <n v="-4.7711294442622287E-2"/>
    <s v="On Budget"/>
  </r>
  <r>
    <d v="2023-09-01T00:00:00"/>
    <x v="8"/>
    <x v="8"/>
    <s v="Sep-2023"/>
    <x v="0"/>
    <x v="4"/>
    <x v="2"/>
    <x v="0"/>
    <s v="CC-500"/>
    <n v="6837.12"/>
    <n v="9324.6200000000008"/>
    <n v="2487.5000000000009"/>
    <n v="0.36382277918187789"/>
    <s v="Overspend"/>
  </r>
  <r>
    <d v="2023-09-01T00:00:00"/>
    <x v="8"/>
    <x v="8"/>
    <s v="Sep-2023"/>
    <x v="0"/>
    <x v="4"/>
    <x v="2"/>
    <x v="1"/>
    <s v="CC-500"/>
    <n v="6370.91"/>
    <n v="8870.6"/>
    <n v="2499.6900000000005"/>
    <n v="0.39235996113585037"/>
    <s v="Overspend"/>
  </r>
  <r>
    <d v="2023-09-01T00:00:00"/>
    <x v="8"/>
    <x v="8"/>
    <s v="Sep-2023"/>
    <x v="0"/>
    <x v="4"/>
    <x v="2"/>
    <x v="2"/>
    <s v="CC-500"/>
    <n v="6590.68"/>
    <n v="8793.09"/>
    <n v="2202.41"/>
    <n v="0.33417037392196247"/>
    <s v="Overspend"/>
  </r>
  <r>
    <d v="2023-09-01T00:00:00"/>
    <x v="8"/>
    <x v="8"/>
    <s v="Sep-2023"/>
    <x v="0"/>
    <x v="4"/>
    <x v="2"/>
    <x v="3"/>
    <s v="CC-500"/>
    <n v="7120.84"/>
    <n v="9325.2099999999991"/>
    <n v="2204.369999999999"/>
    <n v="0.30956600625768854"/>
    <s v="Overspend"/>
  </r>
  <r>
    <d v="2023-09-01T00:00:00"/>
    <x v="8"/>
    <x v="8"/>
    <s v="Sep-2023"/>
    <x v="0"/>
    <x v="4"/>
    <x v="3"/>
    <x v="0"/>
    <s v="CC-500"/>
    <n v="6949.73"/>
    <n v="6999.13"/>
    <n v="49.400000000000546"/>
    <n v="7.1081898145684145E-3"/>
    <s v="On Budget"/>
  </r>
  <r>
    <d v="2023-09-01T00:00:00"/>
    <x v="8"/>
    <x v="8"/>
    <s v="Sep-2023"/>
    <x v="0"/>
    <x v="4"/>
    <x v="3"/>
    <x v="1"/>
    <s v="CC-500"/>
    <n v="6771.64"/>
    <n v="6540.85"/>
    <n v="-230.78999999999996"/>
    <n v="-3.4081847233461901E-2"/>
    <s v="On Budget"/>
  </r>
  <r>
    <d v="2023-09-01T00:00:00"/>
    <x v="8"/>
    <x v="8"/>
    <s v="Sep-2023"/>
    <x v="0"/>
    <x v="4"/>
    <x v="3"/>
    <x v="2"/>
    <s v="CC-500"/>
    <n v="6744.61"/>
    <n v="6903.91"/>
    <n v="159.30000000000018"/>
    <n v="2.361886009717392E-2"/>
    <s v="On Budget"/>
  </r>
  <r>
    <d v="2023-09-01T00:00:00"/>
    <x v="8"/>
    <x v="8"/>
    <s v="Sep-2023"/>
    <x v="0"/>
    <x v="4"/>
    <x v="3"/>
    <x v="3"/>
    <s v="CC-500"/>
    <n v="7485.14"/>
    <n v="7219.75"/>
    <n v="-265.39000000000033"/>
    <n v="-3.5455582661112595E-2"/>
    <s v="On Budget"/>
  </r>
  <r>
    <d v="2023-09-01T00:00:00"/>
    <x v="8"/>
    <x v="8"/>
    <s v="Sep-2023"/>
    <x v="0"/>
    <x v="4"/>
    <x v="4"/>
    <x v="0"/>
    <s v="CC-500"/>
    <n v="6071.88"/>
    <n v="5756.48"/>
    <n v="-315.40000000000055"/>
    <n v="-5.1944373077201879E-2"/>
    <s v="Underspend"/>
  </r>
  <r>
    <d v="2023-09-01T00:00:00"/>
    <x v="8"/>
    <x v="8"/>
    <s v="Sep-2023"/>
    <x v="0"/>
    <x v="4"/>
    <x v="4"/>
    <x v="1"/>
    <s v="CC-500"/>
    <n v="5855.82"/>
    <n v="6002.63"/>
    <n v="146.8100000000004"/>
    <n v="2.5070784279571504E-2"/>
    <s v="On Budget"/>
  </r>
  <r>
    <d v="2023-09-01T00:00:00"/>
    <x v="8"/>
    <x v="8"/>
    <s v="Sep-2023"/>
    <x v="0"/>
    <x v="4"/>
    <x v="4"/>
    <x v="2"/>
    <s v="CC-500"/>
    <n v="6031.24"/>
    <n v="6256.6"/>
    <n v="225.36000000000058"/>
    <n v="3.7365450554115005E-2"/>
    <s v="On Budget"/>
  </r>
  <r>
    <d v="2023-09-01T00:00:00"/>
    <x v="8"/>
    <x v="8"/>
    <s v="Sep-2023"/>
    <x v="0"/>
    <x v="4"/>
    <x v="4"/>
    <x v="3"/>
    <s v="CC-500"/>
    <n v="6383.91"/>
    <n v="6498.35"/>
    <n v="114.44000000000051"/>
    <n v="1.7926317883554203E-2"/>
    <s v="On Budget"/>
  </r>
  <r>
    <d v="2023-10-01T00:00:00"/>
    <x v="9"/>
    <x v="9"/>
    <s v="Oct-2023"/>
    <x v="0"/>
    <x v="0"/>
    <x v="0"/>
    <x v="0"/>
    <s v="CC-100"/>
    <n v="47917.46"/>
    <n v="56657.04"/>
    <n v="8739.5800000000017"/>
    <n v="0.182388215068161"/>
    <s v="Overspend"/>
  </r>
  <r>
    <d v="2023-10-01T00:00:00"/>
    <x v="9"/>
    <x v="9"/>
    <s v="Oct-2023"/>
    <x v="0"/>
    <x v="0"/>
    <x v="0"/>
    <x v="1"/>
    <s v="CC-100"/>
    <n v="44677.82"/>
    <n v="49909.4"/>
    <n v="5231.5800000000017"/>
    <n v="0.11709568640546925"/>
    <s v="Overspend"/>
  </r>
  <r>
    <d v="2023-10-01T00:00:00"/>
    <x v="9"/>
    <x v="9"/>
    <s v="Oct-2023"/>
    <x v="0"/>
    <x v="0"/>
    <x v="0"/>
    <x v="2"/>
    <s v="CC-100"/>
    <n v="45947.81"/>
    <n v="54011.64"/>
    <n v="8063.8300000000017"/>
    <n v="0.17549976810646692"/>
    <s v="Overspend"/>
  </r>
  <r>
    <d v="2023-10-01T00:00:00"/>
    <x v="9"/>
    <x v="9"/>
    <s v="Oct-2023"/>
    <x v="0"/>
    <x v="0"/>
    <x v="0"/>
    <x v="3"/>
    <s v="CC-100"/>
    <n v="50779.29"/>
    <n v="57018.26"/>
    <n v="6238.9700000000012"/>
    <n v="0.12286445911315422"/>
    <s v="Overspend"/>
  </r>
  <r>
    <d v="2023-10-01T00:00:00"/>
    <x v="9"/>
    <x v="9"/>
    <s v="Oct-2023"/>
    <x v="0"/>
    <x v="0"/>
    <x v="1"/>
    <x v="0"/>
    <s v="CC-100"/>
    <n v="18508.919999999998"/>
    <n v="20554.2"/>
    <n v="2045.2800000000025"/>
    <n v="0.11050239560168841"/>
    <s v="Overspend"/>
  </r>
  <r>
    <d v="2023-10-01T00:00:00"/>
    <x v="9"/>
    <x v="9"/>
    <s v="Oct-2023"/>
    <x v="0"/>
    <x v="0"/>
    <x v="1"/>
    <x v="1"/>
    <s v="CC-100"/>
    <n v="17060.349999999999"/>
    <n v="19878.5"/>
    <n v="2818.1500000000015"/>
    <n v="0.16518711515297177"/>
    <s v="Overspend"/>
  </r>
  <r>
    <d v="2023-10-01T00:00:00"/>
    <x v="9"/>
    <x v="9"/>
    <s v="Oct-2023"/>
    <x v="0"/>
    <x v="0"/>
    <x v="1"/>
    <x v="2"/>
    <s v="CC-100"/>
    <n v="17308.439999999999"/>
    <n v="19125.68"/>
    <n v="1817.2400000000016"/>
    <n v="0.10499155325378842"/>
    <s v="Overspend"/>
  </r>
  <r>
    <d v="2023-10-01T00:00:00"/>
    <x v="9"/>
    <x v="9"/>
    <s v="Oct-2023"/>
    <x v="0"/>
    <x v="0"/>
    <x v="1"/>
    <x v="3"/>
    <s v="CC-100"/>
    <n v="18343.68"/>
    <n v="21284.55"/>
    <n v="2940.869999999999"/>
    <n v="0.16032061178563947"/>
    <s v="Overspend"/>
  </r>
  <r>
    <d v="2023-10-01T00:00:00"/>
    <x v="9"/>
    <x v="9"/>
    <s v="Oct-2023"/>
    <x v="0"/>
    <x v="0"/>
    <x v="2"/>
    <x v="0"/>
    <s v="CC-100"/>
    <n v="10001.76"/>
    <n v="11737.64"/>
    <n v="1735.8799999999992"/>
    <n v="0.17355745388811561"/>
    <s v="Overspend"/>
  </r>
  <r>
    <d v="2023-10-01T00:00:00"/>
    <x v="9"/>
    <x v="9"/>
    <s v="Oct-2023"/>
    <x v="0"/>
    <x v="0"/>
    <x v="2"/>
    <x v="1"/>
    <s v="CC-100"/>
    <n v="9703.58"/>
    <n v="11554.64"/>
    <n v="1851.0599999999995"/>
    <n v="0.1907605234356804"/>
    <s v="Overspend"/>
  </r>
  <r>
    <d v="2023-10-01T00:00:00"/>
    <x v="9"/>
    <x v="9"/>
    <s v="Oct-2023"/>
    <x v="0"/>
    <x v="0"/>
    <x v="2"/>
    <x v="2"/>
    <s v="CC-100"/>
    <n v="10077.469999999999"/>
    <n v="11214.47"/>
    <n v="1137"/>
    <n v="0.1128259374624782"/>
    <s v="Overspend"/>
  </r>
  <r>
    <d v="2023-10-01T00:00:00"/>
    <x v="9"/>
    <x v="9"/>
    <s v="Oct-2023"/>
    <x v="0"/>
    <x v="0"/>
    <x v="2"/>
    <x v="3"/>
    <s v="CC-100"/>
    <n v="10879.66"/>
    <n v="12909.23"/>
    <n v="2029.5699999999997"/>
    <n v="0.18654718989380181"/>
    <s v="Overspend"/>
  </r>
  <r>
    <d v="2023-10-01T00:00:00"/>
    <x v="9"/>
    <x v="9"/>
    <s v="Oct-2023"/>
    <x v="0"/>
    <x v="0"/>
    <x v="3"/>
    <x v="0"/>
    <s v="CC-100"/>
    <n v="8372.58"/>
    <n v="9539.75"/>
    <n v="1167.17"/>
    <n v="0.13940386356415824"/>
    <s v="Overspend"/>
  </r>
  <r>
    <d v="2023-10-01T00:00:00"/>
    <x v="9"/>
    <x v="9"/>
    <s v="Oct-2023"/>
    <x v="0"/>
    <x v="0"/>
    <x v="3"/>
    <x v="1"/>
    <s v="CC-100"/>
    <n v="8034.28"/>
    <n v="9638.26"/>
    <n v="1603.9800000000005"/>
    <n v="0.19964203388480367"/>
    <s v="Overspend"/>
  </r>
  <r>
    <d v="2023-10-01T00:00:00"/>
    <x v="9"/>
    <x v="9"/>
    <s v="Oct-2023"/>
    <x v="0"/>
    <x v="0"/>
    <x v="3"/>
    <x v="2"/>
    <s v="CC-100"/>
    <n v="7855.01"/>
    <n v="9039.16"/>
    <n v="1184.1499999999996"/>
    <n v="0.15075092202301457"/>
    <s v="Overspend"/>
  </r>
  <r>
    <d v="2023-10-01T00:00:00"/>
    <x v="9"/>
    <x v="9"/>
    <s v="Oct-2023"/>
    <x v="0"/>
    <x v="0"/>
    <x v="3"/>
    <x v="3"/>
    <s v="CC-100"/>
    <n v="8499.8799999999992"/>
    <n v="9673.82"/>
    <n v="1173.9400000000005"/>
    <n v="0.13811253805936091"/>
    <s v="Overspend"/>
  </r>
  <r>
    <d v="2023-10-01T00:00:00"/>
    <x v="9"/>
    <x v="9"/>
    <s v="Oct-2023"/>
    <x v="0"/>
    <x v="0"/>
    <x v="4"/>
    <x v="0"/>
    <s v="CC-100"/>
    <n v="8384.65"/>
    <n v="9276.89"/>
    <n v="892.23999999999978"/>
    <n v="0.10641350563231618"/>
    <s v="Overspend"/>
  </r>
  <r>
    <d v="2023-10-01T00:00:00"/>
    <x v="9"/>
    <x v="9"/>
    <s v="Oct-2023"/>
    <x v="0"/>
    <x v="0"/>
    <x v="4"/>
    <x v="1"/>
    <s v="CC-100"/>
    <n v="8314.01"/>
    <n v="9632.5400000000009"/>
    <n v="1318.5300000000007"/>
    <n v="0.15859134160290889"/>
    <s v="Overspend"/>
  </r>
  <r>
    <d v="2023-10-01T00:00:00"/>
    <x v="9"/>
    <x v="9"/>
    <s v="Oct-2023"/>
    <x v="0"/>
    <x v="0"/>
    <x v="4"/>
    <x v="2"/>
    <s v="CC-100"/>
    <n v="8063.01"/>
    <n v="9279.24"/>
    <n v="1216.2299999999996"/>
    <n v="0.15084069100745248"/>
    <s v="Overspend"/>
  </r>
  <r>
    <d v="2023-10-01T00:00:00"/>
    <x v="9"/>
    <x v="9"/>
    <s v="Oct-2023"/>
    <x v="0"/>
    <x v="0"/>
    <x v="4"/>
    <x v="3"/>
    <s v="CC-100"/>
    <n v="8930.23"/>
    <n v="10297.82"/>
    <n v="1367.5900000000001"/>
    <n v="0.15314163241036347"/>
    <s v="Overspend"/>
  </r>
  <r>
    <d v="2023-10-01T00:00:00"/>
    <x v="9"/>
    <x v="9"/>
    <s v="Oct-2023"/>
    <x v="0"/>
    <x v="1"/>
    <x v="0"/>
    <x v="0"/>
    <s v="CC-200"/>
    <n v="49388.959999999999"/>
    <n v="43268.35"/>
    <n v="-6120.6100000000006"/>
    <n v="-0.12392668321017491"/>
    <s v="Underspend"/>
  </r>
  <r>
    <d v="2023-10-01T00:00:00"/>
    <x v="9"/>
    <x v="9"/>
    <s v="Oct-2023"/>
    <x v="0"/>
    <x v="1"/>
    <x v="0"/>
    <x v="1"/>
    <s v="CC-200"/>
    <n v="48899.29"/>
    <n v="44172.52"/>
    <n v="-4726.7700000000041"/>
    <n v="-9.6663366686919258E-2"/>
    <s v="Underspend"/>
  </r>
  <r>
    <d v="2023-10-01T00:00:00"/>
    <x v="9"/>
    <x v="9"/>
    <s v="Oct-2023"/>
    <x v="0"/>
    <x v="1"/>
    <x v="0"/>
    <x v="2"/>
    <s v="CC-200"/>
    <n v="48467.42"/>
    <n v="41991.26"/>
    <n v="-6476.1599999999962"/>
    <n v="-0.13361883095902352"/>
    <s v="Underspend"/>
  </r>
  <r>
    <d v="2023-10-01T00:00:00"/>
    <x v="9"/>
    <x v="9"/>
    <s v="Oct-2023"/>
    <x v="0"/>
    <x v="1"/>
    <x v="0"/>
    <x v="3"/>
    <s v="CC-200"/>
    <n v="52705.599999999999"/>
    <n v="45340.39"/>
    <n v="-7365.2099999999991"/>
    <n v="-0.13974245620958684"/>
    <s v="Underspend"/>
  </r>
  <r>
    <d v="2023-10-01T00:00:00"/>
    <x v="9"/>
    <x v="9"/>
    <s v="Oct-2023"/>
    <x v="0"/>
    <x v="1"/>
    <x v="1"/>
    <x v="0"/>
    <s v="CC-200"/>
    <n v="27571.66"/>
    <n v="24665.55"/>
    <n v="-2906.1100000000006"/>
    <n v="-0.1054020686458487"/>
    <s v="Underspend"/>
  </r>
  <r>
    <d v="2023-10-01T00:00:00"/>
    <x v="9"/>
    <x v="9"/>
    <s v="Oct-2023"/>
    <x v="0"/>
    <x v="1"/>
    <x v="1"/>
    <x v="1"/>
    <s v="CC-200"/>
    <n v="26517.759999999998"/>
    <n v="23294.27"/>
    <n v="-3223.489999999998"/>
    <n v="-0.12155966416469559"/>
    <s v="Underspend"/>
  </r>
  <r>
    <d v="2023-10-01T00:00:00"/>
    <x v="9"/>
    <x v="9"/>
    <s v="Oct-2023"/>
    <x v="0"/>
    <x v="1"/>
    <x v="1"/>
    <x v="2"/>
    <s v="CC-200"/>
    <n v="26621.97"/>
    <n v="22819.67"/>
    <n v="-3802.3000000000029"/>
    <n v="-0.14282564363193267"/>
    <s v="Underspend"/>
  </r>
  <r>
    <d v="2023-10-01T00:00:00"/>
    <x v="9"/>
    <x v="9"/>
    <s v="Oct-2023"/>
    <x v="0"/>
    <x v="1"/>
    <x v="1"/>
    <x v="3"/>
    <s v="CC-200"/>
    <n v="28591.07"/>
    <n v="24801.93"/>
    <n v="-3789.1399999999994"/>
    <n v="-0.13252879308119631"/>
    <s v="Underspend"/>
  </r>
  <r>
    <d v="2023-10-01T00:00:00"/>
    <x v="9"/>
    <x v="9"/>
    <s v="Oct-2023"/>
    <x v="0"/>
    <x v="1"/>
    <x v="2"/>
    <x v="0"/>
    <s v="CC-200"/>
    <n v="10532.93"/>
    <n v="9213.02"/>
    <n v="-1319.9099999999999"/>
    <n v="-0.12531270975882303"/>
    <s v="Underspend"/>
  </r>
  <r>
    <d v="2023-10-01T00:00:00"/>
    <x v="9"/>
    <x v="9"/>
    <s v="Oct-2023"/>
    <x v="0"/>
    <x v="1"/>
    <x v="2"/>
    <x v="1"/>
    <s v="CC-200"/>
    <n v="9932.76"/>
    <n v="8802.2199999999993"/>
    <n v="-1130.5400000000009"/>
    <n v="-0.11381932111517855"/>
    <s v="Underspend"/>
  </r>
  <r>
    <d v="2023-10-01T00:00:00"/>
    <x v="9"/>
    <x v="9"/>
    <s v="Oct-2023"/>
    <x v="0"/>
    <x v="1"/>
    <x v="2"/>
    <x v="2"/>
    <s v="CC-200"/>
    <n v="10332.81"/>
    <n v="9062.4699999999993"/>
    <n v="-1270.3400000000001"/>
    <n v="-0.12294235546768016"/>
    <s v="Underspend"/>
  </r>
  <r>
    <d v="2023-10-01T00:00:00"/>
    <x v="9"/>
    <x v="9"/>
    <s v="Oct-2023"/>
    <x v="0"/>
    <x v="1"/>
    <x v="2"/>
    <x v="3"/>
    <s v="CC-200"/>
    <n v="11016.42"/>
    <n v="9867.49"/>
    <n v="-1148.9300000000003"/>
    <n v="-0.1042925015567671"/>
    <s v="Underspend"/>
  </r>
  <r>
    <d v="2023-10-01T00:00:00"/>
    <x v="9"/>
    <x v="9"/>
    <s v="Oct-2023"/>
    <x v="0"/>
    <x v="1"/>
    <x v="3"/>
    <x v="0"/>
    <s v="CC-200"/>
    <n v="8839.0300000000007"/>
    <n v="7742.14"/>
    <n v="-1096.8900000000003"/>
    <n v="-0.12409619607581378"/>
    <s v="Underspend"/>
  </r>
  <r>
    <d v="2023-10-01T00:00:00"/>
    <x v="9"/>
    <x v="9"/>
    <s v="Oct-2023"/>
    <x v="0"/>
    <x v="1"/>
    <x v="3"/>
    <x v="1"/>
    <s v="CC-200"/>
    <n v="8308.51"/>
    <n v="7238.06"/>
    <n v="-1070.4499999999998"/>
    <n v="-0.12883778198497683"/>
    <s v="Underspend"/>
  </r>
  <r>
    <d v="2023-10-01T00:00:00"/>
    <x v="9"/>
    <x v="9"/>
    <s v="Oct-2023"/>
    <x v="0"/>
    <x v="1"/>
    <x v="3"/>
    <x v="2"/>
    <s v="CC-200"/>
    <n v="8406.58"/>
    <n v="7177.17"/>
    <n v="-1229.4099999999999"/>
    <n v="-0.14624377570902791"/>
    <s v="Underspend"/>
  </r>
  <r>
    <d v="2023-10-01T00:00:00"/>
    <x v="9"/>
    <x v="9"/>
    <s v="Oct-2023"/>
    <x v="0"/>
    <x v="1"/>
    <x v="3"/>
    <x v="3"/>
    <s v="CC-200"/>
    <n v="8889.26"/>
    <n v="7747.11"/>
    <n v="-1142.1500000000005"/>
    <n v="-0.12848651068817882"/>
    <s v="Underspend"/>
  </r>
  <r>
    <d v="2023-10-01T00:00:00"/>
    <x v="9"/>
    <x v="9"/>
    <s v="Oct-2023"/>
    <x v="0"/>
    <x v="1"/>
    <x v="4"/>
    <x v="0"/>
    <s v="CC-200"/>
    <n v="7697.8"/>
    <n v="6573"/>
    <n v="-1124.8000000000002"/>
    <n v="-0.1461196705552236"/>
    <s v="Underspend"/>
  </r>
  <r>
    <d v="2023-10-01T00:00:00"/>
    <x v="9"/>
    <x v="9"/>
    <s v="Oct-2023"/>
    <x v="0"/>
    <x v="1"/>
    <x v="4"/>
    <x v="1"/>
    <s v="CC-200"/>
    <n v="7121.51"/>
    <n v="6030.14"/>
    <n v="-1091.3699999999999"/>
    <n v="-0.15324980235933108"/>
    <s v="Underspend"/>
  </r>
  <r>
    <d v="2023-10-01T00:00:00"/>
    <x v="9"/>
    <x v="9"/>
    <s v="Oct-2023"/>
    <x v="0"/>
    <x v="1"/>
    <x v="4"/>
    <x v="2"/>
    <s v="CC-200"/>
    <n v="7118.55"/>
    <n v="6100.3"/>
    <n v="-1018.25"/>
    <n v="-0.14304177114721398"/>
    <s v="Underspend"/>
  </r>
  <r>
    <d v="2023-10-01T00:00:00"/>
    <x v="9"/>
    <x v="9"/>
    <s v="Oct-2023"/>
    <x v="0"/>
    <x v="1"/>
    <x v="4"/>
    <x v="3"/>
    <s v="CC-200"/>
    <n v="7749.13"/>
    <n v="6723.96"/>
    <n v="-1025.17"/>
    <n v="-0.13229485116393713"/>
    <s v="Underspend"/>
  </r>
  <r>
    <d v="2023-10-01T00:00:00"/>
    <x v="9"/>
    <x v="9"/>
    <s v="Oct-2023"/>
    <x v="0"/>
    <x v="2"/>
    <x v="0"/>
    <x v="0"/>
    <s v="CC-300"/>
    <n v="42797.36"/>
    <n v="41795.18"/>
    <n v="-1002.1800000000003"/>
    <n v="-2.3416864965502552E-2"/>
    <s v="On Budget"/>
  </r>
  <r>
    <d v="2023-10-01T00:00:00"/>
    <x v="9"/>
    <x v="9"/>
    <s v="Oct-2023"/>
    <x v="0"/>
    <x v="2"/>
    <x v="0"/>
    <x v="1"/>
    <s v="CC-300"/>
    <n v="41136.79"/>
    <n v="41026.720000000001"/>
    <n v="-110.06999999999971"/>
    <n v="-2.6757070738868956E-3"/>
    <s v="On Budget"/>
  </r>
  <r>
    <d v="2023-10-01T00:00:00"/>
    <x v="9"/>
    <x v="9"/>
    <s v="Oct-2023"/>
    <x v="0"/>
    <x v="2"/>
    <x v="0"/>
    <x v="2"/>
    <s v="CC-300"/>
    <n v="41200.58"/>
    <n v="41960.35"/>
    <n v="759.7699999999968"/>
    <n v="1.8440759814546223E-2"/>
    <s v="On Budget"/>
  </r>
  <r>
    <d v="2023-10-01T00:00:00"/>
    <x v="9"/>
    <x v="9"/>
    <s v="Oct-2023"/>
    <x v="0"/>
    <x v="2"/>
    <x v="0"/>
    <x v="3"/>
    <s v="CC-300"/>
    <n v="44364.06"/>
    <n v="43841.19"/>
    <n v="-522.86999999999534"/>
    <n v="-1.178589155275679E-2"/>
    <s v="On Budget"/>
  </r>
  <r>
    <d v="2023-10-01T00:00:00"/>
    <x v="9"/>
    <x v="9"/>
    <s v="Oct-2023"/>
    <x v="0"/>
    <x v="2"/>
    <x v="1"/>
    <x v="0"/>
    <s v="CC-300"/>
    <n v="14963.26"/>
    <n v="15208.89"/>
    <n v="245.6299999999992"/>
    <n v="1.6415540463775889E-2"/>
    <s v="On Budget"/>
  </r>
  <r>
    <d v="2023-10-01T00:00:00"/>
    <x v="9"/>
    <x v="9"/>
    <s v="Oct-2023"/>
    <x v="0"/>
    <x v="2"/>
    <x v="1"/>
    <x v="1"/>
    <s v="CC-300"/>
    <n v="13787.99"/>
    <n v="14096.59"/>
    <n v="308.60000000000036"/>
    <n v="2.2381797491875202E-2"/>
    <s v="On Budget"/>
  </r>
  <r>
    <d v="2023-10-01T00:00:00"/>
    <x v="9"/>
    <x v="9"/>
    <s v="Oct-2023"/>
    <x v="0"/>
    <x v="2"/>
    <x v="1"/>
    <x v="2"/>
    <s v="CC-300"/>
    <n v="14532.12"/>
    <n v="14428.87"/>
    <n v="-103.25"/>
    <n v="-7.10495096379606E-3"/>
    <s v="On Budget"/>
  </r>
  <r>
    <d v="2023-10-01T00:00:00"/>
    <x v="9"/>
    <x v="9"/>
    <s v="Oct-2023"/>
    <x v="0"/>
    <x v="2"/>
    <x v="1"/>
    <x v="3"/>
    <s v="CC-300"/>
    <n v="15834.78"/>
    <n v="15655.62"/>
    <n v="-179.15999999999985"/>
    <n v="-1.1314334648160559E-2"/>
    <s v="On Budget"/>
  </r>
  <r>
    <d v="2023-10-01T00:00:00"/>
    <x v="9"/>
    <x v="9"/>
    <s v="Oct-2023"/>
    <x v="0"/>
    <x v="2"/>
    <x v="2"/>
    <x v="0"/>
    <s v="CC-300"/>
    <n v="8297.2199999999993"/>
    <n v="8449.6200000000008"/>
    <n v="152.40000000000146"/>
    <n v="1.8367597821921253E-2"/>
    <s v="On Budget"/>
  </r>
  <r>
    <d v="2023-10-01T00:00:00"/>
    <x v="9"/>
    <x v="9"/>
    <s v="Oct-2023"/>
    <x v="0"/>
    <x v="2"/>
    <x v="2"/>
    <x v="1"/>
    <s v="CC-300"/>
    <n v="7741.03"/>
    <n v="7948.2"/>
    <n v="207.17000000000007"/>
    <n v="2.6762588441073099E-2"/>
    <s v="On Budget"/>
  </r>
  <r>
    <d v="2023-10-01T00:00:00"/>
    <x v="9"/>
    <x v="9"/>
    <s v="Oct-2023"/>
    <x v="0"/>
    <x v="2"/>
    <x v="2"/>
    <x v="2"/>
    <s v="CC-300"/>
    <n v="8213.91"/>
    <n v="8046.39"/>
    <n v="-167.51999999999953"/>
    <n v="-2.0394671964995906E-2"/>
    <s v="On Budget"/>
  </r>
  <r>
    <d v="2023-10-01T00:00:00"/>
    <x v="9"/>
    <x v="9"/>
    <s v="Oct-2023"/>
    <x v="0"/>
    <x v="2"/>
    <x v="2"/>
    <x v="3"/>
    <s v="CC-300"/>
    <n v="8772.7999999999993"/>
    <n v="8689.39"/>
    <n v="-83.409999999999854"/>
    <n v="-9.5077968265547905E-3"/>
    <s v="On Budget"/>
  </r>
  <r>
    <d v="2023-10-01T00:00:00"/>
    <x v="9"/>
    <x v="9"/>
    <s v="Oct-2023"/>
    <x v="0"/>
    <x v="2"/>
    <x v="3"/>
    <x v="0"/>
    <s v="CC-300"/>
    <n v="6720.77"/>
    <n v="6799.77"/>
    <n v="79"/>
    <n v="1.1754605499072278E-2"/>
    <s v="On Budget"/>
  </r>
  <r>
    <d v="2023-10-01T00:00:00"/>
    <x v="9"/>
    <x v="9"/>
    <s v="Oct-2023"/>
    <x v="0"/>
    <x v="2"/>
    <x v="3"/>
    <x v="1"/>
    <s v="CC-300"/>
    <n v="6575.61"/>
    <n v="6705.92"/>
    <n v="130.3100000000004"/>
    <n v="1.9817172855446173E-2"/>
    <s v="On Budget"/>
  </r>
  <r>
    <d v="2023-10-01T00:00:00"/>
    <x v="9"/>
    <x v="9"/>
    <s v="Oct-2023"/>
    <x v="0"/>
    <x v="2"/>
    <x v="3"/>
    <x v="2"/>
    <s v="CC-300"/>
    <n v="6491.99"/>
    <n v="6502.09"/>
    <n v="10.100000000000364"/>
    <n v="1.5557633329688376E-3"/>
    <s v="On Budget"/>
  </r>
  <r>
    <d v="2023-10-01T00:00:00"/>
    <x v="9"/>
    <x v="9"/>
    <s v="Oct-2023"/>
    <x v="0"/>
    <x v="2"/>
    <x v="3"/>
    <x v="3"/>
    <s v="CC-300"/>
    <n v="7128.83"/>
    <n v="7220.24"/>
    <n v="91.409999999999854"/>
    <n v="1.2822580984537413E-2"/>
    <s v="On Budget"/>
  </r>
  <r>
    <d v="2023-10-01T00:00:00"/>
    <x v="9"/>
    <x v="9"/>
    <s v="Oct-2023"/>
    <x v="0"/>
    <x v="2"/>
    <x v="4"/>
    <x v="0"/>
    <s v="CC-300"/>
    <n v="5803.16"/>
    <n v="5882.93"/>
    <n v="79.770000000000437"/>
    <n v="1.3745959098146602E-2"/>
    <s v="On Budget"/>
  </r>
  <r>
    <d v="2023-10-01T00:00:00"/>
    <x v="9"/>
    <x v="9"/>
    <s v="Oct-2023"/>
    <x v="0"/>
    <x v="2"/>
    <x v="4"/>
    <x v="1"/>
    <s v="CC-300"/>
    <n v="5468.83"/>
    <n v="5531.48"/>
    <n v="62.649999999999636"/>
    <n v="1.1455832417537139E-2"/>
    <s v="On Budget"/>
  </r>
  <r>
    <d v="2023-10-01T00:00:00"/>
    <x v="9"/>
    <x v="9"/>
    <s v="Oct-2023"/>
    <x v="0"/>
    <x v="2"/>
    <x v="4"/>
    <x v="2"/>
    <s v="CC-300"/>
    <n v="5736.94"/>
    <n v="5706.79"/>
    <n v="-30.149999999999636"/>
    <n v="-5.2554149075987617E-3"/>
    <s v="On Budget"/>
  </r>
  <r>
    <d v="2023-10-01T00:00:00"/>
    <x v="9"/>
    <x v="9"/>
    <s v="Oct-2023"/>
    <x v="0"/>
    <x v="2"/>
    <x v="4"/>
    <x v="3"/>
    <s v="CC-300"/>
    <n v="5926.67"/>
    <n v="5778.81"/>
    <n v="-147.85999999999967"/>
    <n v="-2.4948242436309036E-2"/>
    <s v="On Budget"/>
  </r>
  <r>
    <d v="2023-10-01T00:00:00"/>
    <x v="9"/>
    <x v="9"/>
    <s v="Oct-2023"/>
    <x v="0"/>
    <x v="3"/>
    <x v="0"/>
    <x v="0"/>
    <s v="CC-400"/>
    <n v="54540.78"/>
    <n v="51107.9"/>
    <n v="-3432.8799999999974"/>
    <n v="-6.294152742223337E-2"/>
    <s v="Underspend"/>
  </r>
  <r>
    <d v="2023-10-01T00:00:00"/>
    <x v="9"/>
    <x v="9"/>
    <s v="Oct-2023"/>
    <x v="0"/>
    <x v="3"/>
    <x v="0"/>
    <x v="1"/>
    <s v="CC-400"/>
    <n v="49418.559999999998"/>
    <n v="46908.02"/>
    <n v="-2510.5400000000009"/>
    <n v="-5.0801561194822369E-2"/>
    <s v="Underspend"/>
  </r>
  <r>
    <d v="2023-10-01T00:00:00"/>
    <x v="9"/>
    <x v="9"/>
    <s v="Oct-2023"/>
    <x v="0"/>
    <x v="3"/>
    <x v="0"/>
    <x v="2"/>
    <s v="CC-400"/>
    <n v="50907.94"/>
    <n v="57306.21"/>
    <n v="6398.2699999999968"/>
    <n v="0.12568314490824017"/>
    <s v="Overspend"/>
  </r>
  <r>
    <d v="2023-10-01T00:00:00"/>
    <x v="9"/>
    <x v="9"/>
    <s v="Oct-2023"/>
    <x v="0"/>
    <x v="3"/>
    <x v="0"/>
    <x v="3"/>
    <s v="CC-400"/>
    <n v="56291.13"/>
    <n v="51460"/>
    <n v="-4831.1299999999974"/>
    <n v="-8.582400104599068E-2"/>
    <s v="Underspend"/>
  </r>
  <r>
    <d v="2023-10-01T00:00:00"/>
    <x v="9"/>
    <x v="9"/>
    <s v="Oct-2023"/>
    <x v="0"/>
    <x v="3"/>
    <x v="1"/>
    <x v="0"/>
    <s v="CC-400"/>
    <n v="19761.57"/>
    <n v="22779.040000000001"/>
    <n v="3017.4700000000012"/>
    <n v="0.15269383960889754"/>
    <s v="Overspend"/>
  </r>
  <r>
    <d v="2023-10-01T00:00:00"/>
    <x v="9"/>
    <x v="9"/>
    <s v="Oct-2023"/>
    <x v="0"/>
    <x v="3"/>
    <x v="1"/>
    <x v="1"/>
    <s v="CC-400"/>
    <n v="19019.43"/>
    <n v="17143.37"/>
    <n v="-1876.0600000000013"/>
    <n v="-9.8639128512263585E-2"/>
    <s v="Underspend"/>
  </r>
  <r>
    <d v="2023-10-01T00:00:00"/>
    <x v="9"/>
    <x v="9"/>
    <s v="Oct-2023"/>
    <x v="0"/>
    <x v="3"/>
    <x v="1"/>
    <x v="2"/>
    <s v="CC-400"/>
    <n v="19303.59"/>
    <n v="22379.39"/>
    <n v="3075.7999999999993"/>
    <n v="0.15933823708439721"/>
    <s v="Overspend"/>
  </r>
  <r>
    <d v="2023-10-01T00:00:00"/>
    <x v="9"/>
    <x v="9"/>
    <s v="Oct-2023"/>
    <x v="0"/>
    <x v="3"/>
    <x v="1"/>
    <x v="3"/>
    <s v="CC-400"/>
    <n v="21563.15"/>
    <n v="19275.05"/>
    <n v="-2288.1000000000022"/>
    <n v="-0.10611158388268885"/>
    <s v="Underspend"/>
  </r>
  <r>
    <d v="2023-10-01T00:00:00"/>
    <x v="9"/>
    <x v="9"/>
    <s v="Oct-2023"/>
    <x v="0"/>
    <x v="3"/>
    <x v="2"/>
    <x v="0"/>
    <s v="CC-400"/>
    <n v="11190.29"/>
    <n v="11526.33"/>
    <n v="336.03999999999905"/>
    <n v="3.0029606024508663E-2"/>
    <s v="On Budget"/>
  </r>
  <r>
    <d v="2023-10-01T00:00:00"/>
    <x v="9"/>
    <x v="9"/>
    <s v="Oct-2023"/>
    <x v="0"/>
    <x v="3"/>
    <x v="2"/>
    <x v="1"/>
    <s v="CC-400"/>
    <n v="10664.13"/>
    <n v="11058.92"/>
    <n v="394.79000000000087"/>
    <n v="3.7020366405885984E-2"/>
    <s v="On Budget"/>
  </r>
  <r>
    <d v="2023-10-01T00:00:00"/>
    <x v="9"/>
    <x v="9"/>
    <s v="Oct-2023"/>
    <x v="0"/>
    <x v="3"/>
    <x v="2"/>
    <x v="2"/>
    <s v="CC-400"/>
    <n v="11004.58"/>
    <n v="11668.33"/>
    <n v="663.75"/>
    <n v="6.0315795786845115E-2"/>
    <s v="Overspend"/>
  </r>
  <r>
    <d v="2023-10-01T00:00:00"/>
    <x v="9"/>
    <x v="9"/>
    <s v="Oct-2023"/>
    <x v="0"/>
    <x v="3"/>
    <x v="2"/>
    <x v="3"/>
    <s v="CC-400"/>
    <n v="12101.53"/>
    <n v="12444.75"/>
    <n v="343.21999999999935"/>
    <n v="2.8361703024328274E-2"/>
    <s v="On Budget"/>
  </r>
  <r>
    <d v="2023-10-01T00:00:00"/>
    <x v="9"/>
    <x v="9"/>
    <s v="Oct-2023"/>
    <x v="0"/>
    <x v="3"/>
    <x v="3"/>
    <x v="0"/>
    <s v="CC-400"/>
    <n v="12635.33"/>
    <n v="13796.51"/>
    <n v="1161.1800000000003"/>
    <n v="9.1899459689616367E-2"/>
    <s v="Overspend"/>
  </r>
  <r>
    <d v="2023-10-01T00:00:00"/>
    <x v="9"/>
    <x v="9"/>
    <s v="Oct-2023"/>
    <x v="0"/>
    <x v="3"/>
    <x v="3"/>
    <x v="1"/>
    <s v="CC-400"/>
    <n v="12180.05"/>
    <n v="12809.37"/>
    <n v="629.32000000000153"/>
    <n v="5.1668096600588798E-2"/>
    <s v="Overspend"/>
  </r>
  <r>
    <d v="2023-10-01T00:00:00"/>
    <x v="9"/>
    <x v="9"/>
    <s v="Oct-2023"/>
    <x v="0"/>
    <x v="3"/>
    <x v="3"/>
    <x v="2"/>
    <s v="CC-400"/>
    <n v="11862.98"/>
    <n v="12395.14"/>
    <n v="532.15999999999985"/>
    <n v="4.4858880315064166E-2"/>
    <s v="On Budget"/>
  </r>
  <r>
    <d v="2023-10-01T00:00:00"/>
    <x v="9"/>
    <x v="9"/>
    <s v="Oct-2023"/>
    <x v="0"/>
    <x v="3"/>
    <x v="3"/>
    <x v="3"/>
    <s v="CC-400"/>
    <n v="12804.03"/>
    <n v="11271.21"/>
    <n v="-1532.8200000000015"/>
    <n v="-0.11971387133582173"/>
    <s v="Underspend"/>
  </r>
  <r>
    <d v="2023-10-01T00:00:00"/>
    <x v="9"/>
    <x v="9"/>
    <s v="Oct-2023"/>
    <x v="0"/>
    <x v="3"/>
    <x v="4"/>
    <x v="0"/>
    <s v="CC-400"/>
    <n v="7787.03"/>
    <n v="8265.69"/>
    <n v="478.66000000000076"/>
    <n v="6.1468878378534667E-2"/>
    <s v="Overspend"/>
  </r>
  <r>
    <d v="2023-10-01T00:00:00"/>
    <x v="9"/>
    <x v="9"/>
    <s v="Oct-2023"/>
    <x v="0"/>
    <x v="3"/>
    <x v="4"/>
    <x v="1"/>
    <s v="CC-400"/>
    <n v="7709.22"/>
    <n v="7400.8"/>
    <n v="-308.42000000000007"/>
    <n v="-4.0006641398221875E-2"/>
    <s v="On Budget"/>
  </r>
  <r>
    <d v="2023-10-01T00:00:00"/>
    <x v="9"/>
    <x v="9"/>
    <s v="Oct-2023"/>
    <x v="0"/>
    <x v="3"/>
    <x v="4"/>
    <x v="2"/>
    <s v="CC-400"/>
    <n v="7746.68"/>
    <n v="7858.71"/>
    <n v="112.02999999999975"/>
    <n v="1.4461679067677992E-2"/>
    <s v="On Budget"/>
  </r>
  <r>
    <d v="2023-10-01T00:00:00"/>
    <x v="9"/>
    <x v="9"/>
    <s v="Oct-2023"/>
    <x v="0"/>
    <x v="3"/>
    <x v="4"/>
    <x v="3"/>
    <s v="CC-400"/>
    <n v="8114.08"/>
    <n v="9444.19"/>
    <n v="1330.1100000000006"/>
    <n v="0.16392616291680642"/>
    <s v="Overspend"/>
  </r>
  <r>
    <d v="2023-10-01T00:00:00"/>
    <x v="9"/>
    <x v="9"/>
    <s v="Oct-2023"/>
    <x v="0"/>
    <x v="4"/>
    <x v="0"/>
    <x v="0"/>
    <s v="CC-500"/>
    <n v="43232.24"/>
    <n v="43416.35"/>
    <n v="184.11000000000058"/>
    <n v="4.2586273577311885E-3"/>
    <s v="On Budget"/>
  </r>
  <r>
    <d v="2023-10-01T00:00:00"/>
    <x v="9"/>
    <x v="9"/>
    <s v="Oct-2023"/>
    <x v="0"/>
    <x v="4"/>
    <x v="0"/>
    <x v="1"/>
    <s v="CC-500"/>
    <n v="40931.379999999997"/>
    <n v="39445.910000000003"/>
    <n v="-1485.4699999999939"/>
    <n v="-3.629171554929235E-2"/>
    <s v="On Budget"/>
  </r>
  <r>
    <d v="2023-10-01T00:00:00"/>
    <x v="9"/>
    <x v="9"/>
    <s v="Oct-2023"/>
    <x v="0"/>
    <x v="4"/>
    <x v="0"/>
    <x v="2"/>
    <s v="CC-500"/>
    <n v="41382.230000000003"/>
    <n v="39436.949999999997"/>
    <n v="-1945.2800000000061"/>
    <n v="-4.7007616554255435E-2"/>
    <s v="On Budget"/>
  </r>
  <r>
    <d v="2023-10-01T00:00:00"/>
    <x v="9"/>
    <x v="9"/>
    <s v="Oct-2023"/>
    <x v="0"/>
    <x v="4"/>
    <x v="0"/>
    <x v="3"/>
    <s v="CC-500"/>
    <n v="44704.03"/>
    <n v="44119.23"/>
    <n v="-584.79999999999563"/>
    <n v="-1.3081594657125894E-2"/>
    <s v="On Budget"/>
  </r>
  <r>
    <d v="2023-10-01T00:00:00"/>
    <x v="9"/>
    <x v="9"/>
    <s v="Oct-2023"/>
    <x v="0"/>
    <x v="4"/>
    <x v="1"/>
    <x v="0"/>
    <s v="CC-500"/>
    <n v="16404.36"/>
    <n v="16655.400000000001"/>
    <n v="251.04000000000087"/>
    <n v="1.5303248648530077E-2"/>
    <s v="On Budget"/>
  </r>
  <r>
    <d v="2023-10-01T00:00:00"/>
    <x v="9"/>
    <x v="9"/>
    <s v="Oct-2023"/>
    <x v="0"/>
    <x v="4"/>
    <x v="1"/>
    <x v="1"/>
    <s v="CC-500"/>
    <n v="15559.04"/>
    <n v="16123.52"/>
    <n v="564.47999999999956"/>
    <n v="3.6279873308378896E-2"/>
    <s v="On Budget"/>
  </r>
  <r>
    <d v="2023-10-01T00:00:00"/>
    <x v="9"/>
    <x v="9"/>
    <s v="Oct-2023"/>
    <x v="0"/>
    <x v="4"/>
    <x v="1"/>
    <x v="2"/>
    <s v="CC-500"/>
    <n v="15516.45"/>
    <n v="15072.51"/>
    <n v="-443.94000000000051"/>
    <n v="-2.8610925823883717E-2"/>
    <s v="On Budget"/>
  </r>
  <r>
    <d v="2023-10-01T00:00:00"/>
    <x v="9"/>
    <x v="9"/>
    <s v="Oct-2023"/>
    <x v="0"/>
    <x v="4"/>
    <x v="1"/>
    <x v="3"/>
    <s v="CC-500"/>
    <n v="17021.55"/>
    <n v="17001.72"/>
    <n v="-19.829999999998108"/>
    <n v="-1.1649937872871806E-3"/>
    <s v="On Budget"/>
  </r>
  <r>
    <d v="2023-10-01T00:00:00"/>
    <x v="9"/>
    <x v="9"/>
    <s v="Oct-2023"/>
    <x v="0"/>
    <x v="4"/>
    <x v="2"/>
    <x v="0"/>
    <s v="CC-500"/>
    <n v="6737.48"/>
    <n v="6465.52"/>
    <n v="-271.95999999999913"/>
    <n v="-4.0365240416297958E-2"/>
    <s v="On Budget"/>
  </r>
  <r>
    <d v="2023-10-01T00:00:00"/>
    <x v="9"/>
    <x v="9"/>
    <s v="Oct-2023"/>
    <x v="0"/>
    <x v="4"/>
    <x v="2"/>
    <x v="1"/>
    <s v="CC-500"/>
    <n v="6622.6"/>
    <n v="6674.1"/>
    <n v="51.5"/>
    <n v="7.7764020173345808E-3"/>
    <s v="On Budget"/>
  </r>
  <r>
    <d v="2023-10-01T00:00:00"/>
    <x v="9"/>
    <x v="9"/>
    <s v="Oct-2023"/>
    <x v="0"/>
    <x v="4"/>
    <x v="2"/>
    <x v="2"/>
    <s v="CC-500"/>
    <n v="6730.06"/>
    <n v="6405.25"/>
    <n v="-324.8100000000004"/>
    <n v="-4.826257121036074E-2"/>
    <s v="On Budget"/>
  </r>
  <r>
    <d v="2023-10-01T00:00:00"/>
    <x v="9"/>
    <x v="9"/>
    <s v="Oct-2023"/>
    <x v="0"/>
    <x v="4"/>
    <x v="2"/>
    <x v="3"/>
    <s v="CC-500"/>
    <n v="6963.43"/>
    <n v="7331.51"/>
    <n v="368.07999999999993"/>
    <n v="5.2859007701664254E-2"/>
    <s v="Overspend"/>
  </r>
  <r>
    <d v="2023-10-01T00:00:00"/>
    <x v="9"/>
    <x v="9"/>
    <s v="Oct-2023"/>
    <x v="0"/>
    <x v="4"/>
    <x v="3"/>
    <x v="0"/>
    <s v="CC-500"/>
    <n v="7471.52"/>
    <n v="7056.83"/>
    <n v="-414.69000000000051"/>
    <n v="-5.5502762490095787E-2"/>
    <s v="Underspend"/>
  </r>
  <r>
    <d v="2023-10-01T00:00:00"/>
    <x v="9"/>
    <x v="9"/>
    <s v="Oct-2023"/>
    <x v="0"/>
    <x v="4"/>
    <x v="3"/>
    <x v="1"/>
    <s v="CC-500"/>
    <n v="7116.35"/>
    <n v="7090.41"/>
    <n v="-25.940000000000509"/>
    <n v="-3.6451270665440161E-3"/>
    <s v="On Budget"/>
  </r>
  <r>
    <d v="2023-10-01T00:00:00"/>
    <x v="9"/>
    <x v="9"/>
    <s v="Oct-2023"/>
    <x v="0"/>
    <x v="4"/>
    <x v="3"/>
    <x v="2"/>
    <s v="CC-500"/>
    <n v="7317.41"/>
    <n v="7315.23"/>
    <n v="-2.180000000000291"/>
    <n v="-2.9791961910024053E-4"/>
    <s v="On Budget"/>
  </r>
  <r>
    <d v="2023-10-01T00:00:00"/>
    <x v="9"/>
    <x v="9"/>
    <s v="Oct-2023"/>
    <x v="0"/>
    <x v="4"/>
    <x v="3"/>
    <x v="3"/>
    <s v="CC-500"/>
    <n v="7927.05"/>
    <n v="7918.63"/>
    <n v="-8.4200000000000728"/>
    <n v="-1.0621858068260038E-3"/>
    <s v="On Budget"/>
  </r>
  <r>
    <d v="2023-10-01T00:00:00"/>
    <x v="9"/>
    <x v="9"/>
    <s v="Oct-2023"/>
    <x v="0"/>
    <x v="4"/>
    <x v="4"/>
    <x v="0"/>
    <s v="CC-500"/>
    <n v="6518.96"/>
    <n v="6404.25"/>
    <n v="-114.71000000000004"/>
    <n v="-1.7596365064366102E-2"/>
    <s v="On Budget"/>
  </r>
  <r>
    <d v="2023-10-01T00:00:00"/>
    <x v="9"/>
    <x v="9"/>
    <s v="Oct-2023"/>
    <x v="0"/>
    <x v="4"/>
    <x v="4"/>
    <x v="1"/>
    <s v="CC-500"/>
    <n v="5904.42"/>
    <n v="6025.97"/>
    <n v="121.55000000000018"/>
    <n v="2.0586272656755479E-2"/>
    <s v="On Budget"/>
  </r>
  <r>
    <d v="2023-10-01T00:00:00"/>
    <x v="9"/>
    <x v="9"/>
    <s v="Oct-2023"/>
    <x v="0"/>
    <x v="4"/>
    <x v="4"/>
    <x v="2"/>
    <s v="CC-500"/>
    <n v="6216.45"/>
    <n v="6228.26"/>
    <n v="11.8100000000004"/>
    <n v="1.8997981162882996E-3"/>
    <s v="On Budget"/>
  </r>
  <r>
    <d v="2023-10-01T00:00:00"/>
    <x v="9"/>
    <x v="9"/>
    <s v="Oct-2023"/>
    <x v="0"/>
    <x v="4"/>
    <x v="4"/>
    <x v="3"/>
    <s v="CC-500"/>
    <n v="6468.11"/>
    <n v="6255.22"/>
    <n v="-212.88999999999942"/>
    <n v="-3.291378779890871E-2"/>
    <s v="On Budget"/>
  </r>
  <r>
    <d v="2023-11-01T00:00:00"/>
    <x v="10"/>
    <x v="10"/>
    <s v="Nov-2023"/>
    <x v="0"/>
    <x v="0"/>
    <x v="0"/>
    <x v="0"/>
    <s v="CC-100"/>
    <n v="47891.33"/>
    <n v="54516.75"/>
    <n v="6625.4199999999983"/>
    <n v="0.13834278563572985"/>
    <s v="Overspend"/>
  </r>
  <r>
    <d v="2023-11-01T00:00:00"/>
    <x v="10"/>
    <x v="10"/>
    <s v="Nov-2023"/>
    <x v="0"/>
    <x v="0"/>
    <x v="0"/>
    <x v="1"/>
    <s v="CC-100"/>
    <n v="46341.23"/>
    <n v="52651.26"/>
    <n v="6310.0299999999988"/>
    <n v="0.13616449110219989"/>
    <s v="Overspend"/>
  </r>
  <r>
    <d v="2023-11-01T00:00:00"/>
    <x v="10"/>
    <x v="10"/>
    <s v="Nov-2023"/>
    <x v="0"/>
    <x v="0"/>
    <x v="0"/>
    <x v="2"/>
    <s v="CC-100"/>
    <n v="45974.8"/>
    <n v="51646.91"/>
    <n v="5672.1100000000006"/>
    <n v="0.12337432680511932"/>
    <s v="Overspend"/>
  </r>
  <r>
    <d v="2023-11-01T00:00:00"/>
    <x v="10"/>
    <x v="10"/>
    <s v="Nov-2023"/>
    <x v="0"/>
    <x v="0"/>
    <x v="0"/>
    <x v="3"/>
    <s v="CC-100"/>
    <n v="49308.05"/>
    <n v="54823.11"/>
    <n v="5515.0599999999977"/>
    <n v="0.11184907940995431"/>
    <s v="Overspend"/>
  </r>
  <r>
    <d v="2023-11-01T00:00:00"/>
    <x v="10"/>
    <x v="10"/>
    <s v="Nov-2023"/>
    <x v="0"/>
    <x v="0"/>
    <x v="1"/>
    <x v="0"/>
    <s v="CC-100"/>
    <n v="18481.54"/>
    <n v="21826.880000000001"/>
    <n v="3345.34"/>
    <n v="0.18100980762425642"/>
    <s v="Overspend"/>
  </r>
  <r>
    <d v="2023-11-01T00:00:00"/>
    <x v="10"/>
    <x v="10"/>
    <s v="Nov-2023"/>
    <x v="0"/>
    <x v="0"/>
    <x v="1"/>
    <x v="1"/>
    <s v="CC-100"/>
    <n v="17678.650000000001"/>
    <n v="20087.63"/>
    <n v="2408.9799999999996"/>
    <n v="0.13626492973162541"/>
    <s v="Overspend"/>
  </r>
  <r>
    <d v="2023-11-01T00:00:00"/>
    <x v="10"/>
    <x v="10"/>
    <s v="Nov-2023"/>
    <x v="0"/>
    <x v="0"/>
    <x v="1"/>
    <x v="2"/>
    <s v="CC-100"/>
    <n v="17724.580000000002"/>
    <n v="19859.759999999998"/>
    <n v="2135.1799999999967"/>
    <n v="0.12046434950785838"/>
    <s v="Overspend"/>
  </r>
  <r>
    <d v="2023-11-01T00:00:00"/>
    <x v="10"/>
    <x v="10"/>
    <s v="Nov-2023"/>
    <x v="0"/>
    <x v="0"/>
    <x v="1"/>
    <x v="3"/>
    <s v="CC-100"/>
    <n v="18405.8"/>
    <n v="21580.47"/>
    <n v="3174.6700000000019"/>
    <n v="0.17248204370361528"/>
    <s v="Overspend"/>
  </r>
  <r>
    <d v="2023-11-01T00:00:00"/>
    <x v="10"/>
    <x v="10"/>
    <s v="Nov-2023"/>
    <x v="0"/>
    <x v="0"/>
    <x v="2"/>
    <x v="0"/>
    <s v="CC-100"/>
    <n v="10362.32"/>
    <n v="11657.16"/>
    <n v="1294.8400000000001"/>
    <n v="0.12495657343143236"/>
    <s v="Overspend"/>
  </r>
  <r>
    <d v="2023-11-01T00:00:00"/>
    <x v="10"/>
    <x v="10"/>
    <s v="Nov-2023"/>
    <x v="0"/>
    <x v="0"/>
    <x v="2"/>
    <x v="1"/>
    <s v="CC-100"/>
    <n v="9680.2800000000007"/>
    <n v="11271.33"/>
    <n v="1591.0499999999993"/>
    <n v="0.16435991520906412"/>
    <s v="Overspend"/>
  </r>
  <r>
    <d v="2023-11-01T00:00:00"/>
    <x v="10"/>
    <x v="10"/>
    <s v="Nov-2023"/>
    <x v="0"/>
    <x v="0"/>
    <x v="2"/>
    <x v="2"/>
    <s v="CC-100"/>
    <n v="10128.18"/>
    <n v="12153.34"/>
    <n v="2025.1599999999999"/>
    <n v="0.19995300241504393"/>
    <s v="Overspend"/>
  </r>
  <r>
    <d v="2023-11-01T00:00:00"/>
    <x v="10"/>
    <x v="10"/>
    <s v="Nov-2023"/>
    <x v="0"/>
    <x v="0"/>
    <x v="2"/>
    <x v="3"/>
    <s v="CC-100"/>
    <n v="10894.23"/>
    <n v="12377.73"/>
    <n v="1483.5"/>
    <n v="0.13617300167152704"/>
    <s v="Overspend"/>
  </r>
  <r>
    <d v="2023-11-01T00:00:00"/>
    <x v="10"/>
    <x v="10"/>
    <s v="Nov-2023"/>
    <x v="0"/>
    <x v="0"/>
    <x v="3"/>
    <x v="0"/>
    <s v="CC-100"/>
    <n v="8123.91"/>
    <n v="9208.51"/>
    <n v="1084.6000000000004"/>
    <n v="0.13350714126572061"/>
    <s v="Overspend"/>
  </r>
  <r>
    <d v="2023-11-01T00:00:00"/>
    <x v="10"/>
    <x v="10"/>
    <s v="Nov-2023"/>
    <x v="0"/>
    <x v="0"/>
    <x v="3"/>
    <x v="1"/>
    <s v="CC-100"/>
    <n v="7770.63"/>
    <n v="9231.81"/>
    <n v="1461.1799999999994"/>
    <n v="0.18803880766424336"/>
    <s v="Overspend"/>
  </r>
  <r>
    <d v="2023-11-01T00:00:00"/>
    <x v="10"/>
    <x v="10"/>
    <s v="Nov-2023"/>
    <x v="0"/>
    <x v="0"/>
    <x v="3"/>
    <x v="2"/>
    <s v="CC-100"/>
    <n v="8312.3799999999992"/>
    <n v="9803.61"/>
    <n v="1491.2300000000014"/>
    <n v="0.17939868004109552"/>
    <s v="Overspend"/>
  </r>
  <r>
    <d v="2023-11-01T00:00:00"/>
    <x v="10"/>
    <x v="10"/>
    <s v="Nov-2023"/>
    <x v="0"/>
    <x v="0"/>
    <x v="3"/>
    <x v="3"/>
    <s v="CC-100"/>
    <n v="8747.09"/>
    <n v="9940.77"/>
    <n v="1193.6800000000003"/>
    <n v="0.13646595610654519"/>
    <s v="Overspend"/>
  </r>
  <r>
    <d v="2023-11-01T00:00:00"/>
    <x v="10"/>
    <x v="10"/>
    <s v="Nov-2023"/>
    <x v="0"/>
    <x v="0"/>
    <x v="4"/>
    <x v="0"/>
    <s v="CC-100"/>
    <n v="8409.0499999999993"/>
    <n v="9998.68"/>
    <n v="1589.630000000001"/>
    <n v="0.18903800072540908"/>
    <s v="Overspend"/>
  </r>
  <r>
    <d v="2023-11-01T00:00:00"/>
    <x v="10"/>
    <x v="10"/>
    <s v="Nov-2023"/>
    <x v="0"/>
    <x v="0"/>
    <x v="4"/>
    <x v="1"/>
    <s v="CC-100"/>
    <n v="8034.36"/>
    <n v="9438.61"/>
    <n v="1404.2500000000009"/>
    <n v="0.17478056746274762"/>
    <s v="Overspend"/>
  </r>
  <r>
    <d v="2023-11-01T00:00:00"/>
    <x v="10"/>
    <x v="10"/>
    <s v="Nov-2023"/>
    <x v="0"/>
    <x v="0"/>
    <x v="4"/>
    <x v="2"/>
    <s v="CC-100"/>
    <n v="8296.23"/>
    <n v="9584.82"/>
    <n v="1288.5900000000001"/>
    <n v="0.15532235726347995"/>
    <s v="Overspend"/>
  </r>
  <r>
    <d v="2023-11-01T00:00:00"/>
    <x v="10"/>
    <x v="10"/>
    <s v="Nov-2023"/>
    <x v="0"/>
    <x v="0"/>
    <x v="4"/>
    <x v="3"/>
    <s v="CC-100"/>
    <n v="8995.57"/>
    <n v="10092.49"/>
    <n v="1096.92"/>
    <n v="0.12194002158840409"/>
    <s v="Overspend"/>
  </r>
  <r>
    <d v="2023-11-01T00:00:00"/>
    <x v="10"/>
    <x v="10"/>
    <s v="Nov-2023"/>
    <x v="0"/>
    <x v="1"/>
    <x v="0"/>
    <x v="0"/>
    <s v="CC-200"/>
    <n v="49145.89"/>
    <n v="42447.01"/>
    <n v="-6698.8799999999974"/>
    <n v="-0.13630600646361268"/>
    <s v="Underspend"/>
  </r>
  <r>
    <d v="2023-11-01T00:00:00"/>
    <x v="10"/>
    <x v="10"/>
    <s v="Nov-2023"/>
    <x v="0"/>
    <x v="1"/>
    <x v="0"/>
    <x v="1"/>
    <s v="CC-200"/>
    <n v="47596.35"/>
    <n v="40658.879999999997"/>
    <n v="-6937.4700000000012"/>
    <n v="-0.14575634476173072"/>
    <s v="Underspend"/>
  </r>
  <r>
    <d v="2023-11-01T00:00:00"/>
    <x v="10"/>
    <x v="10"/>
    <s v="Nov-2023"/>
    <x v="0"/>
    <x v="1"/>
    <x v="0"/>
    <x v="2"/>
    <s v="CC-200"/>
    <n v="48823.56"/>
    <n v="41972.61"/>
    <n v="-6850.9499999999971"/>
    <n v="-0.14032057473891699"/>
    <s v="Underspend"/>
  </r>
  <r>
    <d v="2023-11-01T00:00:00"/>
    <x v="10"/>
    <x v="10"/>
    <s v="Nov-2023"/>
    <x v="0"/>
    <x v="1"/>
    <x v="0"/>
    <x v="3"/>
    <s v="CC-200"/>
    <n v="53498.77"/>
    <n v="46989.56"/>
    <n v="-6509.2099999999991"/>
    <n v="-0.12167027391470868"/>
    <s v="Underspend"/>
  </r>
  <r>
    <d v="2023-11-01T00:00:00"/>
    <x v="10"/>
    <x v="10"/>
    <s v="Nov-2023"/>
    <x v="0"/>
    <x v="1"/>
    <x v="1"/>
    <x v="0"/>
    <s v="CC-200"/>
    <n v="27041.08"/>
    <n v="23145.02"/>
    <n v="-3896.0600000000013"/>
    <n v="-0.14407930452481932"/>
    <s v="Underspend"/>
  </r>
  <r>
    <d v="2023-11-01T00:00:00"/>
    <x v="10"/>
    <x v="10"/>
    <s v="Nov-2023"/>
    <x v="0"/>
    <x v="1"/>
    <x v="1"/>
    <x v="1"/>
    <s v="CC-200"/>
    <n v="26776.69"/>
    <n v="23677.16"/>
    <n v="-3099.5299999999988"/>
    <n v="-0.11575478522550767"/>
    <s v="Underspend"/>
  </r>
  <r>
    <d v="2023-11-01T00:00:00"/>
    <x v="10"/>
    <x v="10"/>
    <s v="Nov-2023"/>
    <x v="0"/>
    <x v="1"/>
    <x v="1"/>
    <x v="2"/>
    <s v="CC-200"/>
    <n v="27348.79"/>
    <n v="23667.91"/>
    <n v="-3680.880000000001"/>
    <n v="-0.13459023232837727"/>
    <s v="Underspend"/>
  </r>
  <r>
    <d v="2023-11-01T00:00:00"/>
    <x v="10"/>
    <x v="10"/>
    <s v="Nov-2023"/>
    <x v="0"/>
    <x v="1"/>
    <x v="1"/>
    <x v="3"/>
    <s v="CC-200"/>
    <n v="28220.240000000002"/>
    <n v="25171"/>
    <n v="-3049.2400000000016"/>
    <n v="-0.10805152613868632"/>
    <s v="Underspend"/>
  </r>
  <r>
    <d v="2023-11-01T00:00:00"/>
    <x v="10"/>
    <x v="10"/>
    <s v="Nov-2023"/>
    <x v="0"/>
    <x v="1"/>
    <x v="2"/>
    <x v="0"/>
    <s v="CC-200"/>
    <n v="10960.04"/>
    <n v="9711.93"/>
    <n v="-1248.1100000000006"/>
    <n v="-0.11387823402104376"/>
    <s v="Underspend"/>
  </r>
  <r>
    <d v="2023-11-01T00:00:00"/>
    <x v="10"/>
    <x v="10"/>
    <s v="Nov-2023"/>
    <x v="0"/>
    <x v="1"/>
    <x v="2"/>
    <x v="1"/>
    <s v="CC-200"/>
    <n v="10357.25"/>
    <n v="9189.73"/>
    <n v="-1167.5200000000004"/>
    <n v="-0.11272490284583267"/>
    <s v="Underspend"/>
  </r>
  <r>
    <d v="2023-11-01T00:00:00"/>
    <x v="10"/>
    <x v="10"/>
    <s v="Nov-2023"/>
    <x v="0"/>
    <x v="1"/>
    <x v="2"/>
    <x v="2"/>
    <s v="CC-200"/>
    <n v="10123.49"/>
    <n v="8881.89"/>
    <n v="-1241.6000000000004"/>
    <n v="-0.12264545132162924"/>
    <s v="Underspend"/>
  </r>
  <r>
    <d v="2023-11-01T00:00:00"/>
    <x v="10"/>
    <x v="10"/>
    <s v="Nov-2023"/>
    <x v="0"/>
    <x v="1"/>
    <x v="2"/>
    <x v="3"/>
    <s v="CC-200"/>
    <n v="10914.52"/>
    <n v="9347.36"/>
    <n v="-1567.1599999999999"/>
    <n v="-0.1435848759267471"/>
    <s v="Underspend"/>
  </r>
  <r>
    <d v="2023-11-01T00:00:00"/>
    <x v="10"/>
    <x v="10"/>
    <s v="Nov-2023"/>
    <x v="0"/>
    <x v="1"/>
    <x v="3"/>
    <x v="0"/>
    <s v="CC-200"/>
    <n v="8552.1"/>
    <n v="7354.31"/>
    <n v="-1197.79"/>
    <n v="-0.14005799745091849"/>
    <s v="Underspend"/>
  </r>
  <r>
    <d v="2023-11-01T00:00:00"/>
    <x v="10"/>
    <x v="10"/>
    <s v="Nov-2023"/>
    <x v="0"/>
    <x v="1"/>
    <x v="3"/>
    <x v="1"/>
    <s v="CC-200"/>
    <n v="8258.16"/>
    <n v="7493.97"/>
    <n v="-764.1899999999996"/>
    <n v="-9.253756284692953E-2"/>
    <s v="Underspend"/>
  </r>
  <r>
    <d v="2023-11-01T00:00:00"/>
    <x v="10"/>
    <x v="10"/>
    <s v="Nov-2023"/>
    <x v="0"/>
    <x v="1"/>
    <x v="3"/>
    <x v="2"/>
    <s v="CC-200"/>
    <n v="8340"/>
    <n v="7402.02"/>
    <n v="-937.97999999999956"/>
    <n v="-0.11246762589928053"/>
    <s v="Underspend"/>
  </r>
  <r>
    <d v="2023-11-01T00:00:00"/>
    <x v="10"/>
    <x v="10"/>
    <s v="Nov-2023"/>
    <x v="0"/>
    <x v="1"/>
    <x v="3"/>
    <x v="3"/>
    <s v="CC-200"/>
    <n v="9223.69"/>
    <n v="7835.39"/>
    <n v="-1388.3000000000002"/>
    <n v="-0.1505145988210792"/>
    <s v="Underspend"/>
  </r>
  <r>
    <d v="2023-11-01T00:00:00"/>
    <x v="10"/>
    <x v="10"/>
    <s v="Nov-2023"/>
    <x v="0"/>
    <x v="1"/>
    <x v="4"/>
    <x v="0"/>
    <s v="CC-200"/>
    <n v="7333.26"/>
    <n v="6517.6"/>
    <n v="-815.65999999999985"/>
    <n v="-0.11122747591112273"/>
    <s v="Underspend"/>
  </r>
  <r>
    <d v="2023-11-01T00:00:00"/>
    <x v="10"/>
    <x v="10"/>
    <s v="Nov-2023"/>
    <x v="0"/>
    <x v="1"/>
    <x v="4"/>
    <x v="1"/>
    <s v="CC-200"/>
    <n v="7233.01"/>
    <n v="6467.18"/>
    <n v="-765.82999999999993"/>
    <n v="-0.10587984808537523"/>
    <s v="Underspend"/>
  </r>
  <r>
    <d v="2023-11-01T00:00:00"/>
    <x v="10"/>
    <x v="10"/>
    <s v="Nov-2023"/>
    <x v="0"/>
    <x v="1"/>
    <x v="4"/>
    <x v="2"/>
    <s v="CC-200"/>
    <n v="7383.26"/>
    <n v="6336.78"/>
    <n v="-1046.4800000000005"/>
    <n v="-0.14173684795063432"/>
    <s v="Underspend"/>
  </r>
  <r>
    <d v="2023-11-01T00:00:00"/>
    <x v="10"/>
    <x v="10"/>
    <s v="Nov-2023"/>
    <x v="0"/>
    <x v="1"/>
    <x v="4"/>
    <x v="3"/>
    <s v="CC-200"/>
    <n v="7753.14"/>
    <n v="6592.81"/>
    <n v="-1160.33"/>
    <n v="-0.14965936381904621"/>
    <s v="Underspend"/>
  </r>
  <r>
    <d v="2023-11-01T00:00:00"/>
    <x v="10"/>
    <x v="10"/>
    <s v="Nov-2023"/>
    <x v="0"/>
    <x v="2"/>
    <x v="0"/>
    <x v="0"/>
    <s v="CC-300"/>
    <n v="44951.6"/>
    <n v="44289.58"/>
    <n v="-662.0199999999968"/>
    <n v="-1.472739568780637E-2"/>
    <s v="On Budget"/>
  </r>
  <r>
    <d v="2023-11-01T00:00:00"/>
    <x v="10"/>
    <x v="10"/>
    <s v="Nov-2023"/>
    <x v="0"/>
    <x v="2"/>
    <x v="0"/>
    <x v="1"/>
    <s v="CC-300"/>
    <n v="40860.93"/>
    <n v="39442.86"/>
    <n v="-1418.0699999999997"/>
    <n v="-3.4704790125922237E-2"/>
    <s v="On Budget"/>
  </r>
  <r>
    <d v="2023-11-01T00:00:00"/>
    <x v="10"/>
    <x v="10"/>
    <s v="Nov-2023"/>
    <x v="0"/>
    <x v="2"/>
    <x v="0"/>
    <x v="2"/>
    <s v="CC-300"/>
    <n v="43106.47"/>
    <n v="43733.87"/>
    <n v="627.40000000000146"/>
    <n v="1.4554659660139219E-2"/>
    <s v="On Budget"/>
  </r>
  <r>
    <d v="2023-11-01T00:00:00"/>
    <x v="10"/>
    <x v="10"/>
    <s v="Nov-2023"/>
    <x v="0"/>
    <x v="2"/>
    <x v="0"/>
    <x v="3"/>
    <s v="CC-300"/>
    <n v="44926.19"/>
    <n v="43686.77"/>
    <n v="-1239.4200000000055"/>
    <n v="-2.7587916981164116E-2"/>
    <s v="On Budget"/>
  </r>
  <r>
    <d v="2023-11-01T00:00:00"/>
    <x v="10"/>
    <x v="10"/>
    <s v="Nov-2023"/>
    <x v="0"/>
    <x v="2"/>
    <x v="1"/>
    <x v="0"/>
    <s v="CC-300"/>
    <n v="14946.76"/>
    <n v="15170.79"/>
    <n v="224.03000000000065"/>
    <n v="1.4988532631821254E-2"/>
    <s v="On Budget"/>
  </r>
  <r>
    <d v="2023-11-01T00:00:00"/>
    <x v="10"/>
    <x v="10"/>
    <s v="Nov-2023"/>
    <x v="0"/>
    <x v="2"/>
    <x v="1"/>
    <x v="1"/>
    <s v="CC-300"/>
    <n v="14080.53"/>
    <n v="14012.32"/>
    <n v="-68.210000000000946"/>
    <n v="-4.8442778787446883E-3"/>
    <s v="On Budget"/>
  </r>
  <r>
    <d v="2023-11-01T00:00:00"/>
    <x v="10"/>
    <x v="10"/>
    <s v="Nov-2023"/>
    <x v="0"/>
    <x v="2"/>
    <x v="1"/>
    <x v="2"/>
    <s v="CC-300"/>
    <n v="14165.01"/>
    <n v="14608"/>
    <n v="442.98999999999978"/>
    <n v="3.1273539517444729E-2"/>
    <s v="On Budget"/>
  </r>
  <r>
    <d v="2023-11-01T00:00:00"/>
    <x v="10"/>
    <x v="10"/>
    <s v="Nov-2023"/>
    <x v="0"/>
    <x v="2"/>
    <x v="1"/>
    <x v="3"/>
    <s v="CC-300"/>
    <n v="15870.17"/>
    <n v="16315.54"/>
    <n v="445.3700000000008"/>
    <n v="2.8063341476493371E-2"/>
    <s v="On Budget"/>
  </r>
  <r>
    <d v="2023-11-01T00:00:00"/>
    <x v="10"/>
    <x v="10"/>
    <s v="Nov-2023"/>
    <x v="0"/>
    <x v="2"/>
    <x v="2"/>
    <x v="0"/>
    <s v="CC-300"/>
    <n v="8596.02"/>
    <n v="8468.15"/>
    <n v="-127.8700000000008"/>
    <n v="-1.4875488889044091E-2"/>
    <s v="On Budget"/>
  </r>
  <r>
    <d v="2023-11-01T00:00:00"/>
    <x v="10"/>
    <x v="10"/>
    <s v="Nov-2023"/>
    <x v="0"/>
    <x v="2"/>
    <x v="2"/>
    <x v="1"/>
    <s v="CC-300"/>
    <n v="7764.57"/>
    <n v="7521.27"/>
    <n v="-243.29999999999927"/>
    <n v="-3.1334639265277957E-2"/>
    <s v="On Budget"/>
  </r>
  <r>
    <d v="2023-11-01T00:00:00"/>
    <x v="10"/>
    <x v="10"/>
    <s v="Nov-2023"/>
    <x v="0"/>
    <x v="2"/>
    <x v="2"/>
    <x v="2"/>
    <s v="CC-300"/>
    <n v="8064.19"/>
    <n v="8209.02"/>
    <n v="144.83000000000084"/>
    <n v="1.7959646288095994E-2"/>
    <s v="On Budget"/>
  </r>
  <r>
    <d v="2023-11-01T00:00:00"/>
    <x v="10"/>
    <x v="10"/>
    <s v="Nov-2023"/>
    <x v="0"/>
    <x v="2"/>
    <x v="2"/>
    <x v="3"/>
    <s v="CC-300"/>
    <n v="8753.27"/>
    <n v="8610.06"/>
    <n v="-143.21000000000095"/>
    <n v="-1.6360742899510804E-2"/>
    <s v="On Budget"/>
  </r>
  <r>
    <d v="2023-11-01T00:00:00"/>
    <x v="10"/>
    <x v="10"/>
    <s v="Nov-2023"/>
    <x v="0"/>
    <x v="2"/>
    <x v="3"/>
    <x v="0"/>
    <s v="CC-300"/>
    <n v="6784.6"/>
    <n v="6557.45"/>
    <n v="-227.15000000000055"/>
    <n v="-3.3480234649058242E-2"/>
    <s v="On Budget"/>
  </r>
  <r>
    <d v="2023-11-01T00:00:00"/>
    <x v="10"/>
    <x v="10"/>
    <s v="Nov-2023"/>
    <x v="0"/>
    <x v="2"/>
    <x v="3"/>
    <x v="1"/>
    <s v="CC-300"/>
    <n v="6445.79"/>
    <n v="6398.14"/>
    <n v="-47.649999999999636"/>
    <n v="-7.3924220305035745E-3"/>
    <s v="On Budget"/>
  </r>
  <r>
    <d v="2023-11-01T00:00:00"/>
    <x v="10"/>
    <x v="10"/>
    <s v="Nov-2023"/>
    <x v="0"/>
    <x v="2"/>
    <x v="3"/>
    <x v="2"/>
    <s v="CC-300"/>
    <n v="6748.51"/>
    <n v="6778.4"/>
    <n v="29.889999999999418"/>
    <n v="4.4291258366660818E-3"/>
    <s v="On Budget"/>
  </r>
  <r>
    <d v="2023-11-01T00:00:00"/>
    <x v="10"/>
    <x v="10"/>
    <s v="Nov-2023"/>
    <x v="0"/>
    <x v="2"/>
    <x v="3"/>
    <x v="3"/>
    <s v="CC-300"/>
    <n v="7241.34"/>
    <n v="7273.65"/>
    <n v="32.309999999999491"/>
    <n v="4.4618813644987654E-3"/>
    <s v="On Budget"/>
  </r>
  <r>
    <d v="2023-11-01T00:00:00"/>
    <x v="10"/>
    <x v="10"/>
    <s v="Nov-2023"/>
    <x v="0"/>
    <x v="2"/>
    <x v="4"/>
    <x v="0"/>
    <s v="CC-300"/>
    <n v="5918.61"/>
    <n v="5905.58"/>
    <n v="-13.029999999999745"/>
    <n v="-2.2015304269076262E-3"/>
    <s v="On Budget"/>
  </r>
  <r>
    <d v="2023-11-01T00:00:00"/>
    <x v="10"/>
    <x v="10"/>
    <s v="Nov-2023"/>
    <x v="0"/>
    <x v="2"/>
    <x v="4"/>
    <x v="1"/>
    <s v="CC-300"/>
    <n v="5451.8"/>
    <n v="5414.12"/>
    <n v="-37.680000000000291"/>
    <n v="-6.9114787776514714E-3"/>
    <s v="On Budget"/>
  </r>
  <r>
    <d v="2023-11-01T00:00:00"/>
    <x v="10"/>
    <x v="10"/>
    <s v="Nov-2023"/>
    <x v="0"/>
    <x v="2"/>
    <x v="4"/>
    <x v="2"/>
    <s v="CC-300"/>
    <n v="5580.87"/>
    <n v="5507.4"/>
    <n v="-73.470000000000255"/>
    <n v="-1.3164614119304025E-2"/>
    <s v="On Budget"/>
  </r>
  <r>
    <d v="2023-11-01T00:00:00"/>
    <x v="10"/>
    <x v="10"/>
    <s v="Nov-2023"/>
    <x v="0"/>
    <x v="2"/>
    <x v="4"/>
    <x v="3"/>
    <s v="CC-300"/>
    <n v="6015.64"/>
    <n v="5942.16"/>
    <n v="-73.480000000000473"/>
    <n v="-1.2214826685107564E-2"/>
    <s v="On Budget"/>
  </r>
  <r>
    <d v="2023-11-01T00:00:00"/>
    <x v="10"/>
    <x v="10"/>
    <s v="Nov-2023"/>
    <x v="0"/>
    <x v="3"/>
    <x v="0"/>
    <x v="0"/>
    <s v="CC-400"/>
    <n v="54408.14"/>
    <n v="57067"/>
    <n v="2658.8600000000006"/>
    <n v="4.8868790589055251E-2"/>
    <s v="On Budget"/>
  </r>
  <r>
    <d v="2023-11-01T00:00:00"/>
    <x v="10"/>
    <x v="10"/>
    <s v="Nov-2023"/>
    <x v="0"/>
    <x v="3"/>
    <x v="0"/>
    <x v="1"/>
    <s v="CC-400"/>
    <n v="49951.93"/>
    <n v="44844.61"/>
    <n v="-5107.32"/>
    <n v="-0.10224469805270786"/>
    <s v="Underspend"/>
  </r>
  <r>
    <d v="2023-11-01T00:00:00"/>
    <x v="10"/>
    <x v="10"/>
    <s v="Nov-2023"/>
    <x v="0"/>
    <x v="3"/>
    <x v="0"/>
    <x v="2"/>
    <s v="CC-400"/>
    <n v="51112.54"/>
    <n v="57505.88"/>
    <n v="6393.3399999999965"/>
    <n v="0.1250835900544171"/>
    <s v="Overspend"/>
  </r>
  <r>
    <d v="2023-11-01T00:00:00"/>
    <x v="10"/>
    <x v="10"/>
    <s v="Nov-2023"/>
    <x v="0"/>
    <x v="3"/>
    <x v="0"/>
    <x v="3"/>
    <s v="CC-400"/>
    <n v="55111.18"/>
    <n v="64594.51"/>
    <n v="9483.3300000000017"/>
    <n v="0.17207633732393321"/>
    <s v="Overspend"/>
  </r>
  <r>
    <d v="2023-11-01T00:00:00"/>
    <x v="10"/>
    <x v="10"/>
    <s v="Nov-2023"/>
    <x v="0"/>
    <x v="3"/>
    <x v="1"/>
    <x v="0"/>
    <s v="CC-400"/>
    <n v="19964.96"/>
    <n v="20106.03"/>
    <n v="141.06999999999971"/>
    <n v="7.0658794207451312E-3"/>
    <s v="On Budget"/>
  </r>
  <r>
    <d v="2023-11-01T00:00:00"/>
    <x v="10"/>
    <x v="10"/>
    <s v="Nov-2023"/>
    <x v="0"/>
    <x v="3"/>
    <x v="1"/>
    <x v="1"/>
    <s v="CC-400"/>
    <n v="19611.830000000002"/>
    <n v="17435.810000000001"/>
    <n v="-2176.0200000000004"/>
    <n v="-0.1109544596297235"/>
    <s v="Underspend"/>
  </r>
  <r>
    <d v="2023-11-01T00:00:00"/>
    <x v="10"/>
    <x v="10"/>
    <s v="Nov-2023"/>
    <x v="0"/>
    <x v="3"/>
    <x v="1"/>
    <x v="2"/>
    <s v="CC-400"/>
    <n v="19730.61"/>
    <n v="17094.61"/>
    <n v="-2636"/>
    <n v="-0.13359951871736353"/>
    <s v="Underspend"/>
  </r>
  <r>
    <d v="2023-11-01T00:00:00"/>
    <x v="10"/>
    <x v="10"/>
    <s v="Nov-2023"/>
    <x v="0"/>
    <x v="3"/>
    <x v="1"/>
    <x v="3"/>
    <s v="CC-400"/>
    <n v="21276.79"/>
    <n v="18778.13"/>
    <n v="-2498.66"/>
    <n v="-0.11743594780979648"/>
    <s v="Underspend"/>
  </r>
  <r>
    <d v="2023-11-01T00:00:00"/>
    <x v="10"/>
    <x v="10"/>
    <s v="Nov-2023"/>
    <x v="0"/>
    <x v="3"/>
    <x v="2"/>
    <x v="0"/>
    <s v="CC-400"/>
    <n v="11276.59"/>
    <n v="10455.41"/>
    <n v="-821.18000000000029"/>
    <n v="-7.2821659739336117E-2"/>
    <s v="Underspend"/>
  </r>
  <r>
    <d v="2023-11-01T00:00:00"/>
    <x v="10"/>
    <x v="10"/>
    <s v="Nov-2023"/>
    <x v="0"/>
    <x v="3"/>
    <x v="2"/>
    <x v="1"/>
    <s v="CC-400"/>
    <n v="11005.27"/>
    <n v="12723.34"/>
    <n v="1718.0699999999997"/>
    <n v="0.15611338931257476"/>
    <s v="Overspend"/>
  </r>
  <r>
    <d v="2023-11-01T00:00:00"/>
    <x v="10"/>
    <x v="10"/>
    <s v="Nov-2023"/>
    <x v="0"/>
    <x v="3"/>
    <x v="2"/>
    <x v="2"/>
    <s v="CC-400"/>
    <n v="11360.05"/>
    <n v="11965.54"/>
    <n v="605.4900000000016"/>
    <n v="5.3299941461525405E-2"/>
    <s v="Overspend"/>
  </r>
  <r>
    <d v="2023-11-01T00:00:00"/>
    <x v="10"/>
    <x v="10"/>
    <s v="Nov-2023"/>
    <x v="0"/>
    <x v="3"/>
    <x v="2"/>
    <x v="3"/>
    <s v="CC-400"/>
    <n v="11978"/>
    <n v="13083.09"/>
    <n v="1105.0900000000001"/>
    <n v="9.225997662381033E-2"/>
    <s v="Overspend"/>
  </r>
  <r>
    <d v="2023-11-01T00:00:00"/>
    <x v="10"/>
    <x v="10"/>
    <s v="Nov-2023"/>
    <x v="0"/>
    <x v="3"/>
    <x v="3"/>
    <x v="0"/>
    <s v="CC-400"/>
    <n v="12541.49"/>
    <n v="12880.65"/>
    <n v="339.15999999999985"/>
    <n v="2.7043038745794945E-2"/>
    <s v="On Budget"/>
  </r>
  <r>
    <d v="2023-11-01T00:00:00"/>
    <x v="10"/>
    <x v="10"/>
    <s v="Nov-2023"/>
    <x v="0"/>
    <x v="3"/>
    <x v="3"/>
    <x v="1"/>
    <s v="CC-400"/>
    <n v="11661.63"/>
    <n v="12392.57"/>
    <n v="730.94000000000051"/>
    <n v="6.2679059445377758E-2"/>
    <s v="Overspend"/>
  </r>
  <r>
    <d v="2023-11-01T00:00:00"/>
    <x v="10"/>
    <x v="10"/>
    <s v="Nov-2023"/>
    <x v="0"/>
    <x v="3"/>
    <x v="3"/>
    <x v="2"/>
    <s v="CC-400"/>
    <n v="12024.22"/>
    <n v="10637.2"/>
    <n v="-1387.0199999999986"/>
    <n v="-0.11535218084832102"/>
    <s v="Underspend"/>
  </r>
  <r>
    <d v="2023-11-01T00:00:00"/>
    <x v="10"/>
    <x v="10"/>
    <s v="Nov-2023"/>
    <x v="0"/>
    <x v="3"/>
    <x v="3"/>
    <x v="3"/>
    <s v="CC-400"/>
    <n v="13150.03"/>
    <n v="13931.63"/>
    <n v="781.59999999999854"/>
    <n v="5.9437126759406517E-2"/>
    <s v="Overspend"/>
  </r>
  <r>
    <d v="2023-11-01T00:00:00"/>
    <x v="10"/>
    <x v="10"/>
    <s v="Nov-2023"/>
    <x v="0"/>
    <x v="3"/>
    <x v="4"/>
    <x v="0"/>
    <s v="CC-400"/>
    <n v="7774.76"/>
    <n v="7741.63"/>
    <n v="-33.130000000000109"/>
    <n v="-4.2612247837875523E-3"/>
    <s v="On Budget"/>
  </r>
  <r>
    <d v="2023-11-01T00:00:00"/>
    <x v="10"/>
    <x v="10"/>
    <s v="Nov-2023"/>
    <x v="0"/>
    <x v="3"/>
    <x v="4"/>
    <x v="1"/>
    <s v="CC-400"/>
    <n v="7684.14"/>
    <n v="8030.79"/>
    <n v="346.64999999999964"/>
    <n v="4.5112400346688064E-2"/>
    <s v="On Budget"/>
  </r>
  <r>
    <d v="2023-11-01T00:00:00"/>
    <x v="10"/>
    <x v="10"/>
    <s v="Nov-2023"/>
    <x v="0"/>
    <x v="3"/>
    <x v="4"/>
    <x v="2"/>
    <s v="CC-400"/>
    <n v="7732.56"/>
    <n v="9087.3700000000008"/>
    <n v="1354.8100000000004"/>
    <n v="0.17520846912277438"/>
    <s v="Overspend"/>
  </r>
  <r>
    <d v="2023-11-01T00:00:00"/>
    <x v="10"/>
    <x v="10"/>
    <s v="Nov-2023"/>
    <x v="0"/>
    <x v="3"/>
    <x v="4"/>
    <x v="3"/>
    <s v="CC-400"/>
    <n v="8278.7999999999993"/>
    <n v="8309.8799999999992"/>
    <n v="31.079999999999927"/>
    <n v="3.7541672706189219E-3"/>
    <s v="On Budget"/>
  </r>
  <r>
    <d v="2023-11-01T00:00:00"/>
    <x v="10"/>
    <x v="10"/>
    <s v="Nov-2023"/>
    <x v="0"/>
    <x v="4"/>
    <x v="0"/>
    <x v="0"/>
    <s v="CC-500"/>
    <n v="43639.4"/>
    <n v="42641.120000000003"/>
    <n v="-998.27999999999884"/>
    <n v="-2.2875658235447755E-2"/>
    <s v="On Budget"/>
  </r>
  <r>
    <d v="2023-11-01T00:00:00"/>
    <x v="10"/>
    <x v="10"/>
    <s v="Nov-2023"/>
    <x v="0"/>
    <x v="4"/>
    <x v="0"/>
    <x v="1"/>
    <s v="CC-500"/>
    <n v="41659.07"/>
    <n v="42184.74"/>
    <n v="525.66999999999825"/>
    <n v="1.2618380583147877E-2"/>
    <s v="On Budget"/>
  </r>
  <r>
    <d v="2023-11-01T00:00:00"/>
    <x v="10"/>
    <x v="10"/>
    <s v="Nov-2023"/>
    <x v="0"/>
    <x v="4"/>
    <x v="0"/>
    <x v="2"/>
    <s v="CC-500"/>
    <n v="40187.61"/>
    <n v="38356.980000000003"/>
    <n v="-1830.6299999999974"/>
    <n v="-4.5552099266415631E-2"/>
    <s v="On Budget"/>
  </r>
  <r>
    <d v="2023-11-01T00:00:00"/>
    <x v="10"/>
    <x v="10"/>
    <s v="Nov-2023"/>
    <x v="0"/>
    <x v="4"/>
    <x v="0"/>
    <x v="3"/>
    <s v="CC-500"/>
    <n v="43026.39"/>
    <n v="45283.37"/>
    <n v="2256.9800000000032"/>
    <n v="5.2455713807270453E-2"/>
    <s v="Overspend"/>
  </r>
  <r>
    <d v="2023-11-01T00:00:00"/>
    <x v="10"/>
    <x v="10"/>
    <s v="Nov-2023"/>
    <x v="0"/>
    <x v="4"/>
    <x v="1"/>
    <x v="0"/>
    <s v="CC-500"/>
    <n v="16239.31"/>
    <n v="16360.35"/>
    <n v="121.04000000000087"/>
    <n v="7.4535186531940632E-3"/>
    <s v="On Budget"/>
  </r>
  <r>
    <d v="2023-11-01T00:00:00"/>
    <x v="10"/>
    <x v="10"/>
    <s v="Nov-2023"/>
    <x v="0"/>
    <x v="4"/>
    <x v="1"/>
    <x v="1"/>
    <s v="CC-500"/>
    <n v="15005.3"/>
    <n v="15239.27"/>
    <n v="233.97000000000116"/>
    <n v="1.5592490653302577E-2"/>
    <s v="On Budget"/>
  </r>
  <r>
    <d v="2023-11-01T00:00:00"/>
    <x v="10"/>
    <x v="10"/>
    <s v="Nov-2023"/>
    <x v="0"/>
    <x v="4"/>
    <x v="1"/>
    <x v="2"/>
    <s v="CC-500"/>
    <n v="15331.9"/>
    <n v="14895.79"/>
    <n v="-436.10999999999876"/>
    <n v="-2.8444615474924748E-2"/>
    <s v="On Budget"/>
  </r>
  <r>
    <d v="2023-11-01T00:00:00"/>
    <x v="10"/>
    <x v="10"/>
    <s v="Nov-2023"/>
    <x v="0"/>
    <x v="4"/>
    <x v="1"/>
    <x v="3"/>
    <s v="CC-500"/>
    <n v="16756.89"/>
    <n v="17207.990000000002"/>
    <n v="451.10000000000218"/>
    <n v="2.6920269811403084E-2"/>
    <s v="On Budget"/>
  </r>
  <r>
    <d v="2023-11-01T00:00:00"/>
    <x v="10"/>
    <x v="10"/>
    <s v="Nov-2023"/>
    <x v="0"/>
    <x v="4"/>
    <x v="2"/>
    <x v="0"/>
    <s v="CC-500"/>
    <n v="6874.84"/>
    <n v="7100.01"/>
    <n v="225.17000000000007"/>
    <n v="3.2752762246103191E-2"/>
    <s v="On Budget"/>
  </r>
  <r>
    <d v="2023-11-01T00:00:00"/>
    <x v="10"/>
    <x v="10"/>
    <s v="Nov-2023"/>
    <x v="0"/>
    <x v="4"/>
    <x v="2"/>
    <x v="1"/>
    <s v="CC-500"/>
    <n v="6636.45"/>
    <n v="6603.96"/>
    <n v="-32.489999999999782"/>
    <n v="-4.8956897136269821E-3"/>
    <s v="On Budget"/>
  </r>
  <r>
    <d v="2023-11-01T00:00:00"/>
    <x v="10"/>
    <x v="10"/>
    <s v="Nov-2023"/>
    <x v="0"/>
    <x v="4"/>
    <x v="2"/>
    <x v="2"/>
    <s v="CC-500"/>
    <n v="6809.85"/>
    <n v="6593.53"/>
    <n v="-216.32000000000062"/>
    <n v="-3.1765751081154592E-2"/>
    <s v="On Budget"/>
  </r>
  <r>
    <d v="2023-11-01T00:00:00"/>
    <x v="10"/>
    <x v="10"/>
    <s v="Nov-2023"/>
    <x v="0"/>
    <x v="4"/>
    <x v="2"/>
    <x v="3"/>
    <s v="CC-500"/>
    <n v="6987.82"/>
    <n v="6874.17"/>
    <n v="-113.64999999999964"/>
    <n v="-1.6264013669499162E-2"/>
    <s v="On Budget"/>
  </r>
  <r>
    <d v="2023-11-01T00:00:00"/>
    <x v="10"/>
    <x v="10"/>
    <s v="Nov-2023"/>
    <x v="0"/>
    <x v="4"/>
    <x v="3"/>
    <x v="0"/>
    <s v="CC-500"/>
    <n v="7450.39"/>
    <n v="7703.71"/>
    <n v="253.31999999999971"/>
    <n v="3.4000904650628987E-2"/>
    <s v="On Budget"/>
  </r>
  <r>
    <d v="2023-11-01T00:00:00"/>
    <x v="10"/>
    <x v="10"/>
    <s v="Nov-2023"/>
    <x v="0"/>
    <x v="4"/>
    <x v="3"/>
    <x v="1"/>
    <s v="CC-500"/>
    <n v="7087.06"/>
    <n v="7018.64"/>
    <n v="-68.420000000000073"/>
    <n v="-9.6542148648381797E-3"/>
    <s v="On Budget"/>
  </r>
  <r>
    <d v="2023-11-01T00:00:00"/>
    <x v="10"/>
    <x v="10"/>
    <s v="Nov-2023"/>
    <x v="0"/>
    <x v="4"/>
    <x v="3"/>
    <x v="2"/>
    <s v="CC-500"/>
    <n v="7074.31"/>
    <n v="6794.23"/>
    <n v="-280.08000000000084"/>
    <n v="-3.9591140337361642E-2"/>
    <s v="On Budget"/>
  </r>
  <r>
    <d v="2023-11-01T00:00:00"/>
    <x v="10"/>
    <x v="10"/>
    <s v="Nov-2023"/>
    <x v="0"/>
    <x v="4"/>
    <x v="3"/>
    <x v="3"/>
    <s v="CC-500"/>
    <n v="7807.99"/>
    <n v="8053.15"/>
    <n v="245.15999999999985"/>
    <n v="3.1398605787148787E-2"/>
    <s v="On Budget"/>
  </r>
  <r>
    <d v="2023-11-01T00:00:00"/>
    <x v="10"/>
    <x v="10"/>
    <s v="Nov-2023"/>
    <x v="0"/>
    <x v="4"/>
    <x v="4"/>
    <x v="0"/>
    <s v="CC-500"/>
    <n v="6481.38"/>
    <n v="6351.94"/>
    <n v="-129.44000000000051"/>
    <n v="-1.9971055546812638E-2"/>
    <s v="On Budget"/>
  </r>
  <r>
    <d v="2023-11-01T00:00:00"/>
    <x v="10"/>
    <x v="10"/>
    <s v="Nov-2023"/>
    <x v="0"/>
    <x v="4"/>
    <x v="4"/>
    <x v="1"/>
    <s v="CC-500"/>
    <n v="5927.31"/>
    <n v="5634.55"/>
    <n v="-292.76000000000022"/>
    <n v="-4.9391713947811097E-2"/>
    <s v="On Budget"/>
  </r>
  <r>
    <d v="2023-11-01T00:00:00"/>
    <x v="10"/>
    <x v="10"/>
    <s v="Nov-2023"/>
    <x v="0"/>
    <x v="4"/>
    <x v="4"/>
    <x v="2"/>
    <s v="CC-500"/>
    <n v="6189.21"/>
    <n v="6107.68"/>
    <n v="-81.529999999999745"/>
    <n v="-1.3172925139072636E-2"/>
    <s v="On Budget"/>
  </r>
  <r>
    <d v="2023-11-01T00:00:00"/>
    <x v="10"/>
    <x v="10"/>
    <s v="Nov-2023"/>
    <x v="0"/>
    <x v="4"/>
    <x v="4"/>
    <x v="3"/>
    <s v="CC-500"/>
    <n v="6616.54"/>
    <n v="6756.76"/>
    <n v="140.22000000000025"/>
    <n v="2.1192345243888838E-2"/>
    <s v="On Budget"/>
  </r>
  <r>
    <d v="2023-12-01T00:00:00"/>
    <x v="11"/>
    <x v="11"/>
    <s v="Dec-2023"/>
    <x v="0"/>
    <x v="0"/>
    <x v="0"/>
    <x v="0"/>
    <s v="CC-100"/>
    <n v="47443.08"/>
    <n v="53921.61"/>
    <n v="6478.5299999999988"/>
    <n v="0.13655373976563071"/>
    <s v="Overspend"/>
  </r>
  <r>
    <d v="2023-12-01T00:00:00"/>
    <x v="11"/>
    <x v="11"/>
    <s v="Dec-2023"/>
    <x v="0"/>
    <x v="0"/>
    <x v="0"/>
    <x v="1"/>
    <s v="CC-100"/>
    <n v="45902.27"/>
    <n v="51760.79"/>
    <n v="5858.5200000000041"/>
    <n v="0.12763028930813236"/>
    <s v="Overspend"/>
  </r>
  <r>
    <d v="2023-12-01T00:00:00"/>
    <x v="11"/>
    <x v="11"/>
    <s v="Dec-2023"/>
    <x v="0"/>
    <x v="0"/>
    <x v="0"/>
    <x v="2"/>
    <s v="CC-100"/>
    <n v="47111.8"/>
    <n v="54472.53"/>
    <n v="7360.7299999999959"/>
    <n v="0.15623962574132161"/>
    <s v="Overspend"/>
  </r>
  <r>
    <d v="2023-12-01T00:00:00"/>
    <x v="11"/>
    <x v="11"/>
    <s v="Dec-2023"/>
    <x v="0"/>
    <x v="0"/>
    <x v="0"/>
    <x v="3"/>
    <s v="CC-100"/>
    <n v="49653.2"/>
    <n v="58503.46"/>
    <n v="8850.260000000002"/>
    <n v="0.17824148292557182"/>
    <s v="Overspend"/>
  </r>
  <r>
    <d v="2023-12-01T00:00:00"/>
    <x v="11"/>
    <x v="11"/>
    <s v="Dec-2023"/>
    <x v="0"/>
    <x v="0"/>
    <x v="1"/>
    <x v="0"/>
    <s v="CC-100"/>
    <n v="18662.419999999998"/>
    <n v="20836.21"/>
    <n v="2173.7900000000009"/>
    <n v="0.1164795348084547"/>
    <s v="Overspend"/>
  </r>
  <r>
    <d v="2023-12-01T00:00:00"/>
    <x v="11"/>
    <x v="11"/>
    <s v="Dec-2023"/>
    <x v="0"/>
    <x v="0"/>
    <x v="1"/>
    <x v="1"/>
    <s v="CC-100"/>
    <n v="17307.05"/>
    <n v="19213.599999999999"/>
    <n v="1906.5499999999993"/>
    <n v="0.11016031039374125"/>
    <s v="Overspend"/>
  </r>
  <r>
    <d v="2023-12-01T00:00:00"/>
    <x v="11"/>
    <x v="11"/>
    <s v="Dec-2023"/>
    <x v="0"/>
    <x v="0"/>
    <x v="1"/>
    <x v="2"/>
    <s v="CC-100"/>
    <n v="17692.82"/>
    <n v="21060.26"/>
    <n v="3367.4399999999987"/>
    <n v="0.19032805397895863"/>
    <s v="Overspend"/>
  </r>
  <r>
    <d v="2023-12-01T00:00:00"/>
    <x v="11"/>
    <x v="11"/>
    <s v="Dec-2023"/>
    <x v="0"/>
    <x v="0"/>
    <x v="1"/>
    <x v="3"/>
    <s v="CC-100"/>
    <n v="19399.830000000002"/>
    <n v="23155.52"/>
    <n v="3755.6899999999987"/>
    <n v="0.19359396448319385"/>
    <s v="Overspend"/>
  </r>
  <r>
    <d v="2023-12-01T00:00:00"/>
    <x v="11"/>
    <x v="11"/>
    <s v="Dec-2023"/>
    <x v="0"/>
    <x v="0"/>
    <x v="2"/>
    <x v="0"/>
    <s v="CC-100"/>
    <n v="10095.209999999999"/>
    <n v="11808.06"/>
    <n v="1712.8500000000004"/>
    <n v="0.16966957596721619"/>
    <s v="Overspend"/>
  </r>
  <r>
    <d v="2023-12-01T00:00:00"/>
    <x v="11"/>
    <x v="11"/>
    <s v="Dec-2023"/>
    <x v="0"/>
    <x v="0"/>
    <x v="2"/>
    <x v="1"/>
    <s v="CC-100"/>
    <n v="10040.459999999999"/>
    <n v="11432.38"/>
    <n v="1391.92"/>
    <n v="0.1386310985751649"/>
    <s v="Overspend"/>
  </r>
  <r>
    <d v="2023-12-01T00:00:00"/>
    <x v="11"/>
    <x v="11"/>
    <s v="Dec-2023"/>
    <x v="0"/>
    <x v="0"/>
    <x v="2"/>
    <x v="2"/>
    <s v="CC-100"/>
    <n v="9762.6200000000008"/>
    <n v="11529.23"/>
    <n v="1766.6099999999988"/>
    <n v="0.18095654650083673"/>
    <s v="Overspend"/>
  </r>
  <r>
    <d v="2023-12-01T00:00:00"/>
    <x v="11"/>
    <x v="11"/>
    <s v="Dec-2023"/>
    <x v="0"/>
    <x v="0"/>
    <x v="2"/>
    <x v="3"/>
    <s v="CC-100"/>
    <n v="10375.57"/>
    <n v="12285.39"/>
    <n v="1909.8199999999997"/>
    <n v="0.18406892344227832"/>
    <s v="Overspend"/>
  </r>
  <r>
    <d v="2023-12-01T00:00:00"/>
    <x v="11"/>
    <x v="11"/>
    <s v="Dec-2023"/>
    <x v="0"/>
    <x v="0"/>
    <x v="3"/>
    <x v="0"/>
    <s v="CC-100"/>
    <n v="8180.01"/>
    <n v="9123.02"/>
    <n v="943.01000000000022"/>
    <n v="0.11528225515616732"/>
    <s v="Overspend"/>
  </r>
  <r>
    <d v="2023-12-01T00:00:00"/>
    <x v="11"/>
    <x v="11"/>
    <s v="Dec-2023"/>
    <x v="0"/>
    <x v="0"/>
    <x v="3"/>
    <x v="1"/>
    <s v="CC-100"/>
    <n v="8057.59"/>
    <n v="8978.4599999999991"/>
    <n v="920.86999999999898"/>
    <n v="0.11428603341693967"/>
    <s v="Overspend"/>
  </r>
  <r>
    <d v="2023-12-01T00:00:00"/>
    <x v="11"/>
    <x v="11"/>
    <s v="Dec-2023"/>
    <x v="0"/>
    <x v="0"/>
    <x v="3"/>
    <x v="2"/>
    <s v="CC-100"/>
    <n v="8161.13"/>
    <n v="9791.08"/>
    <n v="1629.9499999999998"/>
    <n v="0.19972111705119264"/>
    <s v="Overspend"/>
  </r>
  <r>
    <d v="2023-12-01T00:00:00"/>
    <x v="11"/>
    <x v="11"/>
    <s v="Dec-2023"/>
    <x v="0"/>
    <x v="0"/>
    <x v="3"/>
    <x v="3"/>
    <s v="CC-100"/>
    <n v="8883.66"/>
    <n v="10179.530000000001"/>
    <n v="1295.8700000000008"/>
    <n v="0.14587118372382563"/>
    <s v="Overspend"/>
  </r>
  <r>
    <d v="2023-12-01T00:00:00"/>
    <x v="11"/>
    <x v="11"/>
    <s v="Dec-2023"/>
    <x v="0"/>
    <x v="0"/>
    <x v="4"/>
    <x v="0"/>
    <s v="CC-100"/>
    <n v="8637.1"/>
    <n v="9618.34"/>
    <n v="981.23999999999978"/>
    <n v="0.11360757661715155"/>
    <s v="Overspend"/>
  </r>
  <r>
    <d v="2023-12-01T00:00:00"/>
    <x v="11"/>
    <x v="11"/>
    <s v="Dec-2023"/>
    <x v="0"/>
    <x v="0"/>
    <x v="4"/>
    <x v="1"/>
    <s v="CC-100"/>
    <n v="8034.47"/>
    <n v="9166.19"/>
    <n v="1131.7200000000003"/>
    <n v="0.14085807775746256"/>
    <s v="Overspend"/>
  </r>
  <r>
    <d v="2023-12-01T00:00:00"/>
    <x v="11"/>
    <x v="11"/>
    <s v="Dec-2023"/>
    <x v="0"/>
    <x v="0"/>
    <x v="4"/>
    <x v="2"/>
    <s v="CC-100"/>
    <n v="8281.69"/>
    <n v="9324.39"/>
    <n v="1042.6999999999989"/>
    <n v="0.12590425384190895"/>
    <s v="Overspend"/>
  </r>
  <r>
    <d v="2023-12-01T00:00:00"/>
    <x v="11"/>
    <x v="11"/>
    <s v="Dec-2023"/>
    <x v="0"/>
    <x v="0"/>
    <x v="4"/>
    <x v="3"/>
    <s v="CC-100"/>
    <n v="9123.64"/>
    <n v="10158.959999999999"/>
    <n v="1035.3199999999997"/>
    <n v="0.11347663870998853"/>
    <s v="Overspend"/>
  </r>
  <r>
    <d v="2023-12-01T00:00:00"/>
    <x v="11"/>
    <x v="11"/>
    <s v="Dec-2023"/>
    <x v="0"/>
    <x v="1"/>
    <x v="0"/>
    <x v="0"/>
    <s v="CC-200"/>
    <n v="51630.239999999998"/>
    <n v="44911.65"/>
    <n v="-6718.5899999999965"/>
    <n v="-0.13012897092866499"/>
    <s v="Underspend"/>
  </r>
  <r>
    <d v="2023-12-01T00:00:00"/>
    <x v="11"/>
    <x v="11"/>
    <s v="Dec-2023"/>
    <x v="0"/>
    <x v="1"/>
    <x v="0"/>
    <x v="1"/>
    <s v="CC-200"/>
    <n v="47802.15"/>
    <n v="41023.86"/>
    <n v="-6778.2900000000009"/>
    <n v="-0.14179885214367974"/>
    <s v="Underspend"/>
  </r>
  <r>
    <d v="2023-12-01T00:00:00"/>
    <x v="11"/>
    <x v="11"/>
    <s v="Dec-2023"/>
    <x v="0"/>
    <x v="1"/>
    <x v="0"/>
    <x v="2"/>
    <s v="CC-200"/>
    <n v="47846.7"/>
    <n v="43134.239999999998"/>
    <n v="-4712.4599999999991"/>
    <n v="-9.8490805008495871E-2"/>
    <s v="Underspend"/>
  </r>
  <r>
    <d v="2023-12-01T00:00:00"/>
    <x v="11"/>
    <x v="11"/>
    <s v="Dec-2023"/>
    <x v="0"/>
    <x v="1"/>
    <x v="0"/>
    <x v="3"/>
    <s v="CC-200"/>
    <n v="53511.97"/>
    <n v="47044.41"/>
    <n v="-6467.5599999999977"/>
    <n v="-0.1208619305176019"/>
    <s v="Underspend"/>
  </r>
  <r>
    <d v="2023-12-01T00:00:00"/>
    <x v="11"/>
    <x v="11"/>
    <s v="Dec-2023"/>
    <x v="0"/>
    <x v="1"/>
    <x v="1"/>
    <x v="0"/>
    <s v="CC-200"/>
    <n v="28726.99"/>
    <n v="24563.91"/>
    <n v="-4163.0800000000017"/>
    <n v="-0.14491876802964743"/>
    <s v="Underspend"/>
  </r>
  <r>
    <d v="2023-12-01T00:00:00"/>
    <x v="11"/>
    <x v="11"/>
    <s v="Dec-2023"/>
    <x v="0"/>
    <x v="1"/>
    <x v="1"/>
    <x v="1"/>
    <s v="CC-200"/>
    <n v="26658.9"/>
    <n v="23016.240000000002"/>
    <n v="-3642.66"/>
    <n v="-0.13663954626785049"/>
    <s v="Underspend"/>
  </r>
  <r>
    <d v="2023-12-01T00:00:00"/>
    <x v="11"/>
    <x v="11"/>
    <s v="Dec-2023"/>
    <x v="0"/>
    <x v="1"/>
    <x v="1"/>
    <x v="2"/>
    <s v="CC-200"/>
    <n v="26300.69"/>
    <n v="23030.46"/>
    <n v="-3270.2299999999996"/>
    <n v="-0.12434008385331334"/>
    <s v="Underspend"/>
  </r>
  <r>
    <d v="2023-12-01T00:00:00"/>
    <x v="11"/>
    <x v="11"/>
    <s v="Dec-2023"/>
    <x v="0"/>
    <x v="1"/>
    <x v="1"/>
    <x v="3"/>
    <s v="CC-200"/>
    <n v="28456.28"/>
    <n v="24179.59"/>
    <n v="-4276.6899999999987"/>
    <n v="-0.15028984814599797"/>
    <s v="Underspend"/>
  </r>
  <r>
    <d v="2023-12-01T00:00:00"/>
    <x v="11"/>
    <x v="11"/>
    <s v="Dec-2023"/>
    <x v="0"/>
    <x v="1"/>
    <x v="2"/>
    <x v="0"/>
    <s v="CC-200"/>
    <n v="11075.45"/>
    <n v="9634.9599999999991"/>
    <n v="-1440.4900000000016"/>
    <n v="-0.13006153248852204"/>
    <s v="Underspend"/>
  </r>
  <r>
    <d v="2023-12-01T00:00:00"/>
    <x v="11"/>
    <x v="11"/>
    <s v="Dec-2023"/>
    <x v="0"/>
    <x v="1"/>
    <x v="2"/>
    <x v="1"/>
    <s v="CC-200"/>
    <n v="10462.120000000001"/>
    <n v="9122.74"/>
    <n v="-1339.380000000001"/>
    <n v="-0.12802185407928804"/>
    <s v="Underspend"/>
  </r>
  <r>
    <d v="2023-12-01T00:00:00"/>
    <x v="11"/>
    <x v="11"/>
    <s v="Dec-2023"/>
    <x v="0"/>
    <x v="1"/>
    <x v="2"/>
    <x v="2"/>
    <s v="CC-200"/>
    <n v="10634.84"/>
    <n v="9243.7999999999993"/>
    <n v="-1391.0400000000009"/>
    <n v="-0.13080027532149058"/>
    <s v="Underspend"/>
  </r>
  <r>
    <d v="2023-12-01T00:00:00"/>
    <x v="11"/>
    <x v="11"/>
    <s v="Dec-2023"/>
    <x v="0"/>
    <x v="1"/>
    <x v="2"/>
    <x v="3"/>
    <s v="CC-200"/>
    <n v="10935.96"/>
    <n v="9892.91"/>
    <n v="-1043.0499999999993"/>
    <n v="-9.5378000651063041E-2"/>
    <s v="Underspend"/>
  </r>
  <r>
    <d v="2023-12-01T00:00:00"/>
    <x v="11"/>
    <x v="11"/>
    <s v="Dec-2023"/>
    <x v="0"/>
    <x v="1"/>
    <x v="3"/>
    <x v="0"/>
    <s v="CC-200"/>
    <n v="9076.0400000000009"/>
    <n v="8046.18"/>
    <n v="-1029.8600000000006"/>
    <n v="-0.11347019184578301"/>
    <s v="Underspend"/>
  </r>
  <r>
    <d v="2023-12-01T00:00:00"/>
    <x v="11"/>
    <x v="11"/>
    <s v="Dec-2023"/>
    <x v="0"/>
    <x v="1"/>
    <x v="3"/>
    <x v="1"/>
    <s v="CC-200"/>
    <n v="8561.89"/>
    <n v="7514"/>
    <n v="-1047.8899999999994"/>
    <n v="-0.12239003304176993"/>
    <s v="Underspend"/>
  </r>
  <r>
    <d v="2023-12-01T00:00:00"/>
    <x v="11"/>
    <x v="11"/>
    <s v="Dec-2023"/>
    <x v="0"/>
    <x v="1"/>
    <x v="3"/>
    <x v="2"/>
    <s v="CC-200"/>
    <n v="8332.14"/>
    <n v="7238.59"/>
    <n v="-1093.5499999999993"/>
    <n v="-0.13124479425453717"/>
    <s v="Underspend"/>
  </r>
  <r>
    <d v="2023-12-01T00:00:00"/>
    <x v="11"/>
    <x v="11"/>
    <s v="Dec-2023"/>
    <x v="0"/>
    <x v="1"/>
    <x v="3"/>
    <x v="3"/>
    <s v="CC-200"/>
    <n v="9348.83"/>
    <n v="8203.4500000000007"/>
    <n v="-1145.3799999999992"/>
    <n v="-0.12251586562168733"/>
    <s v="Underspend"/>
  </r>
  <r>
    <d v="2023-12-01T00:00:00"/>
    <x v="11"/>
    <x v="11"/>
    <s v="Dec-2023"/>
    <x v="0"/>
    <x v="1"/>
    <x v="4"/>
    <x v="0"/>
    <s v="CC-200"/>
    <n v="7494.2"/>
    <n v="6724.14"/>
    <n v="-770.05999999999949"/>
    <n v="-0.10275412986042533"/>
    <s v="Underspend"/>
  </r>
  <r>
    <d v="2023-12-01T00:00:00"/>
    <x v="11"/>
    <x v="11"/>
    <s v="Dec-2023"/>
    <x v="0"/>
    <x v="1"/>
    <x v="4"/>
    <x v="1"/>
    <s v="CC-200"/>
    <n v="7189.59"/>
    <n v="6298.28"/>
    <n v="-891.3100000000004"/>
    <n v="-0.12397229883762501"/>
    <s v="Underspend"/>
  </r>
  <r>
    <d v="2023-12-01T00:00:00"/>
    <x v="11"/>
    <x v="11"/>
    <s v="Dec-2023"/>
    <x v="0"/>
    <x v="1"/>
    <x v="4"/>
    <x v="2"/>
    <s v="CC-200"/>
    <n v="7382.92"/>
    <n v="6477.13"/>
    <n v="-905.79"/>
    <n v="-0.12268722944309297"/>
    <s v="Underspend"/>
  </r>
  <r>
    <d v="2023-12-01T00:00:00"/>
    <x v="11"/>
    <x v="11"/>
    <s v="Dec-2023"/>
    <x v="0"/>
    <x v="1"/>
    <x v="4"/>
    <x v="3"/>
    <s v="CC-200"/>
    <n v="8068.11"/>
    <n v="7243.21"/>
    <n v="-824.89999999999964"/>
    <n v="-0.10224203685869425"/>
    <s v="Underspend"/>
  </r>
  <r>
    <d v="2023-12-01T00:00:00"/>
    <x v="11"/>
    <x v="11"/>
    <s v="Dec-2023"/>
    <x v="0"/>
    <x v="2"/>
    <x v="0"/>
    <x v="0"/>
    <s v="CC-300"/>
    <n v="43976.18"/>
    <n v="44818.95"/>
    <n v="842.7699999999968"/>
    <n v="1.9164238458183425E-2"/>
    <s v="On Budget"/>
  </r>
  <r>
    <d v="2023-12-01T00:00:00"/>
    <x v="11"/>
    <x v="11"/>
    <s v="Dec-2023"/>
    <x v="0"/>
    <x v="2"/>
    <x v="0"/>
    <x v="1"/>
    <s v="CC-300"/>
    <n v="42145.82"/>
    <n v="42864.55"/>
    <n v="718.7300000000032"/>
    <n v="1.7053411227970015E-2"/>
    <s v="On Budget"/>
  </r>
  <r>
    <d v="2023-12-01T00:00:00"/>
    <x v="11"/>
    <x v="11"/>
    <s v="Dec-2023"/>
    <x v="0"/>
    <x v="2"/>
    <x v="0"/>
    <x v="2"/>
    <s v="CC-300"/>
    <n v="43297.48"/>
    <n v="43680.87"/>
    <n v="383.38999999999942"/>
    <n v="8.8547878537041744E-3"/>
    <s v="On Budget"/>
  </r>
  <r>
    <d v="2023-12-01T00:00:00"/>
    <x v="11"/>
    <x v="11"/>
    <s v="Dec-2023"/>
    <x v="0"/>
    <x v="2"/>
    <x v="0"/>
    <x v="3"/>
    <s v="CC-300"/>
    <n v="45838.64"/>
    <n v="45622.879999999997"/>
    <n v="-215.76000000000204"/>
    <n v="-4.706945930333056E-3"/>
    <s v="On Budget"/>
  </r>
  <r>
    <d v="2023-12-01T00:00:00"/>
    <x v="11"/>
    <x v="11"/>
    <s v="Dec-2023"/>
    <x v="0"/>
    <x v="2"/>
    <x v="1"/>
    <x v="0"/>
    <s v="CC-300"/>
    <n v="15330.56"/>
    <n v="15317.3"/>
    <n v="-13.260000000000218"/>
    <n v="-8.6493904984555152E-4"/>
    <s v="On Budget"/>
  </r>
  <r>
    <d v="2023-12-01T00:00:00"/>
    <x v="11"/>
    <x v="11"/>
    <s v="Dec-2023"/>
    <x v="0"/>
    <x v="2"/>
    <x v="1"/>
    <x v="1"/>
    <s v="CC-300"/>
    <n v="14552.42"/>
    <n v="14818.1"/>
    <n v="265.68000000000029"/>
    <n v="1.8256757295350208E-2"/>
    <s v="On Budget"/>
  </r>
  <r>
    <d v="2023-12-01T00:00:00"/>
    <x v="11"/>
    <x v="11"/>
    <s v="Dec-2023"/>
    <x v="0"/>
    <x v="2"/>
    <x v="1"/>
    <x v="2"/>
    <s v="CC-300"/>
    <n v="14478.41"/>
    <n v="14760.68"/>
    <n v="282.27000000000044"/>
    <n v="1.9495925312240807E-2"/>
    <s v="On Budget"/>
  </r>
  <r>
    <d v="2023-12-01T00:00:00"/>
    <x v="11"/>
    <x v="11"/>
    <s v="Dec-2023"/>
    <x v="0"/>
    <x v="2"/>
    <x v="1"/>
    <x v="3"/>
    <s v="CC-300"/>
    <n v="15658.86"/>
    <n v="15233.71"/>
    <n v="-425.15000000000146"/>
    <n v="-2.7150763210093291E-2"/>
    <s v="On Budget"/>
  </r>
  <r>
    <d v="2023-12-01T00:00:00"/>
    <x v="11"/>
    <x v="11"/>
    <s v="Dec-2023"/>
    <x v="0"/>
    <x v="2"/>
    <x v="2"/>
    <x v="0"/>
    <s v="CC-300"/>
    <n v="8553.64"/>
    <n v="8587.49"/>
    <n v="33.850000000000364"/>
    <n v="3.9573795483560641E-3"/>
    <s v="On Budget"/>
  </r>
  <r>
    <d v="2023-12-01T00:00:00"/>
    <x v="11"/>
    <x v="11"/>
    <s v="Dec-2023"/>
    <x v="0"/>
    <x v="2"/>
    <x v="2"/>
    <x v="1"/>
    <s v="CC-300"/>
    <n v="8182.64"/>
    <n v="8234.9699999999993"/>
    <n v="52.329999999999018"/>
    <n v="6.3952465219047905E-3"/>
    <s v="On Budget"/>
  </r>
  <r>
    <d v="2023-12-01T00:00:00"/>
    <x v="11"/>
    <x v="11"/>
    <s v="Dec-2023"/>
    <x v="0"/>
    <x v="2"/>
    <x v="2"/>
    <x v="2"/>
    <s v="CC-300"/>
    <n v="8422.99"/>
    <n v="8610.9599999999991"/>
    <n v="187.96999999999935"/>
    <n v="2.2316303355459206E-2"/>
    <s v="On Budget"/>
  </r>
  <r>
    <d v="2023-12-01T00:00:00"/>
    <x v="11"/>
    <x v="11"/>
    <s v="Dec-2023"/>
    <x v="0"/>
    <x v="2"/>
    <x v="2"/>
    <x v="3"/>
    <s v="CC-300"/>
    <n v="9019.01"/>
    <n v="9292.92"/>
    <n v="273.90999999999985"/>
    <n v="3.0370295631116925E-2"/>
    <s v="On Budget"/>
  </r>
  <r>
    <d v="2023-12-01T00:00:00"/>
    <x v="11"/>
    <x v="11"/>
    <s v="Dec-2023"/>
    <x v="0"/>
    <x v="2"/>
    <x v="3"/>
    <x v="0"/>
    <s v="CC-300"/>
    <n v="6940.48"/>
    <n v="6809.86"/>
    <n v="-130.61999999999989"/>
    <n v="-1.8820023975286999E-2"/>
    <s v="On Budget"/>
  </r>
  <r>
    <d v="2023-12-01T00:00:00"/>
    <x v="11"/>
    <x v="11"/>
    <s v="Dec-2023"/>
    <x v="0"/>
    <x v="2"/>
    <x v="3"/>
    <x v="1"/>
    <s v="CC-300"/>
    <n v="6664.95"/>
    <n v="6722.44"/>
    <n v="57.489999999999782"/>
    <n v="8.6257211231891891E-3"/>
    <s v="On Budget"/>
  </r>
  <r>
    <d v="2023-12-01T00:00:00"/>
    <x v="11"/>
    <x v="11"/>
    <s v="Dec-2023"/>
    <x v="0"/>
    <x v="2"/>
    <x v="3"/>
    <x v="2"/>
    <s v="CC-300"/>
    <n v="6537.59"/>
    <n v="6491.66"/>
    <n v="-45.930000000000291"/>
    <n v="-7.0255246964095776E-3"/>
    <s v="On Budget"/>
  </r>
  <r>
    <d v="2023-12-01T00:00:00"/>
    <x v="11"/>
    <x v="11"/>
    <s v="Dec-2023"/>
    <x v="0"/>
    <x v="2"/>
    <x v="3"/>
    <x v="3"/>
    <s v="CC-300"/>
    <n v="7133.9"/>
    <n v="6918.09"/>
    <n v="-215.80999999999949"/>
    <n v="-3.0251335174308513E-2"/>
    <s v="On Budget"/>
  </r>
  <r>
    <d v="2023-12-01T00:00:00"/>
    <x v="11"/>
    <x v="11"/>
    <s v="Dec-2023"/>
    <x v="0"/>
    <x v="2"/>
    <x v="4"/>
    <x v="0"/>
    <s v="CC-300"/>
    <n v="6029.9"/>
    <n v="5969.88"/>
    <n v="-60.019999999999527"/>
    <n v="-9.9537305759630386E-3"/>
    <s v="On Budget"/>
  </r>
  <r>
    <d v="2023-12-01T00:00:00"/>
    <x v="11"/>
    <x v="11"/>
    <s v="Dec-2023"/>
    <x v="0"/>
    <x v="2"/>
    <x v="4"/>
    <x v="1"/>
    <s v="CC-300"/>
    <n v="5460.14"/>
    <n v="5414.86"/>
    <n v="-45.280000000000655"/>
    <n v="-8.292827656433837E-3"/>
    <s v="On Budget"/>
  </r>
  <r>
    <d v="2023-12-01T00:00:00"/>
    <x v="11"/>
    <x v="11"/>
    <s v="Dec-2023"/>
    <x v="0"/>
    <x v="2"/>
    <x v="4"/>
    <x v="2"/>
    <s v="CC-300"/>
    <n v="5808.66"/>
    <n v="5879.46"/>
    <n v="70.800000000000182"/>
    <n v="1.2188697565359339E-2"/>
    <s v="On Budget"/>
  </r>
  <r>
    <d v="2023-12-01T00:00:00"/>
    <x v="11"/>
    <x v="11"/>
    <s v="Dec-2023"/>
    <x v="0"/>
    <x v="2"/>
    <x v="4"/>
    <x v="3"/>
    <s v="CC-300"/>
    <n v="6173.66"/>
    <n v="6021.91"/>
    <n v="-151.75"/>
    <n v="-2.4580232795456829E-2"/>
    <s v="On Budget"/>
  </r>
  <r>
    <d v="2023-12-01T00:00:00"/>
    <x v="11"/>
    <x v="11"/>
    <s v="Dec-2023"/>
    <x v="0"/>
    <x v="3"/>
    <x v="0"/>
    <x v="0"/>
    <s v="CC-400"/>
    <n v="54783.08"/>
    <n v="57089.03"/>
    <n v="2305.9499999999971"/>
    <n v="4.2092375967178131E-2"/>
    <s v="On Budget"/>
  </r>
  <r>
    <d v="2023-12-01T00:00:00"/>
    <x v="11"/>
    <x v="11"/>
    <s v="Dec-2023"/>
    <x v="0"/>
    <x v="3"/>
    <x v="0"/>
    <x v="1"/>
    <s v="CC-400"/>
    <n v="50095.82"/>
    <n v="48344.81"/>
    <n v="-1751.010000000002"/>
    <n v="-3.4953215657513984E-2"/>
    <s v="On Budget"/>
  </r>
  <r>
    <d v="2023-12-01T00:00:00"/>
    <x v="11"/>
    <x v="11"/>
    <s v="Dec-2023"/>
    <x v="0"/>
    <x v="3"/>
    <x v="0"/>
    <x v="2"/>
    <s v="CC-400"/>
    <n v="51912.88"/>
    <n v="60746.07"/>
    <n v="8833.1900000000023"/>
    <n v="0.17015411204309996"/>
    <s v="Overspend"/>
  </r>
  <r>
    <d v="2023-12-01T00:00:00"/>
    <x v="11"/>
    <x v="11"/>
    <s v="Dec-2023"/>
    <x v="0"/>
    <x v="3"/>
    <x v="0"/>
    <x v="3"/>
    <s v="CC-400"/>
    <n v="56787.69"/>
    <n v="64600.959999999999"/>
    <n v="7813.2699999999968"/>
    <n v="0.13758738909788365"/>
    <s v="Overspend"/>
  </r>
  <r>
    <d v="2023-12-01T00:00:00"/>
    <x v="11"/>
    <x v="11"/>
    <s v="Dec-2023"/>
    <x v="0"/>
    <x v="3"/>
    <x v="1"/>
    <x v="0"/>
    <s v="CC-400"/>
    <n v="20203.16"/>
    <n v="20645.47"/>
    <n v="442.31000000000131"/>
    <n v="2.1893109790745671E-2"/>
    <s v="On Budget"/>
  </r>
  <r>
    <d v="2023-12-01T00:00:00"/>
    <x v="11"/>
    <x v="11"/>
    <s v="Dec-2023"/>
    <x v="0"/>
    <x v="3"/>
    <x v="1"/>
    <x v="1"/>
    <s v="CC-400"/>
    <n v="19752.23"/>
    <n v="20307.900000000001"/>
    <n v="555.67000000000189"/>
    <n v="2.8132013448608179E-2"/>
    <s v="On Budget"/>
  </r>
  <r>
    <d v="2023-12-01T00:00:00"/>
    <x v="11"/>
    <x v="11"/>
    <s v="Dec-2023"/>
    <x v="0"/>
    <x v="3"/>
    <x v="1"/>
    <x v="2"/>
    <s v="CC-400"/>
    <n v="19945.759999999998"/>
    <n v="20522.34"/>
    <n v="576.58000000000175"/>
    <n v="2.8907396860285182E-2"/>
    <s v="On Budget"/>
  </r>
  <r>
    <d v="2023-12-01T00:00:00"/>
    <x v="11"/>
    <x v="11"/>
    <s v="Dec-2023"/>
    <x v="0"/>
    <x v="3"/>
    <x v="1"/>
    <x v="3"/>
    <s v="CC-400"/>
    <n v="21191"/>
    <n v="24204.1"/>
    <n v="3013.0999999999985"/>
    <n v="0.14218772120239717"/>
    <s v="Overspend"/>
  </r>
  <r>
    <d v="2023-12-01T00:00:00"/>
    <x v="11"/>
    <x v="11"/>
    <s v="Dec-2023"/>
    <x v="0"/>
    <x v="3"/>
    <x v="2"/>
    <x v="0"/>
    <s v="CC-400"/>
    <n v="11797.43"/>
    <n v="13307.27"/>
    <n v="1509.8400000000001"/>
    <n v="0.12798041607367028"/>
    <s v="Overspend"/>
  </r>
  <r>
    <d v="2023-12-01T00:00:00"/>
    <x v="11"/>
    <x v="11"/>
    <s v="Dec-2023"/>
    <x v="0"/>
    <x v="3"/>
    <x v="2"/>
    <x v="1"/>
    <s v="CC-400"/>
    <n v="10903.56"/>
    <n v="12250.65"/>
    <n v="1347.0900000000001"/>
    <n v="0.12354588776509692"/>
    <s v="Overspend"/>
  </r>
  <r>
    <d v="2023-12-01T00:00:00"/>
    <x v="11"/>
    <x v="11"/>
    <s v="Dec-2023"/>
    <x v="0"/>
    <x v="3"/>
    <x v="2"/>
    <x v="2"/>
    <s v="CC-400"/>
    <n v="11312.55"/>
    <n v="10197.719999999999"/>
    <n v="-1114.83"/>
    <n v="-9.8548072715700707E-2"/>
    <s v="Underspend"/>
  </r>
  <r>
    <d v="2023-12-01T00:00:00"/>
    <x v="11"/>
    <x v="11"/>
    <s v="Dec-2023"/>
    <x v="0"/>
    <x v="3"/>
    <x v="2"/>
    <x v="3"/>
    <s v="CC-400"/>
    <n v="11878.32"/>
    <n v="11414.66"/>
    <n v="-463.65999999999985"/>
    <n v="-3.903413950794387E-2"/>
    <s v="On Budget"/>
  </r>
  <r>
    <d v="2023-12-01T00:00:00"/>
    <x v="11"/>
    <x v="11"/>
    <s v="Dec-2023"/>
    <x v="0"/>
    <x v="3"/>
    <x v="3"/>
    <x v="0"/>
    <s v="CC-400"/>
    <n v="12890.38"/>
    <n v="12204.07"/>
    <n v="-686.30999999999949"/>
    <n v="-5.3242030103069077E-2"/>
    <s v="Underspend"/>
  </r>
  <r>
    <d v="2023-12-01T00:00:00"/>
    <x v="11"/>
    <x v="11"/>
    <s v="Dec-2023"/>
    <x v="0"/>
    <x v="3"/>
    <x v="3"/>
    <x v="1"/>
    <s v="CC-400"/>
    <n v="11725.73"/>
    <n v="13033.04"/>
    <n v="1307.3100000000013"/>
    <n v="0.11149071315815744"/>
    <s v="Overspend"/>
  </r>
  <r>
    <d v="2023-12-01T00:00:00"/>
    <x v="11"/>
    <x v="11"/>
    <s v="Dec-2023"/>
    <x v="0"/>
    <x v="3"/>
    <x v="3"/>
    <x v="2"/>
    <s v="CC-400"/>
    <n v="12206.67"/>
    <n v="13430.42"/>
    <n v="1223.75"/>
    <n v="0.10025256683436187"/>
    <s v="Overspend"/>
  </r>
  <r>
    <d v="2023-12-01T00:00:00"/>
    <x v="11"/>
    <x v="11"/>
    <s v="Dec-2023"/>
    <x v="0"/>
    <x v="3"/>
    <x v="3"/>
    <x v="3"/>
    <s v="CC-400"/>
    <n v="13375.69"/>
    <n v="13170.13"/>
    <n v="-205.56000000000131"/>
    <n v="-1.5368179136926865E-2"/>
    <s v="On Budget"/>
  </r>
  <r>
    <d v="2023-12-01T00:00:00"/>
    <x v="11"/>
    <x v="11"/>
    <s v="Dec-2023"/>
    <x v="0"/>
    <x v="3"/>
    <x v="4"/>
    <x v="0"/>
    <s v="CC-400"/>
    <n v="8164.73"/>
    <n v="7833.46"/>
    <n v="-331.26999999999953"/>
    <n v="-4.0573295136520075E-2"/>
    <s v="On Budget"/>
  </r>
  <r>
    <d v="2023-12-01T00:00:00"/>
    <x v="11"/>
    <x v="11"/>
    <s v="Dec-2023"/>
    <x v="0"/>
    <x v="3"/>
    <x v="4"/>
    <x v="1"/>
    <s v="CC-400"/>
    <n v="7561.51"/>
    <n v="8383.2800000000007"/>
    <n v="821.77000000000044"/>
    <n v="0.10867802859481776"/>
    <s v="Overspend"/>
  </r>
  <r>
    <d v="2023-12-01T00:00:00"/>
    <x v="11"/>
    <x v="11"/>
    <s v="Dec-2023"/>
    <x v="0"/>
    <x v="3"/>
    <x v="4"/>
    <x v="2"/>
    <s v="CC-400"/>
    <n v="7583.13"/>
    <n v="9008.5300000000007"/>
    <n v="1425.4000000000005"/>
    <n v="0.18796987523621519"/>
    <s v="Overspend"/>
  </r>
  <r>
    <d v="2023-12-01T00:00:00"/>
    <x v="11"/>
    <x v="11"/>
    <s v="Dec-2023"/>
    <x v="0"/>
    <x v="3"/>
    <x v="4"/>
    <x v="3"/>
    <s v="CC-400"/>
    <n v="8533.61"/>
    <n v="9924.36"/>
    <n v="1390.75"/>
    <n v="0.16297323172725259"/>
    <s v="Overspend"/>
  </r>
  <r>
    <d v="2023-12-01T00:00:00"/>
    <x v="11"/>
    <x v="11"/>
    <s v="Dec-2023"/>
    <x v="0"/>
    <x v="4"/>
    <x v="0"/>
    <x v="0"/>
    <s v="CC-500"/>
    <n v="42279.64"/>
    <n v="40716.379999999997"/>
    <n v="-1563.260000000002"/>
    <n v="-3.6974297794399431E-2"/>
    <s v="On Budget"/>
  </r>
  <r>
    <d v="2023-12-01T00:00:00"/>
    <x v="11"/>
    <x v="11"/>
    <s v="Dec-2023"/>
    <x v="0"/>
    <x v="4"/>
    <x v="0"/>
    <x v="1"/>
    <s v="CC-500"/>
    <n v="40063.949999999997"/>
    <n v="41394.199999999997"/>
    <n v="1330.25"/>
    <n v="3.3203166437657798E-2"/>
    <s v="On Budget"/>
  </r>
  <r>
    <d v="2023-12-01T00:00:00"/>
    <x v="11"/>
    <x v="11"/>
    <s v="Dec-2023"/>
    <x v="0"/>
    <x v="4"/>
    <x v="0"/>
    <x v="2"/>
    <s v="CC-500"/>
    <n v="40689.85"/>
    <n v="39419.49"/>
    <n v="-1270.3600000000006"/>
    <n v="-3.1220562376120843E-2"/>
    <s v="On Budget"/>
  </r>
  <r>
    <d v="2023-12-01T00:00:00"/>
    <x v="11"/>
    <x v="11"/>
    <s v="Dec-2023"/>
    <x v="0"/>
    <x v="4"/>
    <x v="0"/>
    <x v="3"/>
    <s v="CC-500"/>
    <n v="43758.58"/>
    <n v="44288.11"/>
    <n v="529.52999999999884"/>
    <n v="1.2101169644901613E-2"/>
    <s v="On Budget"/>
  </r>
  <r>
    <d v="2023-12-01T00:00:00"/>
    <x v="11"/>
    <x v="11"/>
    <s v="Dec-2023"/>
    <x v="0"/>
    <x v="4"/>
    <x v="1"/>
    <x v="0"/>
    <s v="CC-500"/>
    <n v="16427.8"/>
    <n v="17103.919999999998"/>
    <n v="676.11999999999898"/>
    <n v="4.115706302730731E-2"/>
    <s v="On Budget"/>
  </r>
  <r>
    <d v="2023-12-01T00:00:00"/>
    <x v="11"/>
    <x v="11"/>
    <s v="Dec-2023"/>
    <x v="0"/>
    <x v="4"/>
    <x v="1"/>
    <x v="1"/>
    <s v="CC-500"/>
    <n v="15704.39"/>
    <n v="15387.74"/>
    <n v="-316.64999999999964"/>
    <n v="-2.0163151832067315E-2"/>
    <s v="On Budget"/>
  </r>
  <r>
    <d v="2023-12-01T00:00:00"/>
    <x v="11"/>
    <x v="11"/>
    <s v="Dec-2023"/>
    <x v="0"/>
    <x v="4"/>
    <x v="1"/>
    <x v="2"/>
    <s v="CC-500"/>
    <n v="15669.48"/>
    <n v="16436.93"/>
    <n v="767.45000000000073"/>
    <n v="4.8977375126679427E-2"/>
    <s v="On Budget"/>
  </r>
  <r>
    <d v="2023-12-01T00:00:00"/>
    <x v="11"/>
    <x v="11"/>
    <s v="Dec-2023"/>
    <x v="0"/>
    <x v="4"/>
    <x v="1"/>
    <x v="3"/>
    <s v="CC-500"/>
    <n v="16722.54"/>
    <n v="16752.12"/>
    <n v="29.579999999998108"/>
    <n v="1.7688700400775306E-3"/>
    <s v="On Budget"/>
  </r>
  <r>
    <d v="2023-12-01T00:00:00"/>
    <x v="11"/>
    <x v="11"/>
    <s v="Dec-2023"/>
    <x v="0"/>
    <x v="4"/>
    <x v="2"/>
    <x v="0"/>
    <s v="CC-500"/>
    <n v="6952.54"/>
    <n v="7048.59"/>
    <n v="96.050000000000182"/>
    <n v="1.3815094914951972E-2"/>
    <s v="On Budget"/>
  </r>
  <r>
    <d v="2023-12-01T00:00:00"/>
    <x v="11"/>
    <x v="11"/>
    <s v="Dec-2023"/>
    <x v="0"/>
    <x v="4"/>
    <x v="2"/>
    <x v="1"/>
    <s v="CC-500"/>
    <n v="6616.61"/>
    <n v="6669.41"/>
    <n v="52.800000000000182"/>
    <n v="7.9799172083589911E-3"/>
    <s v="On Budget"/>
  </r>
  <r>
    <d v="2023-12-01T00:00:00"/>
    <x v="11"/>
    <x v="11"/>
    <s v="Dec-2023"/>
    <x v="0"/>
    <x v="4"/>
    <x v="2"/>
    <x v="2"/>
    <s v="CC-500"/>
    <n v="6524.68"/>
    <n v="6841.67"/>
    <n v="316.98999999999978"/>
    <n v="4.8583225537497589E-2"/>
    <s v="On Budget"/>
  </r>
  <r>
    <d v="2023-12-01T00:00:00"/>
    <x v="11"/>
    <x v="11"/>
    <s v="Dec-2023"/>
    <x v="0"/>
    <x v="4"/>
    <x v="2"/>
    <x v="3"/>
    <s v="CC-500"/>
    <n v="7114.1"/>
    <n v="7114.53"/>
    <n v="0.42999999999938154"/>
    <n v="6.0443344906507011E-5"/>
    <s v="On Budget"/>
  </r>
  <r>
    <d v="2023-12-01T00:00:00"/>
    <x v="11"/>
    <x v="11"/>
    <s v="Dec-2023"/>
    <x v="0"/>
    <x v="4"/>
    <x v="3"/>
    <x v="0"/>
    <s v="CC-500"/>
    <n v="7639.65"/>
    <n v="7468.39"/>
    <n v="-171.25999999999931"/>
    <n v="-2.2417257335087253E-2"/>
    <s v="On Budget"/>
  </r>
  <r>
    <d v="2023-12-01T00:00:00"/>
    <x v="11"/>
    <x v="11"/>
    <s v="Dec-2023"/>
    <x v="0"/>
    <x v="4"/>
    <x v="3"/>
    <x v="1"/>
    <s v="CC-500"/>
    <n v="7145.68"/>
    <n v="6920.39"/>
    <n v="-225.28999999999996"/>
    <n v="-3.1528140079040756E-2"/>
    <s v="On Budget"/>
  </r>
  <r>
    <d v="2023-12-01T00:00:00"/>
    <x v="11"/>
    <x v="11"/>
    <s v="Dec-2023"/>
    <x v="0"/>
    <x v="4"/>
    <x v="3"/>
    <x v="2"/>
    <s v="CC-500"/>
    <n v="7414.39"/>
    <n v="7110.19"/>
    <n v="-304.20000000000073"/>
    <n v="-4.1028324649768994E-2"/>
    <s v="On Budget"/>
  </r>
  <r>
    <d v="2023-12-01T00:00:00"/>
    <x v="11"/>
    <x v="11"/>
    <s v="Dec-2023"/>
    <x v="0"/>
    <x v="4"/>
    <x v="3"/>
    <x v="3"/>
    <s v="CC-500"/>
    <n v="7905.39"/>
    <n v="7769.61"/>
    <n v="-135.78000000000065"/>
    <n v="-1.7175623214035065E-2"/>
    <s v="On Budget"/>
  </r>
  <r>
    <d v="2023-12-01T00:00:00"/>
    <x v="11"/>
    <x v="11"/>
    <s v="Dec-2023"/>
    <x v="0"/>
    <x v="4"/>
    <x v="4"/>
    <x v="0"/>
    <s v="CC-500"/>
    <n v="6326.62"/>
    <n v="6527.29"/>
    <n v="200.67000000000007"/>
    <n v="3.1718358301905294E-2"/>
    <s v="On Budget"/>
  </r>
  <r>
    <d v="2023-12-01T00:00:00"/>
    <x v="11"/>
    <x v="11"/>
    <s v="Dec-2023"/>
    <x v="0"/>
    <x v="4"/>
    <x v="4"/>
    <x v="1"/>
    <s v="CC-500"/>
    <n v="6005.98"/>
    <n v="5856.44"/>
    <n v="-149.53999999999996"/>
    <n v="-2.4898517810582117E-2"/>
    <s v="On Budget"/>
  </r>
  <r>
    <d v="2023-12-01T00:00:00"/>
    <x v="11"/>
    <x v="11"/>
    <s v="Dec-2023"/>
    <x v="0"/>
    <x v="4"/>
    <x v="4"/>
    <x v="2"/>
    <s v="CC-500"/>
    <n v="6168.76"/>
    <n v="5871.11"/>
    <n v="-297.65000000000055"/>
    <n v="-4.8251188245287631E-2"/>
    <s v="On Budget"/>
  </r>
  <r>
    <d v="2023-12-01T00:00:00"/>
    <x v="11"/>
    <x v="11"/>
    <s v="Dec-2023"/>
    <x v="0"/>
    <x v="4"/>
    <x v="4"/>
    <x v="3"/>
    <s v="CC-500"/>
    <n v="6640.38"/>
    <n v="6831.33"/>
    <n v="190.94999999999982"/>
    <n v="2.8755884452395769E-2"/>
    <s v="On Budget"/>
  </r>
  <r>
    <d v="2024-01-01T00:00:00"/>
    <x v="0"/>
    <x v="0"/>
    <s v="Jan-2024"/>
    <x v="1"/>
    <x v="0"/>
    <x v="0"/>
    <x v="0"/>
    <s v="CC-100"/>
    <n v="49520.56"/>
    <n v="59430.78"/>
    <n v="9910.2200000000012"/>
    <n v="0.20012334270856391"/>
    <s v="Overspend"/>
  </r>
  <r>
    <d v="2024-01-01T00:00:00"/>
    <x v="0"/>
    <x v="0"/>
    <s v="Jan-2024"/>
    <x v="1"/>
    <x v="0"/>
    <x v="0"/>
    <x v="1"/>
    <s v="CC-100"/>
    <n v="48459.37"/>
    <n v="54383.27"/>
    <n v="5923.8999999999942"/>
    <n v="0.12224467631337332"/>
    <s v="Overspend"/>
  </r>
  <r>
    <d v="2024-01-01T00:00:00"/>
    <x v="0"/>
    <x v="0"/>
    <s v="Jan-2024"/>
    <x v="1"/>
    <x v="0"/>
    <x v="0"/>
    <x v="2"/>
    <s v="CC-100"/>
    <n v="48073.95"/>
    <n v="53371.12"/>
    <n v="5297.1700000000055"/>
    <n v="0.11018795002282954"/>
    <s v="Overspend"/>
  </r>
  <r>
    <d v="2024-01-01T00:00:00"/>
    <x v="0"/>
    <x v="0"/>
    <s v="Jan-2024"/>
    <x v="1"/>
    <x v="0"/>
    <x v="0"/>
    <x v="3"/>
    <s v="CC-100"/>
    <n v="52584.25"/>
    <n v="59867.76"/>
    <n v="7283.510000000002"/>
    <n v="0.13851124623817973"/>
    <s v="Overspend"/>
  </r>
  <r>
    <d v="2024-01-01T00:00:00"/>
    <x v="0"/>
    <x v="0"/>
    <s v="Jan-2024"/>
    <x v="1"/>
    <x v="0"/>
    <x v="1"/>
    <x v="0"/>
    <s v="CC-100"/>
    <n v="18961.240000000002"/>
    <n v="21638.21"/>
    <n v="2676.9699999999975"/>
    <n v="0.14118116747638854"/>
    <s v="Overspend"/>
  </r>
  <r>
    <d v="2024-01-01T00:00:00"/>
    <x v="0"/>
    <x v="0"/>
    <s v="Jan-2024"/>
    <x v="1"/>
    <x v="0"/>
    <x v="1"/>
    <x v="1"/>
    <s v="CC-100"/>
    <n v="18678.64"/>
    <n v="21178.27"/>
    <n v="2499.630000000001"/>
    <n v="0.13382291216062844"/>
    <s v="Overspend"/>
  </r>
  <r>
    <d v="2024-01-01T00:00:00"/>
    <x v="0"/>
    <x v="0"/>
    <s v="Jan-2024"/>
    <x v="1"/>
    <x v="0"/>
    <x v="1"/>
    <x v="2"/>
    <s v="CC-100"/>
    <n v="18388.740000000002"/>
    <n v="20422.38"/>
    <n v="2033.6399999999994"/>
    <n v="0.11059159028840471"/>
    <s v="Overspend"/>
  </r>
  <r>
    <d v="2024-01-01T00:00:00"/>
    <x v="0"/>
    <x v="0"/>
    <s v="Jan-2024"/>
    <x v="1"/>
    <x v="0"/>
    <x v="1"/>
    <x v="3"/>
    <s v="CC-100"/>
    <n v="19547.740000000002"/>
    <n v="22328.9"/>
    <n v="2781.16"/>
    <n v="0.14227527069625437"/>
    <s v="Overspend"/>
  </r>
  <r>
    <d v="2024-01-01T00:00:00"/>
    <x v="0"/>
    <x v="0"/>
    <s v="Jan-2024"/>
    <x v="1"/>
    <x v="0"/>
    <x v="2"/>
    <x v="0"/>
    <s v="CC-100"/>
    <n v="10593.28"/>
    <n v="11717.05"/>
    <n v="1123.7699999999986"/>
    <n v="0.10608329053890755"/>
    <s v="Overspend"/>
  </r>
  <r>
    <d v="2024-01-01T00:00:00"/>
    <x v="0"/>
    <x v="0"/>
    <s v="Jan-2024"/>
    <x v="1"/>
    <x v="0"/>
    <x v="2"/>
    <x v="1"/>
    <s v="CC-100"/>
    <n v="10552.33"/>
    <n v="12227.6"/>
    <n v="1675.2700000000004"/>
    <n v="0.15875830266869975"/>
    <s v="Overspend"/>
  </r>
  <r>
    <d v="2024-01-01T00:00:00"/>
    <x v="0"/>
    <x v="0"/>
    <s v="Jan-2024"/>
    <x v="1"/>
    <x v="0"/>
    <x v="2"/>
    <x v="2"/>
    <s v="CC-100"/>
    <n v="10193.18"/>
    <n v="11727.94"/>
    <n v="1534.7600000000002"/>
    <n v="0.15056734012349435"/>
    <s v="Overspend"/>
  </r>
  <r>
    <d v="2024-01-01T00:00:00"/>
    <x v="0"/>
    <x v="0"/>
    <s v="Jan-2024"/>
    <x v="1"/>
    <x v="0"/>
    <x v="2"/>
    <x v="3"/>
    <s v="CC-100"/>
    <n v="11245.66"/>
    <n v="13195.65"/>
    <n v="1949.9899999999998"/>
    <n v="0.1733993380557477"/>
    <s v="Overspend"/>
  </r>
  <r>
    <d v="2024-01-01T00:00:00"/>
    <x v="0"/>
    <x v="0"/>
    <s v="Jan-2024"/>
    <x v="1"/>
    <x v="0"/>
    <x v="3"/>
    <x v="0"/>
    <s v="CC-100"/>
    <n v="8297.1299999999992"/>
    <n v="9079.0400000000009"/>
    <n v="781.91000000000167"/>
    <n v="9.4238610218232294E-2"/>
    <s v="Overspend"/>
  </r>
  <r>
    <d v="2024-01-01T00:00:00"/>
    <x v="0"/>
    <x v="0"/>
    <s v="Jan-2024"/>
    <x v="1"/>
    <x v="0"/>
    <x v="3"/>
    <x v="1"/>
    <s v="CC-100"/>
    <n v="7956.98"/>
    <n v="9407.15"/>
    <n v="1450.17"/>
    <n v="0.18225130640016693"/>
    <s v="Overspend"/>
  </r>
  <r>
    <d v="2024-01-01T00:00:00"/>
    <x v="0"/>
    <x v="0"/>
    <s v="Jan-2024"/>
    <x v="1"/>
    <x v="0"/>
    <x v="3"/>
    <x v="2"/>
    <s v="CC-100"/>
    <n v="8189.83"/>
    <n v="9485.2000000000007"/>
    <n v="1295.3700000000008"/>
    <n v="0.15816811826374916"/>
    <s v="Overspend"/>
  </r>
  <r>
    <d v="2024-01-01T00:00:00"/>
    <x v="0"/>
    <x v="0"/>
    <s v="Jan-2024"/>
    <x v="1"/>
    <x v="0"/>
    <x v="3"/>
    <x v="3"/>
    <s v="CC-100"/>
    <n v="8542.76"/>
    <n v="9712.9699999999993"/>
    <n v="1170.2099999999991"/>
    <n v="0.13698266134129944"/>
    <s v="Overspend"/>
  </r>
  <r>
    <d v="2024-01-01T00:00:00"/>
    <x v="0"/>
    <x v="0"/>
    <s v="Jan-2024"/>
    <x v="1"/>
    <x v="0"/>
    <x v="4"/>
    <x v="0"/>
    <s v="CC-100"/>
    <n v="8606.56"/>
    <n v="10173.35"/>
    <n v="1566.7900000000009"/>
    <n v="0.18204602070978429"/>
    <s v="Overspend"/>
  </r>
  <r>
    <d v="2024-01-01T00:00:00"/>
    <x v="0"/>
    <x v="0"/>
    <s v="Jan-2024"/>
    <x v="1"/>
    <x v="0"/>
    <x v="4"/>
    <x v="1"/>
    <s v="CC-100"/>
    <n v="8346.24"/>
    <n v="10059.94"/>
    <n v="1713.7000000000007"/>
    <n v="0.20532599110497671"/>
    <s v="Overspend"/>
  </r>
  <r>
    <d v="2024-01-01T00:00:00"/>
    <x v="0"/>
    <x v="0"/>
    <s v="Jan-2024"/>
    <x v="1"/>
    <x v="0"/>
    <x v="4"/>
    <x v="2"/>
    <s v="CC-100"/>
    <n v="8563.77"/>
    <n v="10179.629999999999"/>
    <n v="1615.8599999999988"/>
    <n v="0.18868559057517878"/>
    <s v="Overspend"/>
  </r>
  <r>
    <d v="2024-01-01T00:00:00"/>
    <x v="0"/>
    <x v="0"/>
    <s v="Jan-2024"/>
    <x v="1"/>
    <x v="0"/>
    <x v="4"/>
    <x v="3"/>
    <s v="CC-100"/>
    <n v="9136.11"/>
    <n v="10898.25"/>
    <n v="1762.1399999999994"/>
    <n v="0.19287639925526284"/>
    <s v="Overspend"/>
  </r>
  <r>
    <d v="2024-01-01T00:00:00"/>
    <x v="0"/>
    <x v="0"/>
    <s v="Jan-2024"/>
    <x v="1"/>
    <x v="1"/>
    <x v="0"/>
    <x v="0"/>
    <s v="CC-200"/>
    <n v="53529.16"/>
    <n v="47207.12"/>
    <n v="-6322.0400000000009"/>
    <n v="-0.11810459943701714"/>
    <s v="Underspend"/>
  </r>
  <r>
    <d v="2024-01-01T00:00:00"/>
    <x v="0"/>
    <x v="0"/>
    <s v="Jan-2024"/>
    <x v="1"/>
    <x v="1"/>
    <x v="0"/>
    <x v="1"/>
    <s v="CC-200"/>
    <n v="50303.519999999997"/>
    <n v="45088.09"/>
    <n v="-5215.43"/>
    <n v="-0.10367922562874329"/>
    <s v="Underspend"/>
  </r>
  <r>
    <d v="2024-01-01T00:00:00"/>
    <x v="0"/>
    <x v="0"/>
    <s v="Jan-2024"/>
    <x v="1"/>
    <x v="1"/>
    <x v="0"/>
    <x v="2"/>
    <s v="CC-200"/>
    <n v="52970.8"/>
    <n v="45875.98"/>
    <n v="-7094.82"/>
    <n v="-0.13393832073519749"/>
    <s v="Underspend"/>
  </r>
  <r>
    <d v="2024-01-01T00:00:00"/>
    <x v="0"/>
    <x v="0"/>
    <s v="Jan-2024"/>
    <x v="1"/>
    <x v="1"/>
    <x v="0"/>
    <x v="3"/>
    <s v="CC-200"/>
    <n v="56000.52"/>
    <n v="50630.76"/>
    <n v="-5369.7599999999948"/>
    <n v="-9.5887681042961651E-2"/>
    <s v="Underspend"/>
  </r>
  <r>
    <d v="2024-01-01T00:00:00"/>
    <x v="0"/>
    <x v="0"/>
    <s v="Jan-2024"/>
    <x v="1"/>
    <x v="1"/>
    <x v="1"/>
    <x v="0"/>
    <s v="CC-200"/>
    <n v="29454.54"/>
    <n v="25717.02"/>
    <n v="-3737.5200000000004"/>
    <n v="-0.12689113460946938"/>
    <s v="Underspend"/>
  </r>
  <r>
    <d v="2024-01-01T00:00:00"/>
    <x v="0"/>
    <x v="0"/>
    <s v="Jan-2024"/>
    <x v="1"/>
    <x v="1"/>
    <x v="1"/>
    <x v="1"/>
    <s v="CC-200"/>
    <n v="28696.75"/>
    <n v="24869.43"/>
    <n v="-3827.3199999999997"/>
    <n v="-0.13337120057149326"/>
    <s v="Underspend"/>
  </r>
  <r>
    <d v="2024-01-01T00:00:00"/>
    <x v="0"/>
    <x v="0"/>
    <s v="Jan-2024"/>
    <x v="1"/>
    <x v="1"/>
    <x v="1"/>
    <x v="2"/>
    <s v="CC-200"/>
    <n v="28976.34"/>
    <n v="25123.17"/>
    <n v="-3853.1700000000019"/>
    <n v="-0.13297642145281294"/>
    <s v="Underspend"/>
  </r>
  <r>
    <d v="2024-01-01T00:00:00"/>
    <x v="0"/>
    <x v="0"/>
    <s v="Jan-2024"/>
    <x v="1"/>
    <x v="1"/>
    <x v="1"/>
    <x v="3"/>
    <s v="CC-200"/>
    <n v="29895.48"/>
    <n v="26697.17"/>
    <n v="-3198.3100000000013"/>
    <n v="-0.10698306232246485"/>
    <s v="Underspend"/>
  </r>
  <r>
    <d v="2024-01-01T00:00:00"/>
    <x v="0"/>
    <x v="0"/>
    <s v="Jan-2024"/>
    <x v="1"/>
    <x v="1"/>
    <x v="2"/>
    <x v="0"/>
    <s v="CC-200"/>
    <n v="11096.38"/>
    <n v="9780.6200000000008"/>
    <n v="-1315.7599999999984"/>
    <n v="-0.11857560754047702"/>
    <s v="Underspend"/>
  </r>
  <r>
    <d v="2024-01-01T00:00:00"/>
    <x v="0"/>
    <x v="0"/>
    <s v="Jan-2024"/>
    <x v="1"/>
    <x v="1"/>
    <x v="2"/>
    <x v="1"/>
    <s v="CC-200"/>
    <n v="11068.35"/>
    <n v="9522"/>
    <n v="-1546.3500000000004"/>
    <n v="-0.13970917074360681"/>
    <s v="Underspend"/>
  </r>
  <r>
    <d v="2024-01-01T00:00:00"/>
    <x v="0"/>
    <x v="0"/>
    <s v="Jan-2024"/>
    <x v="1"/>
    <x v="1"/>
    <x v="2"/>
    <x v="2"/>
    <s v="CC-200"/>
    <n v="10769.69"/>
    <n v="9420.4"/>
    <n v="-1349.2900000000009"/>
    <n v="-0.12528587173818381"/>
    <s v="Underspend"/>
  </r>
  <r>
    <d v="2024-01-01T00:00:00"/>
    <x v="0"/>
    <x v="0"/>
    <s v="Jan-2024"/>
    <x v="1"/>
    <x v="1"/>
    <x v="2"/>
    <x v="3"/>
    <s v="CC-200"/>
    <n v="11996.14"/>
    <n v="10442.67"/>
    <n v="-1553.4699999999993"/>
    <n v="-0.12949748835875535"/>
    <s v="Underspend"/>
  </r>
  <r>
    <d v="2024-01-01T00:00:00"/>
    <x v="0"/>
    <x v="0"/>
    <s v="Jan-2024"/>
    <x v="1"/>
    <x v="1"/>
    <x v="3"/>
    <x v="0"/>
    <s v="CC-200"/>
    <n v="8721.58"/>
    <n v="7599.11"/>
    <n v="-1122.4700000000003"/>
    <n v="-0.12870030430266077"/>
    <s v="Underspend"/>
  </r>
  <r>
    <d v="2024-01-01T00:00:00"/>
    <x v="0"/>
    <x v="0"/>
    <s v="Jan-2024"/>
    <x v="1"/>
    <x v="1"/>
    <x v="3"/>
    <x v="1"/>
    <s v="CC-200"/>
    <n v="8249.42"/>
    <n v="7393.92"/>
    <n v="-855.5"/>
    <n v="-0.10370426042073261"/>
    <s v="Underspend"/>
  </r>
  <r>
    <d v="2024-01-01T00:00:00"/>
    <x v="0"/>
    <x v="0"/>
    <s v="Jan-2024"/>
    <x v="1"/>
    <x v="1"/>
    <x v="3"/>
    <x v="2"/>
    <s v="CC-200"/>
    <n v="8378.25"/>
    <n v="7161.88"/>
    <n v="-1216.3699999999999"/>
    <n v="-0.14518186972219735"/>
    <s v="Underspend"/>
  </r>
  <r>
    <d v="2024-01-01T00:00:00"/>
    <x v="0"/>
    <x v="0"/>
    <s v="Jan-2024"/>
    <x v="1"/>
    <x v="1"/>
    <x v="3"/>
    <x v="3"/>
    <s v="CC-200"/>
    <n v="9351.68"/>
    <n v="8161.89"/>
    <n v="-1189.79"/>
    <n v="-0.12722740726799889"/>
    <s v="Underspend"/>
  </r>
  <r>
    <d v="2024-01-01T00:00:00"/>
    <x v="0"/>
    <x v="0"/>
    <s v="Jan-2024"/>
    <x v="1"/>
    <x v="1"/>
    <x v="4"/>
    <x v="0"/>
    <s v="CC-200"/>
    <n v="7657.84"/>
    <n v="6810.02"/>
    <n v="-847.81999999999971"/>
    <n v="-0.11071268138273974"/>
    <s v="Underspend"/>
  </r>
  <r>
    <d v="2024-01-01T00:00:00"/>
    <x v="0"/>
    <x v="0"/>
    <s v="Jan-2024"/>
    <x v="1"/>
    <x v="1"/>
    <x v="4"/>
    <x v="1"/>
    <s v="CC-200"/>
    <n v="7415.64"/>
    <n v="6597.35"/>
    <n v="-818.29"/>
    <n v="-0.11034651088779929"/>
    <s v="Underspend"/>
  </r>
  <r>
    <d v="2024-01-01T00:00:00"/>
    <x v="0"/>
    <x v="0"/>
    <s v="Jan-2024"/>
    <x v="1"/>
    <x v="1"/>
    <x v="4"/>
    <x v="2"/>
    <s v="CC-200"/>
    <n v="7492.39"/>
    <n v="6579.38"/>
    <n v="-913.01000000000022"/>
    <n v="-0.12185831223414693"/>
    <s v="Underspend"/>
  </r>
  <r>
    <d v="2024-01-01T00:00:00"/>
    <x v="0"/>
    <x v="0"/>
    <s v="Jan-2024"/>
    <x v="1"/>
    <x v="1"/>
    <x v="4"/>
    <x v="3"/>
    <s v="CC-200"/>
    <n v="7679.26"/>
    <n v="6881.4"/>
    <n v="-797.86000000000058"/>
    <n v="-0.10389803184160981"/>
    <s v="Underspend"/>
  </r>
  <r>
    <d v="2024-01-01T00:00:00"/>
    <x v="0"/>
    <x v="0"/>
    <s v="Jan-2024"/>
    <x v="1"/>
    <x v="2"/>
    <x v="0"/>
    <x v="0"/>
    <s v="CC-300"/>
    <n v="45203.72"/>
    <n v="46514.68"/>
    <n v="1310.9599999999991"/>
    <n v="2.9001153002451992E-2"/>
    <s v="On Budget"/>
  </r>
  <r>
    <d v="2024-01-01T00:00:00"/>
    <x v="0"/>
    <x v="0"/>
    <s v="Jan-2024"/>
    <x v="1"/>
    <x v="2"/>
    <x v="0"/>
    <x v="1"/>
    <s v="CC-300"/>
    <n v="43383.08"/>
    <n v="43819.45"/>
    <n v="436.36999999999534"/>
    <n v="1.0058529730945689E-2"/>
    <s v="On Budget"/>
  </r>
  <r>
    <d v="2024-01-01T00:00:00"/>
    <x v="0"/>
    <x v="0"/>
    <s v="Jan-2024"/>
    <x v="1"/>
    <x v="2"/>
    <x v="0"/>
    <x v="2"/>
    <s v="CC-300"/>
    <n v="46250.7"/>
    <n v="45081.5"/>
    <n v="-1169.1999999999971"/>
    <n v="-2.5279617389574582E-2"/>
    <s v="On Budget"/>
  </r>
  <r>
    <d v="2024-01-01T00:00:00"/>
    <x v="0"/>
    <x v="0"/>
    <s v="Jan-2024"/>
    <x v="1"/>
    <x v="2"/>
    <x v="0"/>
    <x v="3"/>
    <s v="CC-300"/>
    <n v="48730.96"/>
    <n v="47748.91"/>
    <n v="-982.04999999999563"/>
    <n v="-2.0152486222311149E-2"/>
    <s v="On Budget"/>
  </r>
  <r>
    <d v="2024-01-01T00:00:00"/>
    <x v="0"/>
    <x v="0"/>
    <s v="Jan-2024"/>
    <x v="1"/>
    <x v="2"/>
    <x v="1"/>
    <x v="0"/>
    <s v="CC-300"/>
    <n v="15317.06"/>
    <n v="15017.34"/>
    <n v="-299.71999999999935"/>
    <n v="-1.9567723832119178E-2"/>
    <s v="On Budget"/>
  </r>
  <r>
    <d v="2024-01-01T00:00:00"/>
    <x v="0"/>
    <x v="0"/>
    <s v="Jan-2024"/>
    <x v="1"/>
    <x v="2"/>
    <x v="1"/>
    <x v="1"/>
    <s v="CC-300"/>
    <n v="15140.43"/>
    <n v="15360.75"/>
    <n v="220.31999999999971"/>
    <n v="1.4551766363306703E-2"/>
    <s v="On Budget"/>
  </r>
  <r>
    <d v="2024-01-01T00:00:00"/>
    <x v="0"/>
    <x v="0"/>
    <s v="Jan-2024"/>
    <x v="1"/>
    <x v="2"/>
    <x v="1"/>
    <x v="2"/>
    <s v="CC-300"/>
    <n v="15230.98"/>
    <n v="14878.42"/>
    <n v="-352.55999999999949"/>
    <n v="-2.3147558463079823E-2"/>
    <s v="On Budget"/>
  </r>
  <r>
    <d v="2024-01-01T00:00:00"/>
    <x v="0"/>
    <x v="0"/>
    <s v="Jan-2024"/>
    <x v="1"/>
    <x v="2"/>
    <x v="1"/>
    <x v="3"/>
    <s v="CC-300"/>
    <n v="16092.08"/>
    <n v="15808.54"/>
    <n v="-283.53999999999905"/>
    <n v="-1.7619847776048782E-2"/>
    <s v="On Budget"/>
  </r>
  <r>
    <d v="2024-01-01T00:00:00"/>
    <x v="0"/>
    <x v="0"/>
    <s v="Jan-2024"/>
    <x v="1"/>
    <x v="2"/>
    <x v="2"/>
    <x v="0"/>
    <s v="CC-300"/>
    <n v="8614.17"/>
    <n v="8465.15"/>
    <n v="-149.02000000000044"/>
    <n v="-1.7299403192646584E-2"/>
    <s v="On Budget"/>
  </r>
  <r>
    <d v="2024-01-01T00:00:00"/>
    <x v="0"/>
    <x v="0"/>
    <s v="Jan-2024"/>
    <x v="1"/>
    <x v="2"/>
    <x v="2"/>
    <x v="1"/>
    <s v="CC-300"/>
    <n v="8504.59"/>
    <n v="8778.9500000000007"/>
    <n v="274.36000000000058"/>
    <n v="3.2260226536493894E-2"/>
    <s v="On Budget"/>
  </r>
  <r>
    <d v="2024-01-01T00:00:00"/>
    <x v="0"/>
    <x v="0"/>
    <s v="Jan-2024"/>
    <x v="1"/>
    <x v="2"/>
    <x v="2"/>
    <x v="2"/>
    <s v="CC-300"/>
    <n v="8646.2099999999991"/>
    <n v="8469.02"/>
    <n v="-177.18999999999869"/>
    <n v="-2.0493372240553805E-2"/>
    <s v="On Budget"/>
  </r>
  <r>
    <d v="2024-01-01T00:00:00"/>
    <x v="0"/>
    <x v="0"/>
    <s v="Jan-2024"/>
    <x v="1"/>
    <x v="2"/>
    <x v="2"/>
    <x v="3"/>
    <s v="CC-300"/>
    <n v="8971.6200000000008"/>
    <n v="8914.81"/>
    <n v="-56.81000000000131"/>
    <n v="-6.3321897271620183E-3"/>
    <s v="On Budget"/>
  </r>
  <r>
    <d v="2024-01-01T00:00:00"/>
    <x v="0"/>
    <x v="0"/>
    <s v="Jan-2024"/>
    <x v="1"/>
    <x v="2"/>
    <x v="3"/>
    <x v="0"/>
    <s v="CC-300"/>
    <n v="6868.65"/>
    <n v="6803.1"/>
    <n v="-65.549999999999272"/>
    <n v="-9.5433600489178046E-3"/>
    <s v="On Budget"/>
  </r>
  <r>
    <d v="2024-01-01T00:00:00"/>
    <x v="0"/>
    <x v="0"/>
    <s v="Jan-2024"/>
    <x v="1"/>
    <x v="2"/>
    <x v="3"/>
    <x v="1"/>
    <s v="CC-300"/>
    <n v="6697.92"/>
    <n v="6823.22"/>
    <n v="125.30000000000018"/>
    <n v="1.8707300176771323E-2"/>
    <s v="On Budget"/>
  </r>
  <r>
    <d v="2024-01-01T00:00:00"/>
    <x v="0"/>
    <x v="0"/>
    <s v="Jan-2024"/>
    <x v="1"/>
    <x v="2"/>
    <x v="3"/>
    <x v="2"/>
    <s v="CC-300"/>
    <n v="6713.01"/>
    <n v="6553.23"/>
    <n v="-159.78000000000065"/>
    <n v="-2.3801543569874118E-2"/>
    <s v="On Budget"/>
  </r>
  <r>
    <d v="2024-01-01T00:00:00"/>
    <x v="0"/>
    <x v="0"/>
    <s v="Jan-2024"/>
    <x v="1"/>
    <x v="2"/>
    <x v="3"/>
    <x v="3"/>
    <s v="CC-300"/>
    <n v="7185.77"/>
    <n v="7062.52"/>
    <n v="-123.25"/>
    <n v="-1.7151954487828025E-2"/>
    <s v="On Budget"/>
  </r>
  <r>
    <d v="2024-01-01T00:00:00"/>
    <x v="0"/>
    <x v="0"/>
    <s v="Jan-2024"/>
    <x v="1"/>
    <x v="2"/>
    <x v="4"/>
    <x v="0"/>
    <s v="CC-300"/>
    <n v="6067.57"/>
    <n v="6109.9"/>
    <n v="42.329999999999927"/>
    <n v="6.976433728823883E-3"/>
    <s v="On Budget"/>
  </r>
  <r>
    <d v="2024-01-01T00:00:00"/>
    <x v="0"/>
    <x v="0"/>
    <s v="Jan-2024"/>
    <x v="1"/>
    <x v="2"/>
    <x v="4"/>
    <x v="1"/>
    <s v="CC-300"/>
    <n v="5666.8"/>
    <n v="5634.11"/>
    <n v="-32.690000000000509"/>
    <n v="-5.7686877955813705E-3"/>
    <s v="On Budget"/>
  </r>
  <r>
    <d v="2024-01-01T00:00:00"/>
    <x v="0"/>
    <x v="0"/>
    <s v="Jan-2024"/>
    <x v="1"/>
    <x v="2"/>
    <x v="4"/>
    <x v="2"/>
    <s v="CC-300"/>
    <n v="5668.57"/>
    <n v="5669.08"/>
    <n v="0.51000000000021828"/>
    <n v="8.9969780738390515E-5"/>
    <s v="On Budget"/>
  </r>
  <r>
    <d v="2024-01-01T00:00:00"/>
    <x v="0"/>
    <x v="0"/>
    <s v="Jan-2024"/>
    <x v="1"/>
    <x v="2"/>
    <x v="4"/>
    <x v="3"/>
    <s v="CC-300"/>
    <n v="5973.1"/>
    <n v="6052.45"/>
    <n v="79.349999999999454"/>
    <n v="1.328455910666144E-2"/>
    <s v="On Budget"/>
  </r>
  <r>
    <d v="2024-01-01T00:00:00"/>
    <x v="0"/>
    <x v="0"/>
    <s v="Jan-2024"/>
    <x v="1"/>
    <x v="3"/>
    <x v="0"/>
    <x v="0"/>
    <s v="CC-400"/>
    <n v="56854.01"/>
    <n v="60772.68"/>
    <n v="3918.6699999999983"/>
    <n v="6.8925129467560825E-2"/>
    <s v="Overspend"/>
  </r>
  <r>
    <d v="2024-01-01T00:00:00"/>
    <x v="0"/>
    <x v="0"/>
    <s v="Jan-2024"/>
    <x v="1"/>
    <x v="3"/>
    <x v="0"/>
    <x v="1"/>
    <s v="CC-400"/>
    <n v="53855.15"/>
    <n v="62854.74"/>
    <n v="8999.5899999999965"/>
    <n v="0.16710732399779774"/>
    <s v="Overspend"/>
  </r>
  <r>
    <d v="2024-01-01T00:00:00"/>
    <x v="0"/>
    <x v="0"/>
    <s v="Jan-2024"/>
    <x v="1"/>
    <x v="3"/>
    <x v="0"/>
    <x v="2"/>
    <s v="CC-400"/>
    <n v="55361.08"/>
    <n v="59790.9"/>
    <n v="4429.82"/>
    <n v="8.0016863832858748E-2"/>
    <s v="Overspend"/>
  </r>
  <r>
    <d v="2024-01-01T00:00:00"/>
    <x v="0"/>
    <x v="0"/>
    <s v="Jan-2024"/>
    <x v="1"/>
    <x v="3"/>
    <x v="0"/>
    <x v="3"/>
    <s v="CC-400"/>
    <n v="57662.42"/>
    <n v="57158.37"/>
    <n v="-504.04999999999563"/>
    <n v="-8.7413951755752825E-3"/>
    <s v="On Budget"/>
  </r>
  <r>
    <d v="2024-01-01T00:00:00"/>
    <x v="0"/>
    <x v="0"/>
    <s v="Jan-2024"/>
    <x v="1"/>
    <x v="3"/>
    <x v="1"/>
    <x v="0"/>
    <s v="CC-400"/>
    <n v="21252.71"/>
    <n v="20979.69"/>
    <n v="-273.02000000000044"/>
    <n v="-1.2846361711047695E-2"/>
    <s v="On Budget"/>
  </r>
  <r>
    <d v="2024-01-01T00:00:00"/>
    <x v="0"/>
    <x v="0"/>
    <s v="Jan-2024"/>
    <x v="1"/>
    <x v="3"/>
    <x v="1"/>
    <x v="1"/>
    <s v="CC-400"/>
    <n v="20041.41"/>
    <n v="22365.759999999998"/>
    <n v="2324.3499999999985"/>
    <n v="0.1159773688577799"/>
    <s v="Overspend"/>
  </r>
  <r>
    <d v="2024-01-01T00:00:00"/>
    <x v="0"/>
    <x v="0"/>
    <s v="Jan-2024"/>
    <x v="1"/>
    <x v="3"/>
    <x v="1"/>
    <x v="2"/>
    <s v="CC-400"/>
    <n v="21057.39"/>
    <n v="18646.939999999999"/>
    <n v="-2410.4500000000007"/>
    <n v="-0.11447050180482961"/>
    <s v="Underspend"/>
  </r>
  <r>
    <d v="2024-01-01T00:00:00"/>
    <x v="0"/>
    <x v="0"/>
    <s v="Jan-2024"/>
    <x v="1"/>
    <x v="3"/>
    <x v="1"/>
    <x v="3"/>
    <s v="CC-400"/>
    <n v="21626"/>
    <n v="23203.119999999999"/>
    <n v="1577.119999999999"/>
    <n v="7.2927032275964074E-2"/>
    <s v="Overspend"/>
  </r>
  <r>
    <d v="2024-01-01T00:00:00"/>
    <x v="0"/>
    <x v="0"/>
    <s v="Jan-2024"/>
    <x v="1"/>
    <x v="3"/>
    <x v="2"/>
    <x v="0"/>
    <s v="CC-400"/>
    <n v="12375.84"/>
    <n v="11942.06"/>
    <n v="-433.78000000000065"/>
    <n v="-3.5050550104073798E-2"/>
    <s v="On Budget"/>
  </r>
  <r>
    <d v="2024-01-01T00:00:00"/>
    <x v="0"/>
    <x v="0"/>
    <s v="Jan-2024"/>
    <x v="1"/>
    <x v="3"/>
    <x v="2"/>
    <x v="1"/>
    <s v="CC-400"/>
    <n v="11299.09"/>
    <n v="11951.48"/>
    <n v="652.38999999999942"/>
    <n v="5.7738278038319851E-2"/>
    <s v="Overspend"/>
  </r>
  <r>
    <d v="2024-01-01T00:00:00"/>
    <x v="0"/>
    <x v="0"/>
    <s v="Jan-2024"/>
    <x v="1"/>
    <x v="3"/>
    <x v="2"/>
    <x v="2"/>
    <s v="CC-400"/>
    <n v="11609.18"/>
    <n v="10657.14"/>
    <n v="-952.04000000000087"/>
    <n v="-8.2007514742643395E-2"/>
    <s v="Underspend"/>
  </r>
  <r>
    <d v="2024-01-01T00:00:00"/>
    <x v="0"/>
    <x v="0"/>
    <s v="Jan-2024"/>
    <x v="1"/>
    <x v="3"/>
    <x v="2"/>
    <x v="3"/>
    <s v="CC-400"/>
    <n v="12233.48"/>
    <n v="14406.44"/>
    <n v="2172.9600000000009"/>
    <n v="0.17762402848576211"/>
    <s v="Overspend"/>
  </r>
  <r>
    <d v="2024-01-01T00:00:00"/>
    <x v="0"/>
    <x v="0"/>
    <s v="Jan-2024"/>
    <x v="1"/>
    <x v="3"/>
    <x v="3"/>
    <x v="0"/>
    <s v="CC-400"/>
    <n v="12275.41"/>
    <n v="14162.8"/>
    <n v="1887.3899999999994"/>
    <n v="0.15375372390820344"/>
    <s v="Overspend"/>
  </r>
  <r>
    <d v="2024-01-01T00:00:00"/>
    <x v="0"/>
    <x v="0"/>
    <s v="Jan-2024"/>
    <x v="1"/>
    <x v="3"/>
    <x v="3"/>
    <x v="1"/>
    <s v="CC-400"/>
    <n v="11980.49"/>
    <n v="13162.1"/>
    <n v="1181.6100000000006"/>
    <n v="9.8627852450108522E-2"/>
    <s v="Overspend"/>
  </r>
  <r>
    <d v="2024-01-01T00:00:00"/>
    <x v="0"/>
    <x v="0"/>
    <s v="Jan-2024"/>
    <x v="1"/>
    <x v="3"/>
    <x v="3"/>
    <x v="2"/>
    <s v="CC-400"/>
    <n v="12441.92"/>
    <n v="12664.98"/>
    <n v="223.05999999999949"/>
    <n v="1.7928101129086146E-2"/>
    <s v="On Budget"/>
  </r>
  <r>
    <d v="2024-01-01T00:00:00"/>
    <x v="0"/>
    <x v="0"/>
    <s v="Jan-2024"/>
    <x v="1"/>
    <x v="3"/>
    <x v="3"/>
    <x v="3"/>
    <s v="CC-400"/>
    <n v="12781.61"/>
    <n v="15133.71"/>
    <n v="2352.0999999999985"/>
    <n v="0.18402220064608438"/>
    <s v="Overspend"/>
  </r>
  <r>
    <d v="2024-01-01T00:00:00"/>
    <x v="0"/>
    <x v="0"/>
    <s v="Jan-2024"/>
    <x v="1"/>
    <x v="3"/>
    <x v="4"/>
    <x v="0"/>
    <s v="CC-400"/>
    <n v="8240.76"/>
    <n v="7703.42"/>
    <n v="-537.34000000000015"/>
    <n v="-6.5205150981220192E-2"/>
    <s v="Underspend"/>
  </r>
  <r>
    <d v="2024-01-01T00:00:00"/>
    <x v="0"/>
    <x v="0"/>
    <s v="Jan-2024"/>
    <x v="1"/>
    <x v="3"/>
    <x v="4"/>
    <x v="1"/>
    <s v="CC-400"/>
    <n v="7718.9"/>
    <n v="7916.12"/>
    <n v="197.22000000000025"/>
    <n v="2.5550272707251069E-2"/>
    <s v="On Budget"/>
  </r>
  <r>
    <d v="2024-01-01T00:00:00"/>
    <x v="0"/>
    <x v="0"/>
    <s v="Jan-2024"/>
    <x v="1"/>
    <x v="3"/>
    <x v="4"/>
    <x v="2"/>
    <s v="CC-400"/>
    <n v="7998.72"/>
    <n v="8434.06"/>
    <n v="435.33999999999924"/>
    <n v="5.4426208193310829E-2"/>
    <s v="Overspend"/>
  </r>
  <r>
    <d v="2024-01-01T00:00:00"/>
    <x v="0"/>
    <x v="0"/>
    <s v="Jan-2024"/>
    <x v="1"/>
    <x v="3"/>
    <x v="4"/>
    <x v="3"/>
    <s v="CC-400"/>
    <n v="8295.9599999999991"/>
    <n v="7442.83"/>
    <n v="-853.1299999999992"/>
    <n v="-0.1028368024918152"/>
    <s v="Underspend"/>
  </r>
  <r>
    <d v="2024-01-01T00:00:00"/>
    <x v="0"/>
    <x v="0"/>
    <s v="Jan-2024"/>
    <x v="1"/>
    <x v="4"/>
    <x v="0"/>
    <x v="0"/>
    <s v="CC-500"/>
    <n v="44027.65"/>
    <n v="45579.79"/>
    <n v="1552.1399999999994"/>
    <n v="3.5253755310583224E-2"/>
    <s v="On Budget"/>
  </r>
  <r>
    <d v="2024-01-01T00:00:00"/>
    <x v="0"/>
    <x v="0"/>
    <s v="Jan-2024"/>
    <x v="1"/>
    <x v="4"/>
    <x v="0"/>
    <x v="1"/>
    <s v="CC-500"/>
    <n v="42884.34"/>
    <n v="42488.27"/>
    <n v="-396.06999999999971"/>
    <n v="-9.2357723122239894E-3"/>
    <s v="On Budget"/>
  </r>
  <r>
    <d v="2024-01-01T00:00:00"/>
    <x v="0"/>
    <x v="0"/>
    <s v="Jan-2024"/>
    <x v="1"/>
    <x v="4"/>
    <x v="0"/>
    <x v="2"/>
    <s v="CC-500"/>
    <n v="44500.06"/>
    <n v="46239.99"/>
    <n v="1739.9300000000003"/>
    <n v="3.9099497843373701E-2"/>
    <s v="On Budget"/>
  </r>
  <r>
    <d v="2024-01-01T00:00:00"/>
    <x v="0"/>
    <x v="0"/>
    <s v="Jan-2024"/>
    <x v="1"/>
    <x v="4"/>
    <x v="0"/>
    <x v="3"/>
    <s v="CC-500"/>
    <n v="47634.64"/>
    <n v="47664.2"/>
    <n v="29.559999999997672"/>
    <n v="6.2055680487976134E-4"/>
    <s v="On Budget"/>
  </r>
  <r>
    <d v="2024-01-01T00:00:00"/>
    <x v="0"/>
    <x v="0"/>
    <s v="Jan-2024"/>
    <x v="1"/>
    <x v="4"/>
    <x v="1"/>
    <x v="0"/>
    <s v="CC-500"/>
    <n v="17514.990000000002"/>
    <n v="17279.93"/>
    <n v="-235.06000000000131"/>
    <n v="-1.3420504379391669E-2"/>
    <s v="On Budget"/>
  </r>
  <r>
    <d v="2024-01-01T00:00:00"/>
    <x v="0"/>
    <x v="0"/>
    <s v="Jan-2024"/>
    <x v="1"/>
    <x v="4"/>
    <x v="1"/>
    <x v="1"/>
    <s v="CC-500"/>
    <n v="16116.32"/>
    <n v="16160.94"/>
    <n v="44.6200000000008"/>
    <n v="2.7686221172079483E-3"/>
    <s v="On Budget"/>
  </r>
  <r>
    <d v="2024-01-01T00:00:00"/>
    <x v="0"/>
    <x v="0"/>
    <s v="Jan-2024"/>
    <x v="1"/>
    <x v="4"/>
    <x v="1"/>
    <x v="2"/>
    <s v="CC-500"/>
    <n v="16800.2"/>
    <n v="16589.29"/>
    <n v="-210.90999999999985"/>
    <n v="-1.2554017214080776E-2"/>
    <s v="On Budget"/>
  </r>
  <r>
    <d v="2024-01-01T00:00:00"/>
    <x v="0"/>
    <x v="0"/>
    <s v="Jan-2024"/>
    <x v="1"/>
    <x v="4"/>
    <x v="1"/>
    <x v="3"/>
    <s v="CC-500"/>
    <n v="18196.689999999999"/>
    <n v="18068.02"/>
    <n v="-128.66999999999825"/>
    <n v="-7.0710662213841237E-3"/>
    <s v="On Budget"/>
  </r>
  <r>
    <d v="2024-01-01T00:00:00"/>
    <x v="0"/>
    <x v="0"/>
    <s v="Jan-2024"/>
    <x v="1"/>
    <x v="4"/>
    <x v="2"/>
    <x v="0"/>
    <s v="CC-500"/>
    <n v="7103.64"/>
    <n v="7151.54"/>
    <n v="47.899999999999636"/>
    <n v="6.7430218873703674E-3"/>
    <s v="On Budget"/>
  </r>
  <r>
    <d v="2024-01-01T00:00:00"/>
    <x v="0"/>
    <x v="0"/>
    <s v="Jan-2024"/>
    <x v="1"/>
    <x v="4"/>
    <x v="2"/>
    <x v="1"/>
    <s v="CC-500"/>
    <n v="7015.26"/>
    <n v="6817.34"/>
    <n v="-197.92000000000007"/>
    <n v="-2.8212781849853045E-2"/>
    <s v="On Budget"/>
  </r>
  <r>
    <d v="2024-01-01T00:00:00"/>
    <x v="0"/>
    <x v="0"/>
    <s v="Jan-2024"/>
    <x v="1"/>
    <x v="4"/>
    <x v="2"/>
    <x v="2"/>
    <s v="CC-500"/>
    <n v="7033.24"/>
    <n v="7095.25"/>
    <n v="62.010000000000218"/>
    <n v="8.8167046766497691E-3"/>
    <s v="On Budget"/>
  </r>
  <r>
    <d v="2024-01-01T00:00:00"/>
    <x v="0"/>
    <x v="0"/>
    <s v="Jan-2024"/>
    <x v="1"/>
    <x v="4"/>
    <x v="2"/>
    <x v="3"/>
    <s v="CC-500"/>
    <n v="7302.29"/>
    <n v="7265.64"/>
    <n v="-36.649999999999636"/>
    <n v="-5.0189735000937567E-3"/>
    <s v="On Budget"/>
  </r>
  <r>
    <d v="2024-01-01T00:00:00"/>
    <x v="0"/>
    <x v="0"/>
    <s v="Jan-2024"/>
    <x v="1"/>
    <x v="4"/>
    <x v="3"/>
    <x v="0"/>
    <s v="CC-500"/>
    <n v="7427.62"/>
    <n v="7538.02"/>
    <n v="110.40000000000055"/>
    <n v="1.4863442125472297E-2"/>
    <s v="On Budget"/>
  </r>
  <r>
    <d v="2024-01-01T00:00:00"/>
    <x v="0"/>
    <x v="0"/>
    <s v="Jan-2024"/>
    <x v="1"/>
    <x v="4"/>
    <x v="3"/>
    <x v="1"/>
    <s v="CC-500"/>
    <n v="6960.27"/>
    <n v="6621.21"/>
    <n v="-339.0600000000004"/>
    <n v="-4.8713627488588859E-2"/>
    <s v="On Budget"/>
  </r>
  <r>
    <d v="2024-01-01T00:00:00"/>
    <x v="0"/>
    <x v="0"/>
    <s v="Jan-2024"/>
    <x v="1"/>
    <x v="4"/>
    <x v="3"/>
    <x v="2"/>
    <s v="CC-500"/>
    <n v="7144.98"/>
    <n v="7175.82"/>
    <n v="30.840000000000146"/>
    <n v="4.3163171905309947E-3"/>
    <s v="On Budget"/>
  </r>
  <r>
    <d v="2024-01-01T00:00:00"/>
    <x v="0"/>
    <x v="0"/>
    <s v="Jan-2024"/>
    <x v="1"/>
    <x v="4"/>
    <x v="3"/>
    <x v="3"/>
    <s v="CC-500"/>
    <n v="7968.01"/>
    <n v="7673.48"/>
    <n v="-294.53000000000065"/>
    <n v="-3.6964060035065298E-2"/>
    <s v="On Budget"/>
  </r>
  <r>
    <d v="2024-01-01T00:00:00"/>
    <x v="0"/>
    <x v="0"/>
    <s v="Jan-2024"/>
    <x v="1"/>
    <x v="4"/>
    <x v="4"/>
    <x v="0"/>
    <s v="CC-500"/>
    <n v="6572.1"/>
    <n v="6427.99"/>
    <n v="-144.11000000000058"/>
    <n v="-2.192754218590718E-2"/>
    <s v="On Budget"/>
  </r>
  <r>
    <d v="2024-01-01T00:00:00"/>
    <x v="0"/>
    <x v="0"/>
    <s v="Jan-2024"/>
    <x v="1"/>
    <x v="4"/>
    <x v="4"/>
    <x v="1"/>
    <s v="CC-500"/>
    <n v="6283.62"/>
    <n v="6591.05"/>
    <n v="307.43000000000029"/>
    <n v="4.8925619308615144E-2"/>
    <s v="On Budget"/>
  </r>
  <r>
    <d v="2024-01-01T00:00:00"/>
    <x v="0"/>
    <x v="0"/>
    <s v="Jan-2024"/>
    <x v="1"/>
    <x v="4"/>
    <x v="4"/>
    <x v="2"/>
    <s v="CC-500"/>
    <n v="6078.61"/>
    <n v="6195.36"/>
    <n v="116.75"/>
    <n v="1.9206693635551549E-2"/>
    <s v="On Budget"/>
  </r>
  <r>
    <d v="2024-01-01T00:00:00"/>
    <x v="0"/>
    <x v="0"/>
    <s v="Jan-2024"/>
    <x v="1"/>
    <x v="4"/>
    <x v="4"/>
    <x v="3"/>
    <s v="CC-500"/>
    <n v="6855.84"/>
    <n v="6572.02"/>
    <n v="-283.81999999999971"/>
    <n v="-4.1398282340311281E-2"/>
    <s v="On Budget"/>
  </r>
  <r>
    <d v="2024-02-01T00:00:00"/>
    <x v="1"/>
    <x v="1"/>
    <s v="Feb-2024"/>
    <x v="1"/>
    <x v="0"/>
    <x v="0"/>
    <x v="0"/>
    <s v="CC-100"/>
    <n v="50329.87"/>
    <n v="56234.01"/>
    <n v="5904.1399999999994"/>
    <n v="0.11730886648425674"/>
    <s v="Overspend"/>
  </r>
  <r>
    <d v="2024-02-01T00:00:00"/>
    <x v="1"/>
    <x v="1"/>
    <s v="Feb-2024"/>
    <x v="1"/>
    <x v="0"/>
    <x v="0"/>
    <x v="1"/>
    <s v="CC-100"/>
    <n v="47765.55"/>
    <n v="53745.41"/>
    <n v="5979.8600000000006"/>
    <n v="0.1251919008574171"/>
    <s v="Overspend"/>
  </r>
  <r>
    <d v="2024-02-01T00:00:00"/>
    <x v="1"/>
    <x v="1"/>
    <s v="Feb-2024"/>
    <x v="1"/>
    <x v="0"/>
    <x v="0"/>
    <x v="2"/>
    <s v="CC-100"/>
    <n v="49404.79"/>
    <n v="55051.82"/>
    <n v="5647.0299999999988"/>
    <n v="0.11430126512024438"/>
    <s v="Overspend"/>
  </r>
  <r>
    <d v="2024-02-01T00:00:00"/>
    <x v="1"/>
    <x v="1"/>
    <s v="Feb-2024"/>
    <x v="1"/>
    <x v="0"/>
    <x v="0"/>
    <x v="3"/>
    <s v="CC-100"/>
    <n v="51738.19"/>
    <n v="61407.92"/>
    <n v="9669.7299999999959"/>
    <n v="0.18689733831044333"/>
    <s v="Overspend"/>
  </r>
  <r>
    <d v="2024-02-01T00:00:00"/>
    <x v="1"/>
    <x v="1"/>
    <s v="Feb-2024"/>
    <x v="1"/>
    <x v="0"/>
    <x v="1"/>
    <x v="0"/>
    <s v="CC-100"/>
    <n v="19413.32"/>
    <n v="21552.880000000001"/>
    <n v="2139.5600000000013"/>
    <n v="0.11021092734266995"/>
    <s v="Overspend"/>
  </r>
  <r>
    <d v="2024-02-01T00:00:00"/>
    <x v="1"/>
    <x v="1"/>
    <s v="Feb-2024"/>
    <x v="1"/>
    <x v="0"/>
    <x v="1"/>
    <x v="1"/>
    <s v="CC-100"/>
    <n v="18117.22"/>
    <n v="19883.73"/>
    <n v="1766.5099999999984"/>
    <n v="9.750447364441113E-2"/>
    <s v="Overspend"/>
  </r>
  <r>
    <d v="2024-02-01T00:00:00"/>
    <x v="1"/>
    <x v="1"/>
    <s v="Feb-2024"/>
    <x v="1"/>
    <x v="0"/>
    <x v="1"/>
    <x v="2"/>
    <s v="CC-100"/>
    <n v="18815.810000000001"/>
    <n v="21742.89"/>
    <n v="2927.0799999999981"/>
    <n v="0.15556492120190404"/>
    <s v="Overspend"/>
  </r>
  <r>
    <d v="2024-02-01T00:00:00"/>
    <x v="1"/>
    <x v="1"/>
    <s v="Feb-2024"/>
    <x v="1"/>
    <x v="0"/>
    <x v="1"/>
    <x v="3"/>
    <s v="CC-100"/>
    <n v="20069.509999999998"/>
    <n v="23119.45"/>
    <n v="3049.9400000000023"/>
    <n v="0.15196883232326064"/>
    <s v="Overspend"/>
  </r>
  <r>
    <d v="2024-02-01T00:00:00"/>
    <x v="1"/>
    <x v="1"/>
    <s v="Feb-2024"/>
    <x v="1"/>
    <x v="0"/>
    <x v="2"/>
    <x v="0"/>
    <s v="CC-100"/>
    <n v="10821.97"/>
    <n v="11914.84"/>
    <n v="1092.8700000000008"/>
    <n v="0.10098623448410972"/>
    <s v="Overspend"/>
  </r>
  <r>
    <d v="2024-02-01T00:00:00"/>
    <x v="1"/>
    <x v="1"/>
    <s v="Feb-2024"/>
    <x v="1"/>
    <x v="0"/>
    <x v="2"/>
    <x v="1"/>
    <s v="CC-100"/>
    <n v="10355.57"/>
    <n v="12540.03"/>
    <n v="2184.4600000000009"/>
    <n v="0.2109454139173412"/>
    <s v="Overspend"/>
  </r>
  <r>
    <d v="2024-02-01T00:00:00"/>
    <x v="1"/>
    <x v="1"/>
    <s v="Feb-2024"/>
    <x v="1"/>
    <x v="0"/>
    <x v="2"/>
    <x v="2"/>
    <s v="CC-100"/>
    <n v="10892.73"/>
    <n v="12338.51"/>
    <n v="1445.7800000000007"/>
    <n v="0.13272889349134703"/>
    <s v="Overspend"/>
  </r>
  <r>
    <d v="2024-02-01T00:00:00"/>
    <x v="1"/>
    <x v="1"/>
    <s v="Feb-2024"/>
    <x v="1"/>
    <x v="0"/>
    <x v="2"/>
    <x v="3"/>
    <s v="CC-100"/>
    <n v="11209.27"/>
    <n v="12474.25"/>
    <n v="1264.9799999999996"/>
    <n v="0.11285123830543822"/>
    <s v="Overspend"/>
  </r>
  <r>
    <d v="2024-02-01T00:00:00"/>
    <x v="1"/>
    <x v="1"/>
    <s v="Feb-2024"/>
    <x v="1"/>
    <x v="0"/>
    <x v="3"/>
    <x v="0"/>
    <s v="CC-100"/>
    <n v="8276.19"/>
    <n v="9448.48"/>
    <n v="1172.2899999999991"/>
    <n v="0.14164609560679478"/>
    <s v="Overspend"/>
  </r>
  <r>
    <d v="2024-02-01T00:00:00"/>
    <x v="1"/>
    <x v="1"/>
    <s v="Feb-2024"/>
    <x v="1"/>
    <x v="0"/>
    <x v="3"/>
    <x v="1"/>
    <s v="CC-100"/>
    <n v="7915.65"/>
    <n v="9247.5499999999993"/>
    <n v="1331.8999999999996"/>
    <n v="0.16826160833285955"/>
    <s v="Overspend"/>
  </r>
  <r>
    <d v="2024-02-01T00:00:00"/>
    <x v="1"/>
    <x v="1"/>
    <s v="Feb-2024"/>
    <x v="1"/>
    <x v="0"/>
    <x v="3"/>
    <x v="2"/>
    <s v="CC-100"/>
    <n v="8409"/>
    <n v="9459.7999999999993"/>
    <n v="1050.7999999999993"/>
    <n v="0.12496135093352352"/>
    <s v="Overspend"/>
  </r>
  <r>
    <d v="2024-02-01T00:00:00"/>
    <x v="1"/>
    <x v="1"/>
    <s v="Feb-2024"/>
    <x v="1"/>
    <x v="0"/>
    <x v="3"/>
    <x v="3"/>
    <s v="CC-100"/>
    <n v="8644.6"/>
    <n v="9868.16"/>
    <n v="1223.5599999999995"/>
    <n v="0.14154038359206897"/>
    <s v="Overspend"/>
  </r>
  <r>
    <d v="2024-02-01T00:00:00"/>
    <x v="1"/>
    <x v="1"/>
    <s v="Feb-2024"/>
    <x v="1"/>
    <x v="0"/>
    <x v="4"/>
    <x v="0"/>
    <s v="CC-100"/>
    <n v="8547.3799999999992"/>
    <n v="9878.52"/>
    <n v="1331.1400000000012"/>
    <n v="0.15573661168685624"/>
    <s v="Overspend"/>
  </r>
  <r>
    <d v="2024-02-01T00:00:00"/>
    <x v="1"/>
    <x v="1"/>
    <s v="Feb-2024"/>
    <x v="1"/>
    <x v="0"/>
    <x v="4"/>
    <x v="1"/>
    <s v="CC-100"/>
    <n v="8137.84"/>
    <n v="9619.52"/>
    <n v="1481.6800000000003"/>
    <n v="0.18207288420514539"/>
    <s v="Overspend"/>
  </r>
  <r>
    <d v="2024-02-01T00:00:00"/>
    <x v="1"/>
    <x v="1"/>
    <s v="Feb-2024"/>
    <x v="1"/>
    <x v="0"/>
    <x v="4"/>
    <x v="2"/>
    <s v="CC-100"/>
    <n v="8503.5400000000009"/>
    <n v="9771.1299999999992"/>
    <n v="1267.5899999999983"/>
    <n v="0.14906615362543107"/>
    <s v="Overspend"/>
  </r>
  <r>
    <d v="2024-02-01T00:00:00"/>
    <x v="1"/>
    <x v="1"/>
    <s v="Feb-2024"/>
    <x v="1"/>
    <x v="0"/>
    <x v="4"/>
    <x v="3"/>
    <s v="CC-100"/>
    <n v="9037.67"/>
    <n v="10065.08"/>
    <n v="1027.4099999999999"/>
    <n v="0.11368084915691765"/>
    <s v="Overspend"/>
  </r>
  <r>
    <d v="2024-02-01T00:00:00"/>
    <x v="1"/>
    <x v="1"/>
    <s v="Feb-2024"/>
    <x v="1"/>
    <x v="1"/>
    <x v="0"/>
    <x v="0"/>
    <s v="CC-200"/>
    <n v="52724.21"/>
    <n v="45157.57"/>
    <n v="-7566.6399999999994"/>
    <n v="-0.14351357753866772"/>
    <s v="Underspend"/>
  </r>
  <r>
    <d v="2024-02-01T00:00:00"/>
    <x v="1"/>
    <x v="1"/>
    <s v="Feb-2024"/>
    <x v="1"/>
    <x v="1"/>
    <x v="0"/>
    <x v="1"/>
    <s v="CC-200"/>
    <n v="52248.32"/>
    <n v="46907.31"/>
    <n v="-5341.010000000002"/>
    <n v="-0.10222357388716043"/>
    <s v="Underspend"/>
  </r>
  <r>
    <d v="2024-02-01T00:00:00"/>
    <x v="1"/>
    <x v="1"/>
    <s v="Feb-2024"/>
    <x v="1"/>
    <x v="1"/>
    <x v="0"/>
    <x v="2"/>
    <s v="CC-200"/>
    <n v="52532.47"/>
    <n v="46375.32"/>
    <n v="-6157.1500000000015"/>
    <n v="-0.11720655815346206"/>
    <s v="Underspend"/>
  </r>
  <r>
    <d v="2024-02-01T00:00:00"/>
    <x v="1"/>
    <x v="1"/>
    <s v="Feb-2024"/>
    <x v="1"/>
    <x v="1"/>
    <x v="0"/>
    <x v="3"/>
    <s v="CC-200"/>
    <n v="57056.05"/>
    <n v="49810.26"/>
    <n v="-7245.7900000000009"/>
    <n v="-0.12699424513263713"/>
    <s v="Underspend"/>
  </r>
  <r>
    <d v="2024-02-01T00:00:00"/>
    <x v="1"/>
    <x v="1"/>
    <s v="Feb-2024"/>
    <x v="1"/>
    <x v="1"/>
    <x v="1"/>
    <x v="0"/>
    <s v="CC-200"/>
    <n v="29867.88"/>
    <n v="26006.26"/>
    <n v="-3861.6200000000026"/>
    <n v="-0.12929006009130886"/>
    <s v="Underspend"/>
  </r>
  <r>
    <d v="2024-02-01T00:00:00"/>
    <x v="1"/>
    <x v="1"/>
    <s v="Feb-2024"/>
    <x v="1"/>
    <x v="1"/>
    <x v="1"/>
    <x v="1"/>
    <s v="CC-200"/>
    <n v="27999.25"/>
    <n v="24406.14"/>
    <n v="-3593.1100000000006"/>
    <n v="-0.12832879452128185"/>
    <s v="Underspend"/>
  </r>
  <r>
    <d v="2024-02-01T00:00:00"/>
    <x v="1"/>
    <x v="1"/>
    <s v="Feb-2024"/>
    <x v="1"/>
    <x v="1"/>
    <x v="1"/>
    <x v="2"/>
    <s v="CC-200"/>
    <n v="28546.71"/>
    <n v="25408.03"/>
    <n v="-3138.6800000000003"/>
    <n v="-0.10994892231013663"/>
    <s v="Underspend"/>
  </r>
  <r>
    <d v="2024-02-01T00:00:00"/>
    <x v="1"/>
    <x v="1"/>
    <s v="Feb-2024"/>
    <x v="1"/>
    <x v="1"/>
    <x v="1"/>
    <x v="3"/>
    <s v="CC-200"/>
    <n v="31236.65"/>
    <n v="26989.73"/>
    <n v="-4246.9200000000019"/>
    <n v="-0.13595952190775906"/>
    <s v="Underspend"/>
  </r>
  <r>
    <d v="2024-02-01T00:00:00"/>
    <x v="1"/>
    <x v="1"/>
    <s v="Feb-2024"/>
    <x v="1"/>
    <x v="1"/>
    <x v="2"/>
    <x v="0"/>
    <s v="CC-200"/>
    <n v="11476.5"/>
    <n v="9852.9"/>
    <n v="-1623.6000000000004"/>
    <n v="-0.14147170304535359"/>
    <s v="Underspend"/>
  </r>
  <r>
    <d v="2024-02-01T00:00:00"/>
    <x v="1"/>
    <x v="1"/>
    <s v="Feb-2024"/>
    <x v="1"/>
    <x v="1"/>
    <x v="2"/>
    <x v="1"/>
    <s v="CC-200"/>
    <n v="10778.05"/>
    <n v="9399.69"/>
    <n v="-1378.3599999999988"/>
    <n v="-0.1278858420586283"/>
    <s v="Underspend"/>
  </r>
  <r>
    <d v="2024-02-01T00:00:00"/>
    <x v="1"/>
    <x v="1"/>
    <s v="Feb-2024"/>
    <x v="1"/>
    <x v="1"/>
    <x v="2"/>
    <x v="2"/>
    <s v="CC-200"/>
    <n v="11456.17"/>
    <n v="10130.52"/>
    <n v="-1325.6499999999996"/>
    <n v="-0.11571493788936439"/>
    <s v="Underspend"/>
  </r>
  <r>
    <d v="2024-02-01T00:00:00"/>
    <x v="1"/>
    <x v="1"/>
    <s v="Feb-2024"/>
    <x v="1"/>
    <x v="1"/>
    <x v="2"/>
    <x v="3"/>
    <s v="CC-200"/>
    <n v="11899.3"/>
    <n v="10681.33"/>
    <n v="-1217.9699999999993"/>
    <n v="-0.10235644113519278"/>
    <s v="Underspend"/>
  </r>
  <r>
    <d v="2024-02-01T00:00:00"/>
    <x v="1"/>
    <x v="1"/>
    <s v="Feb-2024"/>
    <x v="1"/>
    <x v="1"/>
    <x v="3"/>
    <x v="0"/>
    <s v="CC-200"/>
    <n v="8825.6200000000008"/>
    <n v="7905.88"/>
    <n v="-919.74000000000069"/>
    <n v="-0.10421250858296648"/>
    <s v="Underspend"/>
  </r>
  <r>
    <d v="2024-02-01T00:00:00"/>
    <x v="1"/>
    <x v="1"/>
    <s v="Feb-2024"/>
    <x v="1"/>
    <x v="1"/>
    <x v="3"/>
    <x v="1"/>
    <s v="CC-200"/>
    <n v="8655.8700000000008"/>
    <n v="7807.6"/>
    <n v="-848.27000000000044"/>
    <n v="-9.7999392319893935E-2"/>
    <s v="Underspend"/>
  </r>
  <r>
    <d v="2024-02-01T00:00:00"/>
    <x v="1"/>
    <x v="1"/>
    <s v="Feb-2024"/>
    <x v="1"/>
    <x v="1"/>
    <x v="3"/>
    <x v="2"/>
    <s v="CC-200"/>
    <n v="8500.11"/>
    <n v="7417.22"/>
    <n v="-1082.8900000000003"/>
    <n v="-0.12739717486009008"/>
    <s v="Underspend"/>
  </r>
  <r>
    <d v="2024-02-01T00:00:00"/>
    <x v="1"/>
    <x v="1"/>
    <s v="Feb-2024"/>
    <x v="1"/>
    <x v="1"/>
    <x v="3"/>
    <x v="3"/>
    <s v="CC-200"/>
    <n v="9444.7000000000007"/>
    <n v="8192.7000000000007"/>
    <n v="-1252"/>
    <n v="-0.13256111893442882"/>
    <s v="Underspend"/>
  </r>
  <r>
    <d v="2024-02-01T00:00:00"/>
    <x v="1"/>
    <x v="1"/>
    <s v="Feb-2024"/>
    <x v="1"/>
    <x v="1"/>
    <x v="4"/>
    <x v="0"/>
    <s v="CC-200"/>
    <n v="7848.41"/>
    <n v="6727.73"/>
    <n v="-1120.6800000000003"/>
    <n v="-0.14279070537854169"/>
    <s v="Underspend"/>
  </r>
  <r>
    <d v="2024-02-01T00:00:00"/>
    <x v="1"/>
    <x v="1"/>
    <s v="Feb-2024"/>
    <x v="1"/>
    <x v="1"/>
    <x v="4"/>
    <x v="1"/>
    <s v="CC-200"/>
    <n v="7352.43"/>
    <n v="6362.19"/>
    <n v="-990.24000000000069"/>
    <n v="-0.13468200309285511"/>
    <s v="Underspend"/>
  </r>
  <r>
    <d v="2024-02-01T00:00:00"/>
    <x v="1"/>
    <x v="1"/>
    <s v="Feb-2024"/>
    <x v="1"/>
    <x v="1"/>
    <x v="4"/>
    <x v="2"/>
    <s v="CC-200"/>
    <n v="7226.7"/>
    <n v="6308.38"/>
    <n v="-918.31999999999971"/>
    <n v="-0.12707321460694365"/>
    <s v="Underspend"/>
  </r>
  <r>
    <d v="2024-02-01T00:00:00"/>
    <x v="1"/>
    <x v="1"/>
    <s v="Feb-2024"/>
    <x v="1"/>
    <x v="1"/>
    <x v="4"/>
    <x v="3"/>
    <s v="CC-200"/>
    <n v="7992.73"/>
    <n v="6849.5"/>
    <n v="-1143.2299999999996"/>
    <n v="-0.14303373190386759"/>
    <s v="Underspend"/>
  </r>
  <r>
    <d v="2024-02-01T00:00:00"/>
    <x v="1"/>
    <x v="1"/>
    <s v="Feb-2024"/>
    <x v="1"/>
    <x v="2"/>
    <x v="0"/>
    <x v="0"/>
    <s v="CC-300"/>
    <n v="46454.99"/>
    <n v="46035.75"/>
    <n v="-419.23999999999796"/>
    <n v="-9.0246494510061882E-3"/>
    <s v="On Budget"/>
  </r>
  <r>
    <d v="2024-02-01T00:00:00"/>
    <x v="1"/>
    <x v="1"/>
    <s v="Feb-2024"/>
    <x v="1"/>
    <x v="2"/>
    <x v="0"/>
    <x v="1"/>
    <s v="CC-300"/>
    <n v="44040.01"/>
    <n v="44519.75"/>
    <n v="479.73999999999796"/>
    <n v="1.0893276363924485E-2"/>
    <s v="On Budget"/>
  </r>
  <r>
    <d v="2024-02-01T00:00:00"/>
    <x v="1"/>
    <x v="1"/>
    <s v="Feb-2024"/>
    <x v="1"/>
    <x v="2"/>
    <x v="0"/>
    <x v="2"/>
    <s v="CC-300"/>
    <n v="45565.08"/>
    <n v="45493.38"/>
    <n v="-71.700000000004366"/>
    <n v="-1.5735734470345352E-3"/>
    <s v="On Budget"/>
  </r>
  <r>
    <d v="2024-02-01T00:00:00"/>
    <x v="1"/>
    <x v="1"/>
    <s v="Feb-2024"/>
    <x v="1"/>
    <x v="2"/>
    <x v="0"/>
    <x v="3"/>
    <s v="CC-300"/>
    <n v="47700.67"/>
    <n v="46805.16"/>
    <n v="-895.50999999999476"/>
    <n v="-1.8773530853969028E-2"/>
    <s v="On Budget"/>
  </r>
  <r>
    <d v="2024-02-01T00:00:00"/>
    <x v="1"/>
    <x v="1"/>
    <s v="Feb-2024"/>
    <x v="1"/>
    <x v="2"/>
    <x v="1"/>
    <x v="0"/>
    <s v="CC-300"/>
    <n v="16246.73"/>
    <n v="15851.58"/>
    <n v="-395.14999999999964"/>
    <n v="-2.4321817374942507E-2"/>
    <s v="On Budget"/>
  </r>
  <r>
    <d v="2024-02-01T00:00:00"/>
    <x v="1"/>
    <x v="1"/>
    <s v="Feb-2024"/>
    <x v="1"/>
    <x v="2"/>
    <x v="1"/>
    <x v="1"/>
    <s v="CC-300"/>
    <n v="14991.92"/>
    <n v="15110.56"/>
    <n v="118.63999999999942"/>
    <n v="7.9135961237786368E-3"/>
    <s v="On Budget"/>
  </r>
  <r>
    <d v="2024-02-01T00:00:00"/>
    <x v="1"/>
    <x v="1"/>
    <s v="Feb-2024"/>
    <x v="1"/>
    <x v="2"/>
    <x v="1"/>
    <x v="2"/>
    <s v="CC-300"/>
    <n v="15635.14"/>
    <n v="15949.61"/>
    <n v="314.47000000000116"/>
    <n v="2.0113027449706312E-2"/>
    <s v="On Budget"/>
  </r>
  <r>
    <d v="2024-02-01T00:00:00"/>
    <x v="1"/>
    <x v="1"/>
    <s v="Feb-2024"/>
    <x v="1"/>
    <x v="2"/>
    <x v="1"/>
    <x v="3"/>
    <s v="CC-300"/>
    <n v="16701.810000000001"/>
    <n v="16696.57"/>
    <n v="-5.2400000000016007"/>
    <n v="-3.1373845110210211E-4"/>
    <s v="On Budget"/>
  </r>
  <r>
    <d v="2024-02-01T00:00:00"/>
    <x v="1"/>
    <x v="1"/>
    <s v="Feb-2024"/>
    <x v="1"/>
    <x v="2"/>
    <x v="2"/>
    <x v="0"/>
    <s v="CC-300"/>
    <n v="9177.2099999999991"/>
    <n v="8992.44"/>
    <n v="-184.76999999999862"/>
    <n v="-2.0133570006570477E-2"/>
    <s v="On Budget"/>
  </r>
  <r>
    <d v="2024-02-01T00:00:00"/>
    <x v="1"/>
    <x v="1"/>
    <s v="Feb-2024"/>
    <x v="1"/>
    <x v="2"/>
    <x v="2"/>
    <x v="1"/>
    <s v="CC-300"/>
    <n v="8639.9"/>
    <n v="8858.49"/>
    <n v="218.59000000000015"/>
    <n v="2.5300061343302604E-2"/>
    <s v="On Budget"/>
  </r>
  <r>
    <d v="2024-02-01T00:00:00"/>
    <x v="1"/>
    <x v="1"/>
    <s v="Feb-2024"/>
    <x v="1"/>
    <x v="2"/>
    <x v="2"/>
    <x v="2"/>
    <s v="CC-300"/>
    <n v="8604.23"/>
    <n v="8820.9500000000007"/>
    <n v="216.72000000000116"/>
    <n v="2.5187611209835301E-2"/>
    <s v="On Budget"/>
  </r>
  <r>
    <d v="2024-02-01T00:00:00"/>
    <x v="1"/>
    <x v="1"/>
    <s v="Feb-2024"/>
    <x v="1"/>
    <x v="2"/>
    <x v="2"/>
    <x v="3"/>
    <s v="CC-300"/>
    <n v="9306.2999999999993"/>
    <n v="9411.9699999999993"/>
    <n v="105.67000000000007"/>
    <n v="1.1354673715654994E-2"/>
    <s v="On Budget"/>
  </r>
  <r>
    <d v="2024-02-01T00:00:00"/>
    <x v="1"/>
    <x v="1"/>
    <s v="Feb-2024"/>
    <x v="1"/>
    <x v="2"/>
    <x v="3"/>
    <x v="0"/>
    <s v="CC-300"/>
    <n v="7004.93"/>
    <n v="7132.36"/>
    <n v="127.42999999999938"/>
    <n v="1.8191473719223372E-2"/>
    <s v="On Budget"/>
  </r>
  <r>
    <d v="2024-02-01T00:00:00"/>
    <x v="1"/>
    <x v="1"/>
    <s v="Feb-2024"/>
    <x v="1"/>
    <x v="2"/>
    <x v="3"/>
    <x v="1"/>
    <s v="CC-300"/>
    <n v="6622.74"/>
    <n v="6842.54"/>
    <n v="219.80000000000018"/>
    <n v="3.3188680213929608E-2"/>
    <s v="On Budget"/>
  </r>
  <r>
    <d v="2024-02-01T00:00:00"/>
    <x v="1"/>
    <x v="1"/>
    <s v="Feb-2024"/>
    <x v="1"/>
    <x v="2"/>
    <x v="3"/>
    <x v="2"/>
    <s v="CC-300"/>
    <n v="6921.67"/>
    <n v="6942.27"/>
    <n v="20.600000000000364"/>
    <n v="2.9761603774812097E-3"/>
    <s v="On Budget"/>
  </r>
  <r>
    <d v="2024-02-01T00:00:00"/>
    <x v="1"/>
    <x v="1"/>
    <s v="Feb-2024"/>
    <x v="1"/>
    <x v="2"/>
    <x v="3"/>
    <x v="3"/>
    <s v="CC-300"/>
    <n v="7087.21"/>
    <n v="7092.25"/>
    <n v="5.0399999999999636"/>
    <n v="7.1114020891154114E-4"/>
    <s v="On Budget"/>
  </r>
  <r>
    <d v="2024-02-01T00:00:00"/>
    <x v="1"/>
    <x v="1"/>
    <s v="Feb-2024"/>
    <x v="1"/>
    <x v="2"/>
    <x v="4"/>
    <x v="0"/>
    <s v="CC-300"/>
    <n v="6079.09"/>
    <n v="6256.92"/>
    <n v="177.82999999999993"/>
    <n v="2.9252733550580747E-2"/>
    <s v="On Budget"/>
  </r>
  <r>
    <d v="2024-02-01T00:00:00"/>
    <x v="1"/>
    <x v="1"/>
    <s v="Feb-2024"/>
    <x v="1"/>
    <x v="2"/>
    <x v="4"/>
    <x v="1"/>
    <s v="CC-300"/>
    <n v="5725.48"/>
    <n v="5701.73"/>
    <n v="-23.75"/>
    <n v="-4.1481238254259907E-3"/>
    <s v="On Budget"/>
  </r>
  <r>
    <d v="2024-02-01T00:00:00"/>
    <x v="1"/>
    <x v="1"/>
    <s v="Feb-2024"/>
    <x v="1"/>
    <x v="2"/>
    <x v="4"/>
    <x v="2"/>
    <s v="CC-300"/>
    <n v="5801.44"/>
    <n v="5634.83"/>
    <n v="-166.60999999999967"/>
    <n v="-2.8718731901045205E-2"/>
    <s v="On Budget"/>
  </r>
  <r>
    <d v="2024-02-01T00:00:00"/>
    <x v="1"/>
    <x v="1"/>
    <s v="Feb-2024"/>
    <x v="1"/>
    <x v="2"/>
    <x v="4"/>
    <x v="3"/>
    <s v="CC-300"/>
    <n v="6336.59"/>
    <n v="6454.1"/>
    <n v="117.51000000000022"/>
    <n v="1.8544674659398859E-2"/>
    <s v="On Budget"/>
  </r>
  <r>
    <d v="2024-02-01T00:00:00"/>
    <x v="1"/>
    <x v="1"/>
    <s v="Feb-2024"/>
    <x v="1"/>
    <x v="3"/>
    <x v="0"/>
    <x v="0"/>
    <s v="CC-400"/>
    <n v="56427.15"/>
    <n v="57536.959999999999"/>
    <n v="1109.8099999999977"/>
    <n v="1.9668014422135401E-2"/>
    <s v="On Budget"/>
  </r>
  <r>
    <d v="2024-02-01T00:00:00"/>
    <x v="1"/>
    <x v="1"/>
    <s v="Feb-2024"/>
    <x v="1"/>
    <x v="3"/>
    <x v="0"/>
    <x v="1"/>
    <s v="CC-400"/>
    <n v="53663.69"/>
    <n v="54031.79"/>
    <n v="368.09999999999854"/>
    <n v="6.8593866728135638E-3"/>
    <s v="On Budget"/>
  </r>
  <r>
    <d v="2024-02-01T00:00:00"/>
    <x v="1"/>
    <x v="1"/>
    <s v="Feb-2024"/>
    <x v="1"/>
    <x v="3"/>
    <x v="0"/>
    <x v="2"/>
    <s v="CC-400"/>
    <n v="53594.99"/>
    <n v="57857.25"/>
    <n v="4262.260000000002"/>
    <n v="7.9527209539548421E-2"/>
    <s v="Overspend"/>
  </r>
  <r>
    <d v="2024-02-01T00:00:00"/>
    <x v="1"/>
    <x v="1"/>
    <s v="Feb-2024"/>
    <x v="1"/>
    <x v="3"/>
    <x v="0"/>
    <x v="3"/>
    <s v="CC-400"/>
    <n v="58707.69"/>
    <n v="55226.73"/>
    <n v="-3480.9599999999991"/>
    <n v="-5.9293084091709261E-2"/>
    <s v="Underspend"/>
  </r>
  <r>
    <d v="2024-02-01T00:00:00"/>
    <x v="1"/>
    <x v="1"/>
    <s v="Feb-2024"/>
    <x v="1"/>
    <x v="3"/>
    <x v="1"/>
    <x v="0"/>
    <s v="CC-400"/>
    <n v="21557.78"/>
    <n v="21844.74"/>
    <n v="286.96000000000276"/>
    <n v="1.3311203658261786E-2"/>
    <s v="On Budget"/>
  </r>
  <r>
    <d v="2024-02-01T00:00:00"/>
    <x v="1"/>
    <x v="1"/>
    <s v="Feb-2024"/>
    <x v="1"/>
    <x v="3"/>
    <x v="1"/>
    <x v="1"/>
    <s v="CC-400"/>
    <n v="19978.02"/>
    <n v="22786.799999999999"/>
    <n v="2808.7799999999988"/>
    <n v="0.14059351226998465"/>
    <s v="Overspend"/>
  </r>
  <r>
    <d v="2024-02-01T00:00:00"/>
    <x v="1"/>
    <x v="1"/>
    <s v="Feb-2024"/>
    <x v="1"/>
    <x v="3"/>
    <x v="1"/>
    <x v="2"/>
    <s v="CC-400"/>
    <n v="20946.14"/>
    <n v="19412.88"/>
    <n v="-1533.2599999999984"/>
    <n v="-7.320012183629053E-2"/>
    <s v="Underspend"/>
  </r>
  <r>
    <d v="2024-02-01T00:00:00"/>
    <x v="1"/>
    <x v="1"/>
    <s v="Feb-2024"/>
    <x v="1"/>
    <x v="3"/>
    <x v="1"/>
    <x v="3"/>
    <s v="CC-400"/>
    <n v="22182.15"/>
    <n v="25129.03"/>
    <n v="2946.8799999999974"/>
    <n v="0.13284916024821747"/>
    <s v="Overspend"/>
  </r>
  <r>
    <d v="2024-02-01T00:00:00"/>
    <x v="1"/>
    <x v="1"/>
    <s v="Feb-2024"/>
    <x v="1"/>
    <x v="3"/>
    <x v="2"/>
    <x v="0"/>
    <s v="CC-400"/>
    <n v="12272.84"/>
    <n v="11421.23"/>
    <n v="-851.61000000000058"/>
    <n v="-6.9389807086216435E-2"/>
    <s v="Underspend"/>
  </r>
  <r>
    <d v="2024-02-01T00:00:00"/>
    <x v="1"/>
    <x v="1"/>
    <s v="Feb-2024"/>
    <x v="1"/>
    <x v="3"/>
    <x v="2"/>
    <x v="1"/>
    <s v="CC-400"/>
    <n v="11514.06"/>
    <n v="11869.17"/>
    <n v="355.11000000000058"/>
    <n v="3.0841423442295818E-2"/>
    <s v="On Budget"/>
  </r>
  <r>
    <d v="2024-02-01T00:00:00"/>
    <x v="1"/>
    <x v="1"/>
    <s v="Feb-2024"/>
    <x v="1"/>
    <x v="3"/>
    <x v="2"/>
    <x v="2"/>
    <s v="CC-400"/>
    <n v="12144.58"/>
    <n v="13322.07"/>
    <n v="1177.4899999999998"/>
    <n v="9.6956008359284529E-2"/>
    <s v="Overspend"/>
  </r>
  <r>
    <d v="2024-02-01T00:00:00"/>
    <x v="1"/>
    <x v="1"/>
    <s v="Feb-2024"/>
    <x v="1"/>
    <x v="3"/>
    <x v="2"/>
    <x v="3"/>
    <s v="CC-400"/>
    <n v="12488.71"/>
    <n v="13909.09"/>
    <n v="1420.380000000001"/>
    <n v="0.11373312375737775"/>
    <s v="Overspend"/>
  </r>
  <r>
    <d v="2024-02-01T00:00:00"/>
    <x v="1"/>
    <x v="1"/>
    <s v="Feb-2024"/>
    <x v="1"/>
    <x v="3"/>
    <x v="3"/>
    <x v="0"/>
    <s v="CC-400"/>
    <n v="12865.78"/>
    <n v="15169.95"/>
    <n v="2304.17"/>
    <n v="0.17909291158406251"/>
    <s v="Overspend"/>
  </r>
  <r>
    <d v="2024-02-01T00:00:00"/>
    <x v="1"/>
    <x v="1"/>
    <s v="Feb-2024"/>
    <x v="1"/>
    <x v="3"/>
    <x v="3"/>
    <x v="1"/>
    <s v="CC-400"/>
    <n v="12450.66"/>
    <n v="13497.77"/>
    <n v="1047.1100000000006"/>
    <n v="8.4100762529857903E-2"/>
    <s v="Overspend"/>
  </r>
  <r>
    <d v="2024-02-01T00:00:00"/>
    <x v="1"/>
    <x v="1"/>
    <s v="Feb-2024"/>
    <x v="1"/>
    <x v="3"/>
    <x v="3"/>
    <x v="2"/>
    <s v="CC-400"/>
    <n v="12556.32"/>
    <n v="12851.17"/>
    <n v="294.85000000000036"/>
    <n v="2.3482198605961013E-2"/>
    <s v="On Budget"/>
  </r>
  <r>
    <d v="2024-02-01T00:00:00"/>
    <x v="1"/>
    <x v="1"/>
    <s v="Feb-2024"/>
    <x v="1"/>
    <x v="3"/>
    <x v="3"/>
    <x v="3"/>
    <s v="CC-400"/>
    <n v="13520.82"/>
    <n v="11990.03"/>
    <n v="-1530.7899999999991"/>
    <n v="-0.11321724569959507"/>
    <s v="Underspend"/>
  </r>
  <r>
    <d v="2024-02-01T00:00:00"/>
    <x v="1"/>
    <x v="1"/>
    <s v="Feb-2024"/>
    <x v="1"/>
    <x v="3"/>
    <x v="4"/>
    <x v="0"/>
    <s v="CC-400"/>
    <n v="7904.8"/>
    <n v="7978.35"/>
    <n v="73.550000000000182"/>
    <n v="9.3044732314543285E-3"/>
    <s v="On Budget"/>
  </r>
  <r>
    <d v="2024-02-01T00:00:00"/>
    <x v="1"/>
    <x v="1"/>
    <s v="Feb-2024"/>
    <x v="1"/>
    <x v="3"/>
    <x v="4"/>
    <x v="1"/>
    <s v="CC-400"/>
    <n v="7824.05"/>
    <n v="8166.11"/>
    <n v="342.05999999999949"/>
    <n v="4.3719045762744289E-2"/>
    <s v="On Budget"/>
  </r>
  <r>
    <d v="2024-02-01T00:00:00"/>
    <x v="1"/>
    <x v="1"/>
    <s v="Feb-2024"/>
    <x v="1"/>
    <x v="3"/>
    <x v="4"/>
    <x v="2"/>
    <s v="CC-400"/>
    <n v="7773.91"/>
    <n v="7915.98"/>
    <n v="142.06999999999971"/>
    <n v="1.8275230868378938E-2"/>
    <s v="On Budget"/>
  </r>
  <r>
    <d v="2024-02-01T00:00:00"/>
    <x v="1"/>
    <x v="1"/>
    <s v="Feb-2024"/>
    <x v="1"/>
    <x v="3"/>
    <x v="4"/>
    <x v="3"/>
    <s v="CC-400"/>
    <n v="8623.98"/>
    <n v="7836.76"/>
    <n v="-787.21999999999935"/>
    <n v="-9.1282679226992569E-2"/>
    <s v="Underspend"/>
  </r>
  <r>
    <d v="2024-02-01T00:00:00"/>
    <x v="1"/>
    <x v="1"/>
    <s v="Feb-2024"/>
    <x v="1"/>
    <x v="4"/>
    <x v="0"/>
    <x v="0"/>
    <s v="CC-500"/>
    <n v="44636.15"/>
    <n v="45640.37"/>
    <n v="1004.2200000000012"/>
    <n v="2.2497908085710821E-2"/>
    <s v="On Budget"/>
  </r>
  <r>
    <d v="2024-02-01T00:00:00"/>
    <x v="1"/>
    <x v="1"/>
    <s v="Feb-2024"/>
    <x v="1"/>
    <x v="4"/>
    <x v="0"/>
    <x v="1"/>
    <s v="CC-500"/>
    <n v="43531.3"/>
    <n v="44826.94"/>
    <n v="1295.6399999999994"/>
    <n v="2.9763411614171856E-2"/>
    <s v="On Budget"/>
  </r>
  <r>
    <d v="2024-02-01T00:00:00"/>
    <x v="1"/>
    <x v="1"/>
    <s v="Feb-2024"/>
    <x v="1"/>
    <x v="4"/>
    <x v="0"/>
    <x v="2"/>
    <s v="CC-500"/>
    <n v="43296.39"/>
    <n v="41355.99"/>
    <n v="-1940.4000000000015"/>
    <n v="-4.4816669472905281E-2"/>
    <s v="On Budget"/>
  </r>
  <r>
    <d v="2024-02-01T00:00:00"/>
    <x v="1"/>
    <x v="1"/>
    <s v="Feb-2024"/>
    <x v="1"/>
    <x v="4"/>
    <x v="0"/>
    <x v="3"/>
    <s v="CC-500"/>
    <n v="46362.33"/>
    <n v="47150.67"/>
    <n v="788.33999999999651"/>
    <n v="1.7003890874336913E-2"/>
    <s v="On Budget"/>
  </r>
  <r>
    <d v="2024-02-01T00:00:00"/>
    <x v="1"/>
    <x v="1"/>
    <s v="Feb-2024"/>
    <x v="1"/>
    <x v="4"/>
    <x v="1"/>
    <x v="0"/>
    <s v="CC-500"/>
    <n v="17257.990000000002"/>
    <n v="16613.36"/>
    <n v="-644.63000000000102"/>
    <n v="-3.735255380261554E-2"/>
    <s v="On Budget"/>
  </r>
  <r>
    <d v="2024-02-01T00:00:00"/>
    <x v="1"/>
    <x v="1"/>
    <s v="Feb-2024"/>
    <x v="1"/>
    <x v="4"/>
    <x v="1"/>
    <x v="1"/>
    <s v="CC-500"/>
    <n v="16159.5"/>
    <n v="16307.66"/>
    <n v="148.15999999999985"/>
    <n v="9.1686005136297436E-3"/>
    <s v="On Budget"/>
  </r>
  <r>
    <d v="2024-02-01T00:00:00"/>
    <x v="1"/>
    <x v="1"/>
    <s v="Feb-2024"/>
    <x v="1"/>
    <x v="4"/>
    <x v="1"/>
    <x v="2"/>
    <s v="CC-500"/>
    <n v="17286.28"/>
    <n v="17493.189999999999"/>
    <n v="206.90999999999985"/>
    <n v="1.1969608267365787E-2"/>
    <s v="On Budget"/>
  </r>
  <r>
    <d v="2024-02-01T00:00:00"/>
    <x v="1"/>
    <x v="1"/>
    <s v="Feb-2024"/>
    <x v="1"/>
    <x v="4"/>
    <x v="1"/>
    <x v="3"/>
    <s v="CC-500"/>
    <n v="17458.57"/>
    <n v="17050.34"/>
    <n v="-408.22999999999956"/>
    <n v="-2.3382785646247062E-2"/>
    <s v="On Budget"/>
  </r>
  <r>
    <d v="2024-02-01T00:00:00"/>
    <x v="1"/>
    <x v="1"/>
    <s v="Feb-2024"/>
    <x v="1"/>
    <x v="4"/>
    <x v="2"/>
    <x v="0"/>
    <s v="CC-500"/>
    <n v="7179.52"/>
    <n v="7462.51"/>
    <n v="282.98999999999978"/>
    <n v="3.9416284096986949E-2"/>
    <s v="On Budget"/>
  </r>
  <r>
    <d v="2024-02-01T00:00:00"/>
    <x v="1"/>
    <x v="1"/>
    <s v="Feb-2024"/>
    <x v="1"/>
    <x v="4"/>
    <x v="2"/>
    <x v="1"/>
    <s v="CC-500"/>
    <n v="6813.51"/>
    <n v="6818.65"/>
    <n v="5.1399999999994179"/>
    <n v="7.543835702889432E-4"/>
    <s v="On Budget"/>
  </r>
  <r>
    <d v="2024-02-01T00:00:00"/>
    <x v="1"/>
    <x v="1"/>
    <s v="Feb-2024"/>
    <x v="1"/>
    <x v="4"/>
    <x v="2"/>
    <x v="2"/>
    <s v="CC-500"/>
    <n v="7292.78"/>
    <n v="6984.33"/>
    <n v="-308.44999999999982"/>
    <n v="-4.229525640427928E-2"/>
    <s v="On Budget"/>
  </r>
  <r>
    <d v="2024-02-01T00:00:00"/>
    <x v="1"/>
    <x v="1"/>
    <s v="Feb-2024"/>
    <x v="1"/>
    <x v="4"/>
    <x v="2"/>
    <x v="3"/>
    <s v="CC-500"/>
    <n v="7710.78"/>
    <n v="7328.62"/>
    <n v="-382.15999999999985"/>
    <n v="-4.9561782335898558E-2"/>
    <s v="On Budget"/>
  </r>
  <r>
    <d v="2024-02-01T00:00:00"/>
    <x v="1"/>
    <x v="1"/>
    <s v="Feb-2024"/>
    <x v="1"/>
    <x v="4"/>
    <x v="3"/>
    <x v="0"/>
    <s v="CC-500"/>
    <n v="7520.81"/>
    <n v="7803.46"/>
    <n v="282.64999999999964"/>
    <n v="3.7582388067242706E-2"/>
    <s v="On Budget"/>
  </r>
  <r>
    <d v="2024-02-01T00:00:00"/>
    <x v="1"/>
    <x v="1"/>
    <s v="Feb-2024"/>
    <x v="1"/>
    <x v="4"/>
    <x v="3"/>
    <x v="1"/>
    <s v="CC-500"/>
    <n v="7272.89"/>
    <n v="7527.8"/>
    <n v="254.90999999999985"/>
    <n v="3.5049340771000227E-2"/>
    <s v="On Budget"/>
  </r>
  <r>
    <d v="2024-02-01T00:00:00"/>
    <x v="1"/>
    <x v="1"/>
    <s v="Feb-2024"/>
    <x v="1"/>
    <x v="4"/>
    <x v="3"/>
    <x v="2"/>
    <s v="CC-500"/>
    <n v="7342.34"/>
    <n v="7380.84"/>
    <n v="38.5"/>
    <n v="5.2435599550007218E-3"/>
    <s v="On Budget"/>
  </r>
  <r>
    <d v="2024-02-01T00:00:00"/>
    <x v="1"/>
    <x v="1"/>
    <s v="Feb-2024"/>
    <x v="1"/>
    <x v="4"/>
    <x v="3"/>
    <x v="3"/>
    <s v="CC-500"/>
    <n v="7755.78"/>
    <n v="7953.75"/>
    <n v="197.97000000000025"/>
    <n v="2.5525479062067293E-2"/>
    <s v="On Budget"/>
  </r>
  <r>
    <d v="2024-02-01T00:00:00"/>
    <x v="1"/>
    <x v="1"/>
    <s v="Feb-2024"/>
    <x v="1"/>
    <x v="4"/>
    <x v="4"/>
    <x v="0"/>
    <s v="CC-500"/>
    <n v="6372.98"/>
    <n v="6543.32"/>
    <n v="170.34000000000015"/>
    <n v="2.6728469256140794E-2"/>
    <s v="On Budget"/>
  </r>
  <r>
    <d v="2024-02-01T00:00:00"/>
    <x v="1"/>
    <x v="1"/>
    <s v="Feb-2024"/>
    <x v="1"/>
    <x v="4"/>
    <x v="4"/>
    <x v="1"/>
    <s v="CC-500"/>
    <n v="6046.59"/>
    <n v="5860.79"/>
    <n v="-185.80000000000018"/>
    <n v="-3.0728063255487832E-2"/>
    <s v="On Budget"/>
  </r>
  <r>
    <d v="2024-02-01T00:00:00"/>
    <x v="1"/>
    <x v="1"/>
    <s v="Feb-2024"/>
    <x v="1"/>
    <x v="4"/>
    <x v="4"/>
    <x v="2"/>
    <s v="CC-500"/>
    <n v="6433.31"/>
    <n v="6099.28"/>
    <n v="-334.03000000000065"/>
    <n v="-5.1921949975984469E-2"/>
    <s v="Underspend"/>
  </r>
  <r>
    <d v="2024-02-01T00:00:00"/>
    <x v="1"/>
    <x v="1"/>
    <s v="Feb-2024"/>
    <x v="1"/>
    <x v="4"/>
    <x v="4"/>
    <x v="3"/>
    <s v="CC-500"/>
    <n v="6729.47"/>
    <n v="7005.36"/>
    <n v="275.88999999999942"/>
    <n v="4.0997285075941997E-2"/>
    <s v="On Budget"/>
  </r>
  <r>
    <d v="2024-03-01T00:00:00"/>
    <x v="2"/>
    <x v="2"/>
    <s v="Mar-2024"/>
    <x v="1"/>
    <x v="0"/>
    <x v="0"/>
    <x v="0"/>
    <s v="CC-100"/>
    <n v="52674.3"/>
    <n v="62345.94"/>
    <n v="9671.64"/>
    <n v="0.18361212204053967"/>
    <s v="Overspend"/>
  </r>
  <r>
    <d v="2024-03-01T00:00:00"/>
    <x v="2"/>
    <x v="2"/>
    <s v="Mar-2024"/>
    <x v="1"/>
    <x v="0"/>
    <x v="0"/>
    <x v="1"/>
    <s v="CC-100"/>
    <n v="49701.09"/>
    <n v="58093.77"/>
    <n v="8392.68"/>
    <n v="0.16886309736868951"/>
    <s v="Overspend"/>
  </r>
  <r>
    <d v="2024-03-01T00:00:00"/>
    <x v="2"/>
    <x v="2"/>
    <s v="Mar-2024"/>
    <x v="1"/>
    <x v="0"/>
    <x v="0"/>
    <x v="2"/>
    <s v="CC-100"/>
    <n v="49538.76"/>
    <n v="58875.63"/>
    <n v="9336.8699999999953"/>
    <n v="0.1884760539020354"/>
    <s v="Overspend"/>
  </r>
  <r>
    <d v="2024-03-01T00:00:00"/>
    <x v="2"/>
    <x v="2"/>
    <s v="Mar-2024"/>
    <x v="1"/>
    <x v="0"/>
    <x v="0"/>
    <x v="3"/>
    <s v="CC-100"/>
    <n v="54073.73"/>
    <n v="64851.16"/>
    <n v="10777.43"/>
    <n v="0.19930990519795841"/>
    <s v="Overspend"/>
  </r>
  <r>
    <d v="2024-03-01T00:00:00"/>
    <x v="2"/>
    <x v="2"/>
    <s v="Mar-2024"/>
    <x v="1"/>
    <x v="0"/>
    <x v="1"/>
    <x v="0"/>
    <s v="CC-100"/>
    <n v="19888.009999999998"/>
    <n v="23456.03"/>
    <n v="3568.0200000000004"/>
    <n v="0.17940558155391118"/>
    <s v="Overspend"/>
  </r>
  <r>
    <d v="2024-03-01T00:00:00"/>
    <x v="2"/>
    <x v="2"/>
    <s v="Mar-2024"/>
    <x v="1"/>
    <x v="0"/>
    <x v="1"/>
    <x v="1"/>
    <s v="CC-100"/>
    <n v="18069.89"/>
    <n v="20755.29"/>
    <n v="2685.4000000000015"/>
    <n v="0.14861186205339388"/>
    <s v="Overspend"/>
  </r>
  <r>
    <d v="2024-03-01T00:00:00"/>
    <x v="2"/>
    <x v="2"/>
    <s v="Mar-2024"/>
    <x v="1"/>
    <x v="0"/>
    <x v="1"/>
    <x v="2"/>
    <s v="CC-100"/>
    <n v="18719.689999999999"/>
    <n v="21686.25"/>
    <n v="2966.5600000000013"/>
    <n v="0.15847270975106967"/>
    <s v="Overspend"/>
  </r>
  <r>
    <d v="2024-03-01T00:00:00"/>
    <x v="2"/>
    <x v="2"/>
    <s v="Mar-2024"/>
    <x v="1"/>
    <x v="0"/>
    <x v="1"/>
    <x v="3"/>
    <s v="CC-100"/>
    <n v="20110.72"/>
    <n v="23186.67"/>
    <n v="3075.9499999999971"/>
    <n v="0.15295076456735496"/>
    <s v="Overspend"/>
  </r>
  <r>
    <d v="2024-03-01T00:00:00"/>
    <x v="2"/>
    <x v="2"/>
    <s v="Mar-2024"/>
    <x v="1"/>
    <x v="0"/>
    <x v="2"/>
    <x v="0"/>
    <s v="CC-100"/>
    <n v="11246.11"/>
    <n v="12649.3"/>
    <n v="1403.1899999999987"/>
    <n v="0.12477114308858785"/>
    <s v="Overspend"/>
  </r>
  <r>
    <d v="2024-03-01T00:00:00"/>
    <x v="2"/>
    <x v="2"/>
    <s v="Mar-2024"/>
    <x v="1"/>
    <x v="0"/>
    <x v="2"/>
    <x v="1"/>
    <s v="CC-100"/>
    <n v="10273.629999999999"/>
    <n v="12348.29"/>
    <n v="2074.6600000000017"/>
    <n v="0.20194030736944993"/>
    <s v="Overspend"/>
  </r>
  <r>
    <d v="2024-03-01T00:00:00"/>
    <x v="2"/>
    <x v="2"/>
    <s v="Mar-2024"/>
    <x v="1"/>
    <x v="0"/>
    <x v="2"/>
    <x v="2"/>
    <s v="CC-100"/>
    <n v="10398.799999999999"/>
    <n v="11408.74"/>
    <n v="1009.9400000000005"/>
    <n v="9.7120821633265436E-2"/>
    <s v="Overspend"/>
  </r>
  <r>
    <d v="2024-03-01T00:00:00"/>
    <x v="2"/>
    <x v="2"/>
    <s v="Mar-2024"/>
    <x v="1"/>
    <x v="0"/>
    <x v="2"/>
    <x v="3"/>
    <s v="CC-100"/>
    <n v="11472.86"/>
    <n v="13522.67"/>
    <n v="2049.8099999999995"/>
    <n v="0.17866599958510776"/>
    <s v="Overspend"/>
  </r>
  <r>
    <d v="2024-03-01T00:00:00"/>
    <x v="2"/>
    <x v="2"/>
    <s v="Mar-2024"/>
    <x v="1"/>
    <x v="0"/>
    <x v="3"/>
    <x v="0"/>
    <s v="CC-100"/>
    <n v="8515.39"/>
    <n v="9875.25"/>
    <n v="1359.8600000000006"/>
    <n v="0.15969438863046798"/>
    <s v="Overspend"/>
  </r>
  <r>
    <d v="2024-03-01T00:00:00"/>
    <x v="2"/>
    <x v="2"/>
    <s v="Mar-2024"/>
    <x v="1"/>
    <x v="0"/>
    <x v="3"/>
    <x v="1"/>
    <s v="CC-100"/>
    <n v="8220.65"/>
    <n v="9470.89"/>
    <n v="1250.2399999999998"/>
    <n v="0.15208529739132548"/>
    <s v="Overspend"/>
  </r>
  <r>
    <d v="2024-03-01T00:00:00"/>
    <x v="2"/>
    <x v="2"/>
    <s v="Mar-2024"/>
    <x v="1"/>
    <x v="0"/>
    <x v="3"/>
    <x v="2"/>
    <s v="CC-100"/>
    <n v="8542.33"/>
    <n v="9601.2099999999991"/>
    <n v="1058.8799999999992"/>
    <n v="0.12395681271971455"/>
    <s v="Overspend"/>
  </r>
  <r>
    <d v="2024-03-01T00:00:00"/>
    <x v="2"/>
    <x v="2"/>
    <s v="Mar-2024"/>
    <x v="1"/>
    <x v="0"/>
    <x v="3"/>
    <x v="3"/>
    <s v="CC-100"/>
    <n v="8676.1"/>
    <n v="9992.7199999999993"/>
    <n v="1316.619999999999"/>
    <n v="0.15175251553117172"/>
    <s v="Overspend"/>
  </r>
  <r>
    <d v="2024-03-01T00:00:00"/>
    <x v="2"/>
    <x v="2"/>
    <s v="Mar-2024"/>
    <x v="1"/>
    <x v="0"/>
    <x v="4"/>
    <x v="0"/>
    <s v="CC-100"/>
    <n v="9019.76"/>
    <n v="10491.95"/>
    <n v="1472.1900000000005"/>
    <n v="0.16321831179543586"/>
    <s v="Overspend"/>
  </r>
  <r>
    <d v="2024-03-01T00:00:00"/>
    <x v="2"/>
    <x v="2"/>
    <s v="Mar-2024"/>
    <x v="1"/>
    <x v="0"/>
    <x v="4"/>
    <x v="1"/>
    <s v="CC-100"/>
    <n v="8510.7000000000007"/>
    <n v="9643.1200000000008"/>
    <n v="1132.42"/>
    <n v="0.13305838532670639"/>
    <s v="Overspend"/>
  </r>
  <r>
    <d v="2024-03-01T00:00:00"/>
    <x v="2"/>
    <x v="2"/>
    <s v="Mar-2024"/>
    <x v="1"/>
    <x v="0"/>
    <x v="4"/>
    <x v="2"/>
    <s v="CC-100"/>
    <n v="8277.43"/>
    <n v="9701.74"/>
    <n v="1424.3099999999995"/>
    <n v="0.17207152461573211"/>
    <s v="Overspend"/>
  </r>
  <r>
    <d v="2024-03-01T00:00:00"/>
    <x v="2"/>
    <x v="2"/>
    <s v="Mar-2024"/>
    <x v="1"/>
    <x v="0"/>
    <x v="4"/>
    <x v="3"/>
    <s v="CC-100"/>
    <n v="9286.7199999999993"/>
    <n v="10985.45"/>
    <n v="1698.7300000000014"/>
    <n v="0.18292034216601788"/>
    <s v="Overspend"/>
  </r>
  <r>
    <d v="2024-03-01T00:00:00"/>
    <x v="2"/>
    <x v="2"/>
    <s v="Mar-2024"/>
    <x v="1"/>
    <x v="1"/>
    <x v="0"/>
    <x v="0"/>
    <s v="CC-200"/>
    <n v="55058.89"/>
    <n v="48431.01"/>
    <n v="-6627.8799999999974"/>
    <n v="-0.12037801706500072"/>
    <s v="Underspend"/>
  </r>
  <r>
    <d v="2024-03-01T00:00:00"/>
    <x v="2"/>
    <x v="2"/>
    <s v="Mar-2024"/>
    <x v="1"/>
    <x v="1"/>
    <x v="0"/>
    <x v="1"/>
    <s v="CC-200"/>
    <n v="50026.49"/>
    <n v="43070.52"/>
    <n v="-6955.9700000000012"/>
    <n v="-0.13904573357035446"/>
    <s v="Underspend"/>
  </r>
  <r>
    <d v="2024-03-01T00:00:00"/>
    <x v="2"/>
    <x v="2"/>
    <s v="Mar-2024"/>
    <x v="1"/>
    <x v="1"/>
    <x v="0"/>
    <x v="2"/>
    <s v="CC-200"/>
    <n v="51047.08"/>
    <n v="45590.43"/>
    <n v="-5456.6500000000015"/>
    <n v="-0.10689445899745884"/>
    <s v="Underspend"/>
  </r>
  <r>
    <d v="2024-03-01T00:00:00"/>
    <x v="2"/>
    <x v="2"/>
    <s v="Mar-2024"/>
    <x v="1"/>
    <x v="1"/>
    <x v="0"/>
    <x v="3"/>
    <s v="CC-200"/>
    <n v="57520.68"/>
    <n v="49617.82"/>
    <n v="-7902.8600000000006"/>
    <n v="-0.13739163027975332"/>
    <s v="Underspend"/>
  </r>
  <r>
    <d v="2024-03-01T00:00:00"/>
    <x v="2"/>
    <x v="2"/>
    <s v="Mar-2024"/>
    <x v="1"/>
    <x v="1"/>
    <x v="1"/>
    <x v="0"/>
    <s v="CC-200"/>
    <n v="29059.14"/>
    <n v="25561.83"/>
    <n v="-3497.3099999999977"/>
    <n v="-0.12035146256909178"/>
    <s v="Underspend"/>
  </r>
  <r>
    <d v="2024-03-01T00:00:00"/>
    <x v="2"/>
    <x v="2"/>
    <s v="Mar-2024"/>
    <x v="1"/>
    <x v="1"/>
    <x v="1"/>
    <x v="1"/>
    <s v="CC-200"/>
    <n v="27653.09"/>
    <n v="23306.77"/>
    <n v="-4346.32"/>
    <n v="-0.15717303201920652"/>
    <s v="Underspend"/>
  </r>
  <r>
    <d v="2024-03-01T00:00:00"/>
    <x v="2"/>
    <x v="2"/>
    <s v="Mar-2024"/>
    <x v="1"/>
    <x v="1"/>
    <x v="1"/>
    <x v="2"/>
    <s v="CC-200"/>
    <n v="28983.759999999998"/>
    <n v="25620.01"/>
    <n v="-3363.75"/>
    <n v="-0.11605637087803654"/>
    <s v="Underspend"/>
  </r>
  <r>
    <d v="2024-03-01T00:00:00"/>
    <x v="2"/>
    <x v="2"/>
    <s v="Mar-2024"/>
    <x v="1"/>
    <x v="1"/>
    <x v="1"/>
    <x v="3"/>
    <s v="CC-200"/>
    <n v="30293.63"/>
    <n v="26469.34"/>
    <n v="-3824.2900000000009"/>
    <n v="-0.1262407311372061"/>
    <s v="Underspend"/>
  </r>
  <r>
    <d v="2024-03-01T00:00:00"/>
    <x v="2"/>
    <x v="2"/>
    <s v="Mar-2024"/>
    <x v="1"/>
    <x v="1"/>
    <x v="2"/>
    <x v="0"/>
    <s v="CC-200"/>
    <n v="11733.04"/>
    <n v="10586.22"/>
    <n v="-1146.8200000000015"/>
    <n v="-9.7742784478702993E-2"/>
    <s v="Underspend"/>
  </r>
  <r>
    <d v="2024-03-01T00:00:00"/>
    <x v="2"/>
    <x v="2"/>
    <s v="Mar-2024"/>
    <x v="1"/>
    <x v="1"/>
    <x v="2"/>
    <x v="1"/>
    <s v="CC-200"/>
    <n v="11260.57"/>
    <n v="9929.59"/>
    <n v="-1330.9799999999996"/>
    <n v="-0.11819827948318776"/>
    <s v="Underspend"/>
  </r>
  <r>
    <d v="2024-03-01T00:00:00"/>
    <x v="2"/>
    <x v="2"/>
    <s v="Mar-2024"/>
    <x v="1"/>
    <x v="1"/>
    <x v="2"/>
    <x v="2"/>
    <s v="CC-200"/>
    <n v="11022.33"/>
    <n v="9435.99"/>
    <n v="-1586.3400000000001"/>
    <n v="-0.14392056851863447"/>
    <s v="Underspend"/>
  </r>
  <r>
    <d v="2024-03-01T00:00:00"/>
    <x v="2"/>
    <x v="2"/>
    <s v="Mar-2024"/>
    <x v="1"/>
    <x v="1"/>
    <x v="2"/>
    <x v="3"/>
    <s v="CC-200"/>
    <n v="11699.43"/>
    <n v="10506.69"/>
    <n v="-1192.7399999999998"/>
    <n v="-0.10194855646813561"/>
    <s v="Underspend"/>
  </r>
  <r>
    <d v="2024-03-01T00:00:00"/>
    <x v="2"/>
    <x v="2"/>
    <s v="Mar-2024"/>
    <x v="1"/>
    <x v="1"/>
    <x v="3"/>
    <x v="0"/>
    <s v="CC-200"/>
    <n v="9245.59"/>
    <n v="8001.64"/>
    <n v="-1243.9499999999998"/>
    <n v="-0.13454522642686945"/>
    <s v="Underspend"/>
  </r>
  <r>
    <d v="2024-03-01T00:00:00"/>
    <x v="2"/>
    <x v="2"/>
    <s v="Mar-2024"/>
    <x v="1"/>
    <x v="1"/>
    <x v="3"/>
    <x v="1"/>
    <s v="CC-200"/>
    <n v="8688.6"/>
    <n v="7497.05"/>
    <n v="-1191.5500000000002"/>
    <n v="-0.13713947011025943"/>
    <s v="Underspend"/>
  </r>
  <r>
    <d v="2024-03-01T00:00:00"/>
    <x v="2"/>
    <x v="2"/>
    <s v="Mar-2024"/>
    <x v="1"/>
    <x v="1"/>
    <x v="3"/>
    <x v="2"/>
    <s v="CC-200"/>
    <n v="8822.81"/>
    <n v="7970"/>
    <n v="-852.80999999999949"/>
    <n v="-9.6659680985989677E-2"/>
    <s v="Underspend"/>
  </r>
  <r>
    <d v="2024-03-01T00:00:00"/>
    <x v="2"/>
    <x v="2"/>
    <s v="Mar-2024"/>
    <x v="1"/>
    <x v="1"/>
    <x v="3"/>
    <x v="3"/>
    <s v="CC-200"/>
    <n v="9136.68"/>
    <n v="7997.5"/>
    <n v="-1139.1800000000003"/>
    <n v="-0.12468205081057893"/>
    <s v="Underspend"/>
  </r>
  <r>
    <d v="2024-03-01T00:00:00"/>
    <x v="2"/>
    <x v="2"/>
    <s v="Mar-2024"/>
    <x v="1"/>
    <x v="1"/>
    <x v="4"/>
    <x v="0"/>
    <s v="CC-200"/>
    <n v="7551.87"/>
    <n v="6553.76"/>
    <n v="-998.10999999999967"/>
    <n v="-0.13216726453183114"/>
    <s v="Underspend"/>
  </r>
  <r>
    <d v="2024-03-01T00:00:00"/>
    <x v="2"/>
    <x v="2"/>
    <s v="Mar-2024"/>
    <x v="1"/>
    <x v="1"/>
    <x v="4"/>
    <x v="1"/>
    <s v="CC-200"/>
    <n v="7173.03"/>
    <n v="6238.72"/>
    <n v="-934.30999999999949"/>
    <n v="-0.1302531844980433"/>
    <s v="Underspend"/>
  </r>
  <r>
    <d v="2024-03-01T00:00:00"/>
    <x v="2"/>
    <x v="2"/>
    <s v="Mar-2024"/>
    <x v="1"/>
    <x v="1"/>
    <x v="4"/>
    <x v="2"/>
    <s v="CC-200"/>
    <n v="7531.43"/>
    <n v="6494.53"/>
    <n v="-1036.9000000000005"/>
    <n v="-0.13767637752724257"/>
    <s v="Underspend"/>
  </r>
  <r>
    <d v="2024-03-01T00:00:00"/>
    <x v="2"/>
    <x v="2"/>
    <s v="Mar-2024"/>
    <x v="1"/>
    <x v="1"/>
    <x v="4"/>
    <x v="3"/>
    <s v="CC-200"/>
    <n v="7868.53"/>
    <n v="6974.15"/>
    <n v="-894.38000000000011"/>
    <n v="-0.11366544958206935"/>
    <s v="Underspend"/>
  </r>
  <r>
    <d v="2024-03-01T00:00:00"/>
    <x v="2"/>
    <x v="2"/>
    <s v="Mar-2024"/>
    <x v="1"/>
    <x v="2"/>
    <x v="0"/>
    <x v="0"/>
    <s v="CC-300"/>
    <n v="47223.3"/>
    <n v="46456.73"/>
    <n v="-766.56999999999971"/>
    <n v="-1.6232876567287752E-2"/>
    <s v="On Budget"/>
  </r>
  <r>
    <d v="2024-03-01T00:00:00"/>
    <x v="2"/>
    <x v="2"/>
    <s v="Mar-2024"/>
    <x v="1"/>
    <x v="2"/>
    <x v="0"/>
    <x v="1"/>
    <s v="CC-300"/>
    <n v="44795.23"/>
    <n v="46094.16"/>
    <n v="1298.9300000000003"/>
    <n v="2.8997060624535251E-2"/>
    <s v="On Budget"/>
  </r>
  <r>
    <d v="2024-03-01T00:00:00"/>
    <x v="2"/>
    <x v="2"/>
    <s v="Mar-2024"/>
    <x v="1"/>
    <x v="2"/>
    <x v="0"/>
    <x v="2"/>
    <s v="CC-300"/>
    <n v="45246.91"/>
    <n v="44503.33"/>
    <n v="-743.58000000000175"/>
    <n v="-1.643382940404111E-2"/>
    <s v="On Budget"/>
  </r>
  <r>
    <d v="2024-03-01T00:00:00"/>
    <x v="2"/>
    <x v="2"/>
    <s v="Mar-2024"/>
    <x v="1"/>
    <x v="2"/>
    <x v="0"/>
    <x v="3"/>
    <s v="CC-300"/>
    <n v="49233.59"/>
    <n v="48602.1"/>
    <n v="-631.48999999999796"/>
    <n v="-1.2826405712035178E-2"/>
    <s v="On Budget"/>
  </r>
  <r>
    <d v="2024-03-01T00:00:00"/>
    <x v="2"/>
    <x v="2"/>
    <s v="Mar-2024"/>
    <x v="1"/>
    <x v="2"/>
    <x v="1"/>
    <x v="0"/>
    <s v="CC-300"/>
    <n v="16059.39"/>
    <n v="16161.6"/>
    <n v="102.21000000000095"/>
    <n v="6.3645007687092069E-3"/>
    <s v="On Budget"/>
  </r>
  <r>
    <d v="2024-03-01T00:00:00"/>
    <x v="2"/>
    <x v="2"/>
    <s v="Mar-2024"/>
    <x v="1"/>
    <x v="2"/>
    <x v="1"/>
    <x v="1"/>
    <s v="CC-300"/>
    <n v="15206.71"/>
    <n v="14991.57"/>
    <n v="-215.13999999999942"/>
    <n v="-1.4147701902646886E-2"/>
    <s v="On Budget"/>
  </r>
  <r>
    <d v="2024-03-01T00:00:00"/>
    <x v="2"/>
    <x v="2"/>
    <s v="Mar-2024"/>
    <x v="1"/>
    <x v="2"/>
    <x v="1"/>
    <x v="2"/>
    <s v="CC-300"/>
    <n v="15253.45"/>
    <n v="15600.59"/>
    <n v="347.13999999999942"/>
    <n v="2.2758130127938231E-2"/>
    <s v="On Budget"/>
  </r>
  <r>
    <d v="2024-03-01T00:00:00"/>
    <x v="2"/>
    <x v="2"/>
    <s v="Mar-2024"/>
    <x v="1"/>
    <x v="2"/>
    <x v="1"/>
    <x v="3"/>
    <s v="CC-300"/>
    <n v="16910.7"/>
    <n v="16348.57"/>
    <n v="-562.13000000000102"/>
    <n v="-3.3241084047378348E-2"/>
    <s v="On Budget"/>
  </r>
  <r>
    <d v="2024-03-01T00:00:00"/>
    <x v="2"/>
    <x v="2"/>
    <s v="Mar-2024"/>
    <x v="1"/>
    <x v="2"/>
    <x v="2"/>
    <x v="0"/>
    <s v="CC-300"/>
    <n v="9006.02"/>
    <n v="9133.59"/>
    <n v="127.56999999999971"/>
    <n v="1.4164969653631648E-2"/>
    <s v="On Budget"/>
  </r>
  <r>
    <d v="2024-03-01T00:00:00"/>
    <x v="2"/>
    <x v="2"/>
    <s v="Mar-2024"/>
    <x v="1"/>
    <x v="2"/>
    <x v="2"/>
    <x v="1"/>
    <s v="CC-300"/>
    <n v="8521.07"/>
    <n v="8654.16"/>
    <n v="133.09000000000015"/>
    <n v="1.5618930486429539E-2"/>
    <s v="On Budget"/>
  </r>
  <r>
    <d v="2024-03-01T00:00:00"/>
    <x v="2"/>
    <x v="2"/>
    <s v="Mar-2024"/>
    <x v="1"/>
    <x v="2"/>
    <x v="2"/>
    <x v="2"/>
    <s v="CC-300"/>
    <n v="8692.69"/>
    <n v="8500.2000000000007"/>
    <n v="-192.48999999999978"/>
    <n v="-2.2143893317258499E-2"/>
    <s v="On Budget"/>
  </r>
  <r>
    <d v="2024-03-01T00:00:00"/>
    <x v="2"/>
    <x v="2"/>
    <s v="Mar-2024"/>
    <x v="1"/>
    <x v="2"/>
    <x v="2"/>
    <x v="3"/>
    <s v="CC-300"/>
    <n v="9177.1"/>
    <n v="9093.09"/>
    <n v="-84.010000000000218"/>
    <n v="-9.1543080057970624E-3"/>
    <s v="On Budget"/>
  </r>
  <r>
    <d v="2024-03-01T00:00:00"/>
    <x v="2"/>
    <x v="2"/>
    <s v="Mar-2024"/>
    <x v="1"/>
    <x v="2"/>
    <x v="3"/>
    <x v="0"/>
    <s v="CC-300"/>
    <n v="7032.63"/>
    <n v="6759.58"/>
    <n v="-273.05000000000018"/>
    <n v="-3.8826157497266339E-2"/>
    <s v="On Budget"/>
  </r>
  <r>
    <d v="2024-03-01T00:00:00"/>
    <x v="2"/>
    <x v="2"/>
    <s v="Mar-2024"/>
    <x v="1"/>
    <x v="2"/>
    <x v="3"/>
    <x v="1"/>
    <s v="CC-300"/>
    <n v="6681.6"/>
    <n v="6561.19"/>
    <n v="-120.41000000000076"/>
    <n v="-1.8021132662835362E-2"/>
    <s v="On Budget"/>
  </r>
  <r>
    <d v="2024-03-01T00:00:00"/>
    <x v="2"/>
    <x v="2"/>
    <s v="Mar-2024"/>
    <x v="1"/>
    <x v="2"/>
    <x v="3"/>
    <x v="2"/>
    <s v="CC-300"/>
    <n v="6860.04"/>
    <n v="6760.71"/>
    <n v="-99.329999999999927"/>
    <n v="-1.4479507408120059E-2"/>
    <s v="On Budget"/>
  </r>
  <r>
    <d v="2024-03-01T00:00:00"/>
    <x v="2"/>
    <x v="2"/>
    <s v="Mar-2024"/>
    <x v="1"/>
    <x v="2"/>
    <x v="3"/>
    <x v="3"/>
    <s v="CC-300"/>
    <n v="7237.75"/>
    <n v="7050.31"/>
    <n v="-187.4399999999996"/>
    <n v="-2.5897551034506524E-2"/>
    <s v="On Budget"/>
  </r>
  <r>
    <d v="2024-03-01T00:00:00"/>
    <x v="2"/>
    <x v="2"/>
    <s v="Mar-2024"/>
    <x v="1"/>
    <x v="2"/>
    <x v="4"/>
    <x v="0"/>
    <s v="CC-300"/>
    <n v="5920.47"/>
    <n v="5731.37"/>
    <n v="-189.10000000000036"/>
    <n v="-3.1940031788016889E-2"/>
    <s v="On Budget"/>
  </r>
  <r>
    <d v="2024-03-01T00:00:00"/>
    <x v="2"/>
    <x v="2"/>
    <s v="Mar-2024"/>
    <x v="1"/>
    <x v="2"/>
    <x v="4"/>
    <x v="1"/>
    <s v="CC-300"/>
    <n v="5861.46"/>
    <n v="5962.69"/>
    <n v="101.22999999999956"/>
    <n v="1.7270441152886749E-2"/>
    <s v="On Budget"/>
  </r>
  <r>
    <d v="2024-03-01T00:00:00"/>
    <x v="2"/>
    <x v="2"/>
    <s v="Mar-2024"/>
    <x v="1"/>
    <x v="2"/>
    <x v="4"/>
    <x v="2"/>
    <s v="CC-300"/>
    <n v="5866.81"/>
    <n v="5929.25"/>
    <n v="62.4399999999996"/>
    <n v="1.0642921792251597E-2"/>
    <s v="On Budget"/>
  </r>
  <r>
    <d v="2024-03-01T00:00:00"/>
    <x v="2"/>
    <x v="2"/>
    <s v="Mar-2024"/>
    <x v="1"/>
    <x v="2"/>
    <x v="4"/>
    <x v="3"/>
    <s v="CC-300"/>
    <n v="6150.17"/>
    <n v="6050.95"/>
    <n v="-99.220000000000255"/>
    <n v="-1.613288738360082E-2"/>
    <s v="On Budget"/>
  </r>
  <r>
    <d v="2024-03-01T00:00:00"/>
    <x v="2"/>
    <x v="2"/>
    <s v="Mar-2024"/>
    <x v="1"/>
    <x v="3"/>
    <x v="0"/>
    <x v="0"/>
    <s v="CC-400"/>
    <n v="55636"/>
    <n v="53853.5"/>
    <n v="-1782.5"/>
    <n v="-3.2038608095477747E-2"/>
    <s v="On Budget"/>
  </r>
  <r>
    <d v="2024-03-01T00:00:00"/>
    <x v="2"/>
    <x v="2"/>
    <s v="Mar-2024"/>
    <x v="1"/>
    <x v="3"/>
    <x v="0"/>
    <x v="1"/>
    <s v="CC-400"/>
    <n v="55780.37"/>
    <n v="49886.2"/>
    <n v="-5894.1700000000055"/>
    <n v="-0.10566745971745983"/>
    <s v="Underspend"/>
  </r>
  <r>
    <d v="2024-03-01T00:00:00"/>
    <x v="2"/>
    <x v="2"/>
    <s v="Mar-2024"/>
    <x v="1"/>
    <x v="3"/>
    <x v="0"/>
    <x v="2"/>
    <s v="CC-400"/>
    <n v="55150.27"/>
    <n v="56126.84"/>
    <n v="976.56999999999971"/>
    <n v="1.7707438241009513E-2"/>
    <s v="On Budget"/>
  </r>
  <r>
    <d v="2024-03-01T00:00:00"/>
    <x v="2"/>
    <x v="2"/>
    <s v="Mar-2024"/>
    <x v="1"/>
    <x v="3"/>
    <x v="0"/>
    <x v="3"/>
    <s v="CC-400"/>
    <n v="57723.13"/>
    <n v="65816.94"/>
    <n v="8093.8100000000049"/>
    <n v="0.14021779484237956"/>
    <s v="Overspend"/>
  </r>
  <r>
    <d v="2024-03-01T00:00:00"/>
    <x v="2"/>
    <x v="2"/>
    <s v="Mar-2024"/>
    <x v="1"/>
    <x v="3"/>
    <x v="1"/>
    <x v="0"/>
    <s v="CC-400"/>
    <n v="21995.68"/>
    <n v="23578.14"/>
    <n v="1582.4599999999991"/>
    <n v="7.1944127210434014E-2"/>
    <s v="Overspend"/>
  </r>
  <r>
    <d v="2024-03-01T00:00:00"/>
    <x v="2"/>
    <x v="2"/>
    <s v="Mar-2024"/>
    <x v="1"/>
    <x v="3"/>
    <x v="1"/>
    <x v="1"/>
    <s v="CC-400"/>
    <n v="20530.86"/>
    <n v="18666.64"/>
    <n v="-1864.2200000000012"/>
    <n v="-9.080087244275209E-2"/>
    <s v="Underspend"/>
  </r>
  <r>
    <d v="2024-03-01T00:00:00"/>
    <x v="2"/>
    <x v="2"/>
    <s v="Mar-2024"/>
    <x v="1"/>
    <x v="3"/>
    <x v="1"/>
    <x v="2"/>
    <s v="CC-400"/>
    <n v="20582.52"/>
    <n v="23094.89"/>
    <n v="2512.369999999999"/>
    <n v="0.1220632847678515"/>
    <s v="Overspend"/>
  </r>
  <r>
    <d v="2024-03-01T00:00:00"/>
    <x v="2"/>
    <x v="2"/>
    <s v="Mar-2024"/>
    <x v="1"/>
    <x v="3"/>
    <x v="1"/>
    <x v="3"/>
    <s v="CC-400"/>
    <n v="22525.68"/>
    <n v="21934.39"/>
    <n v="-591.29000000000087"/>
    <n v="-2.6249596016635273E-2"/>
    <s v="On Budget"/>
  </r>
  <r>
    <d v="2024-03-01T00:00:00"/>
    <x v="2"/>
    <x v="2"/>
    <s v="Mar-2024"/>
    <x v="1"/>
    <x v="3"/>
    <x v="2"/>
    <x v="0"/>
    <s v="CC-400"/>
    <n v="12020.6"/>
    <n v="10846.69"/>
    <n v="-1173.9099999999999"/>
    <n v="-9.7658186779362083E-2"/>
    <s v="Underspend"/>
  </r>
  <r>
    <d v="2024-03-01T00:00:00"/>
    <x v="2"/>
    <x v="2"/>
    <s v="Mar-2024"/>
    <x v="1"/>
    <x v="3"/>
    <x v="2"/>
    <x v="1"/>
    <s v="CC-400"/>
    <n v="11775.55"/>
    <n v="13791.26"/>
    <n v="2015.7100000000009"/>
    <n v="0.17117756707754636"/>
    <s v="Overspend"/>
  </r>
  <r>
    <d v="2024-03-01T00:00:00"/>
    <x v="2"/>
    <x v="2"/>
    <s v="Mar-2024"/>
    <x v="1"/>
    <x v="3"/>
    <x v="2"/>
    <x v="2"/>
    <s v="CC-400"/>
    <n v="12192.33"/>
    <n v="11606.67"/>
    <n v="-585.65999999999985"/>
    <n v="-4.8035117159722536E-2"/>
    <s v="On Budget"/>
  </r>
  <r>
    <d v="2024-03-01T00:00:00"/>
    <x v="2"/>
    <x v="2"/>
    <s v="Mar-2024"/>
    <x v="1"/>
    <x v="3"/>
    <x v="2"/>
    <x v="3"/>
    <s v="CC-400"/>
    <n v="12384.71"/>
    <n v="12654.18"/>
    <n v="269.47000000000116"/>
    <n v="2.175828097710816E-2"/>
    <s v="On Budget"/>
  </r>
  <r>
    <d v="2024-03-01T00:00:00"/>
    <x v="2"/>
    <x v="2"/>
    <s v="Mar-2024"/>
    <x v="1"/>
    <x v="3"/>
    <x v="3"/>
    <x v="0"/>
    <s v="CC-400"/>
    <n v="12900.77"/>
    <n v="12155.85"/>
    <n v="-744.92000000000007"/>
    <n v="-5.774228980130644E-2"/>
    <s v="Underspend"/>
  </r>
  <r>
    <d v="2024-03-01T00:00:00"/>
    <x v="2"/>
    <x v="2"/>
    <s v="Mar-2024"/>
    <x v="1"/>
    <x v="3"/>
    <x v="3"/>
    <x v="1"/>
    <s v="CC-400"/>
    <n v="12593.32"/>
    <n v="12715.22"/>
    <n v="121.89999999999964"/>
    <n v="9.6797349706034333E-3"/>
    <s v="On Budget"/>
  </r>
  <r>
    <d v="2024-03-01T00:00:00"/>
    <x v="2"/>
    <x v="2"/>
    <s v="Mar-2024"/>
    <x v="1"/>
    <x v="3"/>
    <x v="3"/>
    <x v="2"/>
    <s v="CC-400"/>
    <n v="12715.55"/>
    <n v="12004.86"/>
    <n v="-710.68999999999869"/>
    <n v="-5.5891408550947361E-2"/>
    <s v="Underspend"/>
  </r>
  <r>
    <d v="2024-03-01T00:00:00"/>
    <x v="2"/>
    <x v="2"/>
    <s v="Mar-2024"/>
    <x v="1"/>
    <x v="3"/>
    <x v="3"/>
    <x v="3"/>
    <s v="CC-400"/>
    <n v="13196.27"/>
    <n v="14511.51"/>
    <n v="1315.2399999999998"/>
    <n v="9.96675575749814E-2"/>
    <s v="Overspend"/>
  </r>
  <r>
    <d v="2024-03-01T00:00:00"/>
    <x v="2"/>
    <x v="2"/>
    <s v="Mar-2024"/>
    <x v="1"/>
    <x v="3"/>
    <x v="4"/>
    <x v="0"/>
    <s v="CC-400"/>
    <n v="8069.38"/>
    <n v="8321.73"/>
    <n v="252.34999999999945"/>
    <n v="3.1272538906334746E-2"/>
    <s v="On Budget"/>
  </r>
  <r>
    <d v="2024-03-01T00:00:00"/>
    <x v="2"/>
    <x v="2"/>
    <s v="Mar-2024"/>
    <x v="1"/>
    <x v="3"/>
    <x v="4"/>
    <x v="1"/>
    <s v="CC-400"/>
    <n v="7939.9"/>
    <n v="9285.7199999999993"/>
    <n v="1345.8199999999997"/>
    <n v="0.16950087532588567"/>
    <s v="Overspend"/>
  </r>
  <r>
    <d v="2024-03-01T00:00:00"/>
    <x v="2"/>
    <x v="2"/>
    <s v="Mar-2024"/>
    <x v="1"/>
    <x v="3"/>
    <x v="4"/>
    <x v="2"/>
    <s v="CC-400"/>
    <n v="7826.26"/>
    <n v="7622.94"/>
    <n v="-203.32000000000062"/>
    <n v="-2.5979203348726033E-2"/>
    <s v="On Budget"/>
  </r>
  <r>
    <d v="2024-03-01T00:00:00"/>
    <x v="2"/>
    <x v="2"/>
    <s v="Mar-2024"/>
    <x v="1"/>
    <x v="3"/>
    <x v="4"/>
    <x v="3"/>
    <s v="CC-400"/>
    <n v="8487.4500000000007"/>
    <n v="9676.7000000000007"/>
    <n v="1189.25"/>
    <n v="0.14011864576521804"/>
    <s v="Overspend"/>
  </r>
  <r>
    <d v="2024-03-01T00:00:00"/>
    <x v="2"/>
    <x v="2"/>
    <s v="Mar-2024"/>
    <x v="1"/>
    <x v="4"/>
    <x v="0"/>
    <x v="0"/>
    <s v="CC-500"/>
    <n v="44448.34"/>
    <n v="44352.91"/>
    <n v="-95.429999999993015"/>
    <n v="-2.1469868166053676E-3"/>
    <s v="On Budget"/>
  </r>
  <r>
    <d v="2024-03-01T00:00:00"/>
    <x v="2"/>
    <x v="2"/>
    <s v="Mar-2024"/>
    <x v="1"/>
    <x v="4"/>
    <x v="0"/>
    <x v="1"/>
    <s v="CC-500"/>
    <n v="43444.35"/>
    <n v="41753.919999999998"/>
    <n v="-1690.4300000000003"/>
    <n v="-3.8910238040159431E-2"/>
    <s v="On Budget"/>
  </r>
  <r>
    <d v="2024-03-01T00:00:00"/>
    <x v="2"/>
    <x v="2"/>
    <s v="Mar-2024"/>
    <x v="1"/>
    <x v="4"/>
    <x v="0"/>
    <x v="2"/>
    <s v="CC-500"/>
    <n v="44201.02"/>
    <n v="43040.2"/>
    <n v="-1160.8199999999997"/>
    <n v="-2.6262289874758541E-2"/>
    <s v="On Budget"/>
  </r>
  <r>
    <d v="2024-03-01T00:00:00"/>
    <x v="2"/>
    <x v="2"/>
    <s v="Mar-2024"/>
    <x v="1"/>
    <x v="4"/>
    <x v="0"/>
    <x v="3"/>
    <s v="CC-500"/>
    <n v="47037.61"/>
    <n v="47471.11"/>
    <n v="433.5"/>
    <n v="9.2160294708851058E-3"/>
    <s v="On Budget"/>
  </r>
  <r>
    <d v="2024-03-01T00:00:00"/>
    <x v="2"/>
    <x v="2"/>
    <s v="Mar-2024"/>
    <x v="1"/>
    <x v="4"/>
    <x v="1"/>
    <x v="0"/>
    <s v="CC-500"/>
    <n v="17830.91"/>
    <n v="17024.57"/>
    <n v="-806.34000000000015"/>
    <n v="-4.5221472151449373E-2"/>
    <s v="On Budget"/>
  </r>
  <r>
    <d v="2024-03-01T00:00:00"/>
    <x v="2"/>
    <x v="2"/>
    <s v="Mar-2024"/>
    <x v="1"/>
    <x v="4"/>
    <x v="1"/>
    <x v="1"/>
    <s v="CC-500"/>
    <n v="16390.89"/>
    <n v="16212.56"/>
    <n v="-178.32999999999993"/>
    <n v="-1.0879824097410203E-2"/>
    <s v="On Budget"/>
  </r>
  <r>
    <d v="2024-03-01T00:00:00"/>
    <x v="2"/>
    <x v="2"/>
    <s v="Mar-2024"/>
    <x v="1"/>
    <x v="4"/>
    <x v="1"/>
    <x v="2"/>
    <s v="CC-500"/>
    <n v="17195.53"/>
    <n v="16618.34"/>
    <n v="-577.18999999999869"/>
    <n v="-3.3566281469660939E-2"/>
    <s v="On Budget"/>
  </r>
  <r>
    <d v="2024-03-01T00:00:00"/>
    <x v="2"/>
    <x v="2"/>
    <s v="Mar-2024"/>
    <x v="1"/>
    <x v="4"/>
    <x v="1"/>
    <x v="3"/>
    <s v="CC-500"/>
    <n v="18019.509999999998"/>
    <n v="18641.919999999998"/>
    <n v="622.40999999999985"/>
    <n v="3.4540894841202673E-2"/>
    <s v="On Budget"/>
  </r>
  <r>
    <d v="2024-03-01T00:00:00"/>
    <x v="2"/>
    <x v="2"/>
    <s v="Mar-2024"/>
    <x v="1"/>
    <x v="4"/>
    <x v="2"/>
    <x v="0"/>
    <s v="CC-500"/>
    <n v="7458.82"/>
    <n v="7535.63"/>
    <n v="76.8100000000004"/>
    <n v="1.0297875535272389E-2"/>
    <s v="On Budget"/>
  </r>
  <r>
    <d v="2024-03-01T00:00:00"/>
    <x v="2"/>
    <x v="2"/>
    <s v="Mar-2024"/>
    <x v="1"/>
    <x v="4"/>
    <x v="2"/>
    <x v="1"/>
    <s v="CC-500"/>
    <n v="7074.93"/>
    <n v="6893.99"/>
    <n v="-180.94000000000051"/>
    <n v="-2.5574811340889663E-2"/>
    <s v="On Budget"/>
  </r>
  <r>
    <d v="2024-03-01T00:00:00"/>
    <x v="2"/>
    <x v="2"/>
    <s v="Mar-2024"/>
    <x v="1"/>
    <x v="4"/>
    <x v="2"/>
    <x v="2"/>
    <s v="CC-500"/>
    <n v="7257.54"/>
    <n v="7146.76"/>
    <n v="-110.77999999999975"/>
    <n v="-1.52641253096779E-2"/>
    <s v="On Budget"/>
  </r>
  <r>
    <d v="2024-03-01T00:00:00"/>
    <x v="2"/>
    <x v="2"/>
    <s v="Mar-2024"/>
    <x v="1"/>
    <x v="4"/>
    <x v="2"/>
    <x v="3"/>
    <s v="CC-500"/>
    <n v="7633.01"/>
    <n v="7572.82"/>
    <n v="-60.190000000000509"/>
    <n v="-7.8854868524999323E-3"/>
    <s v="On Budget"/>
  </r>
  <r>
    <d v="2024-03-01T00:00:00"/>
    <x v="2"/>
    <x v="2"/>
    <s v="Mar-2024"/>
    <x v="1"/>
    <x v="4"/>
    <x v="3"/>
    <x v="0"/>
    <s v="CC-500"/>
    <n v="7704.35"/>
    <n v="7928.82"/>
    <n v="224.46999999999935"/>
    <n v="2.9135488392920798E-2"/>
    <s v="On Budget"/>
  </r>
  <r>
    <d v="2024-03-01T00:00:00"/>
    <x v="2"/>
    <x v="2"/>
    <s v="Mar-2024"/>
    <x v="1"/>
    <x v="4"/>
    <x v="3"/>
    <x v="1"/>
    <s v="CC-500"/>
    <n v="7199.66"/>
    <n v="6810.04"/>
    <n v="-389.61999999999989"/>
    <n v="-5.4116444387651626E-2"/>
    <s v="Underspend"/>
  </r>
  <r>
    <d v="2024-03-01T00:00:00"/>
    <x v="2"/>
    <x v="2"/>
    <s v="Mar-2024"/>
    <x v="1"/>
    <x v="4"/>
    <x v="3"/>
    <x v="2"/>
    <s v="CC-500"/>
    <n v="7623.68"/>
    <n v="7596.69"/>
    <n v="-26.990000000000691"/>
    <n v="-3.5402850067160073E-3"/>
    <s v="On Budget"/>
  </r>
  <r>
    <d v="2024-03-01T00:00:00"/>
    <x v="2"/>
    <x v="2"/>
    <s v="Mar-2024"/>
    <x v="1"/>
    <x v="4"/>
    <x v="3"/>
    <x v="3"/>
    <s v="CC-500"/>
    <n v="7817.48"/>
    <n v="8152.13"/>
    <n v="334.65000000000055"/>
    <n v="4.280791252424062E-2"/>
    <s v="On Budget"/>
  </r>
  <r>
    <d v="2024-03-01T00:00:00"/>
    <x v="2"/>
    <x v="2"/>
    <s v="Mar-2024"/>
    <x v="1"/>
    <x v="4"/>
    <x v="4"/>
    <x v="0"/>
    <s v="CC-500"/>
    <n v="6627.07"/>
    <n v="6428.07"/>
    <n v="-199"/>
    <n v="-3.002835340504929E-2"/>
    <s v="On Budget"/>
  </r>
  <r>
    <d v="2024-03-01T00:00:00"/>
    <x v="2"/>
    <x v="2"/>
    <s v="Mar-2024"/>
    <x v="1"/>
    <x v="4"/>
    <x v="4"/>
    <x v="1"/>
    <s v="CC-500"/>
    <n v="6289.53"/>
    <n v="5997.08"/>
    <n v="-292.44999999999982"/>
    <n v="-4.649791001871361E-2"/>
    <s v="On Budget"/>
  </r>
  <r>
    <d v="2024-03-01T00:00:00"/>
    <x v="2"/>
    <x v="2"/>
    <s v="Mar-2024"/>
    <x v="1"/>
    <x v="4"/>
    <x v="4"/>
    <x v="2"/>
    <s v="CC-500"/>
    <n v="6253"/>
    <n v="6441.45"/>
    <n v="188.44999999999982"/>
    <n v="3.0137533983687802E-2"/>
    <s v="On Budget"/>
  </r>
  <r>
    <d v="2024-03-01T00:00:00"/>
    <x v="2"/>
    <x v="2"/>
    <s v="Mar-2024"/>
    <x v="1"/>
    <x v="4"/>
    <x v="4"/>
    <x v="3"/>
    <s v="CC-500"/>
    <n v="6883.78"/>
    <n v="6583.16"/>
    <n v="-300.61999999999989"/>
    <n v="-4.3670773906196871E-2"/>
    <s v="On Budget"/>
  </r>
  <r>
    <d v="2024-04-01T00:00:00"/>
    <x v="3"/>
    <x v="3"/>
    <s v="Apr-2024"/>
    <x v="1"/>
    <x v="0"/>
    <x v="0"/>
    <x v="0"/>
    <s v="CC-100"/>
    <n v="52908.55"/>
    <n v="59214.52"/>
    <n v="6305.9699999999939"/>
    <n v="0.11918621848453594"/>
    <s v="Overspend"/>
  </r>
  <r>
    <d v="2024-04-01T00:00:00"/>
    <x v="3"/>
    <x v="3"/>
    <s v="Apr-2024"/>
    <x v="1"/>
    <x v="0"/>
    <x v="0"/>
    <x v="1"/>
    <s v="CC-100"/>
    <n v="49821.96"/>
    <n v="55781.86"/>
    <n v="5959.9000000000015"/>
    <n v="0.11962395698603591"/>
    <s v="Overspend"/>
  </r>
  <r>
    <d v="2024-04-01T00:00:00"/>
    <x v="3"/>
    <x v="3"/>
    <s v="Apr-2024"/>
    <x v="1"/>
    <x v="0"/>
    <x v="0"/>
    <x v="2"/>
    <s v="CC-100"/>
    <n v="50663.58"/>
    <n v="55978.33"/>
    <n v="5314.75"/>
    <n v="0.10490277236626389"/>
    <s v="Overspend"/>
  </r>
  <r>
    <d v="2024-04-01T00:00:00"/>
    <x v="3"/>
    <x v="3"/>
    <s v="Apr-2024"/>
    <x v="1"/>
    <x v="0"/>
    <x v="0"/>
    <x v="3"/>
    <s v="CC-100"/>
    <n v="53636.11"/>
    <n v="61083.61"/>
    <n v="7447.5"/>
    <n v="0.13885235152213685"/>
    <s v="Overspend"/>
  </r>
  <r>
    <d v="2024-04-01T00:00:00"/>
    <x v="3"/>
    <x v="3"/>
    <s v="Apr-2024"/>
    <x v="1"/>
    <x v="0"/>
    <x v="1"/>
    <x v="0"/>
    <s v="CC-100"/>
    <n v="19183.62"/>
    <n v="21952.66"/>
    <n v="2769.0400000000009"/>
    <n v="0.14434397678853111"/>
    <s v="Overspend"/>
  </r>
  <r>
    <d v="2024-04-01T00:00:00"/>
    <x v="3"/>
    <x v="3"/>
    <s v="Apr-2024"/>
    <x v="1"/>
    <x v="0"/>
    <x v="1"/>
    <x v="1"/>
    <s v="CC-100"/>
    <n v="18283.560000000001"/>
    <n v="21431.72"/>
    <n v="3148.16"/>
    <n v="0.17218528557895724"/>
    <s v="Overspend"/>
  </r>
  <r>
    <d v="2024-04-01T00:00:00"/>
    <x v="3"/>
    <x v="3"/>
    <s v="Apr-2024"/>
    <x v="1"/>
    <x v="0"/>
    <x v="1"/>
    <x v="2"/>
    <s v="CC-100"/>
    <n v="18997.25"/>
    <n v="21114.94"/>
    <n v="2117.6899999999987"/>
    <n v="0.11147350274381812"/>
    <s v="Overspend"/>
  </r>
  <r>
    <d v="2024-04-01T00:00:00"/>
    <x v="3"/>
    <x v="3"/>
    <s v="Apr-2024"/>
    <x v="1"/>
    <x v="0"/>
    <x v="1"/>
    <x v="3"/>
    <s v="CC-100"/>
    <n v="20694.86"/>
    <n v="24759.16"/>
    <n v="4064.2999999999993"/>
    <n v="0.1963917610459795"/>
    <s v="Overspend"/>
  </r>
  <r>
    <d v="2024-04-01T00:00:00"/>
    <x v="3"/>
    <x v="3"/>
    <s v="Apr-2024"/>
    <x v="1"/>
    <x v="0"/>
    <x v="2"/>
    <x v="0"/>
    <s v="CC-100"/>
    <n v="11127.32"/>
    <n v="13097.32"/>
    <n v="1970"/>
    <n v="0.17704173152205563"/>
    <s v="Overspend"/>
  </r>
  <r>
    <d v="2024-04-01T00:00:00"/>
    <x v="3"/>
    <x v="3"/>
    <s v="Apr-2024"/>
    <x v="1"/>
    <x v="0"/>
    <x v="2"/>
    <x v="1"/>
    <s v="CC-100"/>
    <n v="10738.51"/>
    <n v="12599.58"/>
    <n v="1861.0699999999997"/>
    <n v="0.17330802876749193"/>
    <s v="Overspend"/>
  </r>
  <r>
    <d v="2024-04-01T00:00:00"/>
    <x v="3"/>
    <x v="3"/>
    <s v="Apr-2024"/>
    <x v="1"/>
    <x v="0"/>
    <x v="2"/>
    <x v="2"/>
    <s v="CC-100"/>
    <n v="10523.14"/>
    <n v="12153.79"/>
    <n v="1630.6500000000015"/>
    <n v="0.15495850097974573"/>
    <s v="Overspend"/>
  </r>
  <r>
    <d v="2024-04-01T00:00:00"/>
    <x v="3"/>
    <x v="3"/>
    <s v="Apr-2024"/>
    <x v="1"/>
    <x v="0"/>
    <x v="2"/>
    <x v="3"/>
    <s v="CC-100"/>
    <n v="11237.29"/>
    <n v="12718.96"/>
    <n v="1481.6699999999983"/>
    <n v="0.13185296454928172"/>
    <s v="Overspend"/>
  </r>
  <r>
    <d v="2024-04-01T00:00:00"/>
    <x v="3"/>
    <x v="3"/>
    <s v="Apr-2024"/>
    <x v="1"/>
    <x v="0"/>
    <x v="3"/>
    <x v="0"/>
    <s v="CC-100"/>
    <n v="8532.56"/>
    <n v="9508.7900000000009"/>
    <n v="976.23000000000138"/>
    <n v="0.11441232174165801"/>
    <s v="Overspend"/>
  </r>
  <r>
    <d v="2024-04-01T00:00:00"/>
    <x v="3"/>
    <x v="3"/>
    <s v="Apr-2024"/>
    <x v="1"/>
    <x v="0"/>
    <x v="3"/>
    <x v="1"/>
    <s v="CC-100"/>
    <n v="8100.15"/>
    <n v="9494.5300000000007"/>
    <n v="1394.380000000001"/>
    <n v="0.17214249118843492"/>
    <s v="Overspend"/>
  </r>
  <r>
    <d v="2024-04-01T00:00:00"/>
    <x v="3"/>
    <x v="3"/>
    <s v="Apr-2024"/>
    <x v="1"/>
    <x v="0"/>
    <x v="3"/>
    <x v="2"/>
    <s v="CC-100"/>
    <n v="8559.48"/>
    <n v="10013.129999999999"/>
    <n v="1453.6499999999996"/>
    <n v="0.1698292419632968"/>
    <s v="Overspend"/>
  </r>
  <r>
    <d v="2024-04-01T00:00:00"/>
    <x v="3"/>
    <x v="3"/>
    <s v="Apr-2024"/>
    <x v="1"/>
    <x v="0"/>
    <x v="3"/>
    <x v="3"/>
    <s v="CC-100"/>
    <n v="8803.7099999999991"/>
    <n v="10379.780000000001"/>
    <n v="1576.0700000000015"/>
    <n v="0.17902338900304549"/>
    <s v="Overspend"/>
  </r>
  <r>
    <d v="2024-04-01T00:00:00"/>
    <x v="3"/>
    <x v="3"/>
    <s v="Apr-2024"/>
    <x v="1"/>
    <x v="0"/>
    <x v="4"/>
    <x v="0"/>
    <s v="CC-100"/>
    <n v="8602.83"/>
    <n v="10375.4"/>
    <n v="1772.5699999999997"/>
    <n v="0.20604498752154812"/>
    <s v="Overspend"/>
  </r>
  <r>
    <d v="2024-04-01T00:00:00"/>
    <x v="3"/>
    <x v="3"/>
    <s v="Apr-2024"/>
    <x v="1"/>
    <x v="0"/>
    <x v="4"/>
    <x v="1"/>
    <s v="CC-100"/>
    <n v="8284.44"/>
    <n v="9665.85"/>
    <n v="1381.4099999999999"/>
    <n v="0.16674754117357357"/>
    <s v="Overspend"/>
  </r>
  <r>
    <d v="2024-04-01T00:00:00"/>
    <x v="3"/>
    <x v="3"/>
    <s v="Apr-2024"/>
    <x v="1"/>
    <x v="0"/>
    <x v="4"/>
    <x v="2"/>
    <s v="CC-100"/>
    <n v="8463.51"/>
    <n v="9483.0400000000009"/>
    <n v="1019.5300000000007"/>
    <n v="0.1204618414818439"/>
    <s v="Overspend"/>
  </r>
  <r>
    <d v="2024-04-01T00:00:00"/>
    <x v="3"/>
    <x v="3"/>
    <s v="Apr-2024"/>
    <x v="1"/>
    <x v="0"/>
    <x v="4"/>
    <x v="3"/>
    <s v="CC-100"/>
    <n v="9180.18"/>
    <n v="10510.74"/>
    <n v="1330.5599999999995"/>
    <n v="0.14493833454245988"/>
    <s v="Overspend"/>
  </r>
  <r>
    <d v="2024-04-01T00:00:00"/>
    <x v="3"/>
    <x v="3"/>
    <s v="Apr-2024"/>
    <x v="1"/>
    <x v="1"/>
    <x v="0"/>
    <x v="0"/>
    <s v="CC-200"/>
    <n v="53225.63"/>
    <n v="47872.02"/>
    <n v="-5353.6100000000006"/>
    <n v="-0.10058330920648569"/>
    <s v="Underspend"/>
  </r>
  <r>
    <d v="2024-04-01T00:00:00"/>
    <x v="3"/>
    <x v="3"/>
    <s v="Apr-2024"/>
    <x v="1"/>
    <x v="1"/>
    <x v="0"/>
    <x v="1"/>
    <s v="CC-200"/>
    <n v="52757.07"/>
    <n v="45242.64"/>
    <n v="-7514.43"/>
    <n v="-0.14243455900792065"/>
    <s v="Underspend"/>
  </r>
  <r>
    <d v="2024-04-01T00:00:00"/>
    <x v="3"/>
    <x v="3"/>
    <s v="Apr-2024"/>
    <x v="1"/>
    <x v="1"/>
    <x v="0"/>
    <x v="2"/>
    <s v="CC-200"/>
    <n v="53675.59"/>
    <n v="46228.78"/>
    <n v="-7446.8099999999977"/>
    <n v="-0.13873736646397364"/>
    <s v="Underspend"/>
  </r>
  <r>
    <d v="2024-04-01T00:00:00"/>
    <x v="3"/>
    <x v="3"/>
    <s v="Apr-2024"/>
    <x v="1"/>
    <x v="1"/>
    <x v="0"/>
    <x v="3"/>
    <s v="CC-200"/>
    <n v="55460.27"/>
    <n v="47847.5"/>
    <n v="-7612.7699999999968"/>
    <n v="-0.13726528918809802"/>
    <s v="Underspend"/>
  </r>
  <r>
    <d v="2024-04-01T00:00:00"/>
    <x v="3"/>
    <x v="3"/>
    <s v="Apr-2024"/>
    <x v="1"/>
    <x v="1"/>
    <x v="1"/>
    <x v="0"/>
    <s v="CC-200"/>
    <n v="29599.33"/>
    <n v="25636.83"/>
    <n v="-3962.5"/>
    <n v="-0.13387127343760821"/>
    <s v="Underspend"/>
  </r>
  <r>
    <d v="2024-04-01T00:00:00"/>
    <x v="3"/>
    <x v="3"/>
    <s v="Apr-2024"/>
    <x v="1"/>
    <x v="1"/>
    <x v="1"/>
    <x v="1"/>
    <s v="CC-200"/>
    <n v="27696.42"/>
    <n v="24104.43"/>
    <n v="-3591.989999999998"/>
    <n v="-0.12969149081361411"/>
    <s v="Underspend"/>
  </r>
  <r>
    <d v="2024-04-01T00:00:00"/>
    <x v="3"/>
    <x v="3"/>
    <s v="Apr-2024"/>
    <x v="1"/>
    <x v="1"/>
    <x v="1"/>
    <x v="2"/>
    <s v="CC-200"/>
    <n v="28475.65"/>
    <n v="24372.07"/>
    <n v="-4103.5800000000017"/>
    <n v="-0.14410838734146547"/>
    <s v="Underspend"/>
  </r>
  <r>
    <d v="2024-04-01T00:00:00"/>
    <x v="3"/>
    <x v="3"/>
    <s v="Apr-2024"/>
    <x v="1"/>
    <x v="1"/>
    <x v="1"/>
    <x v="3"/>
    <s v="CC-200"/>
    <n v="30142.82"/>
    <n v="26092.6"/>
    <n v="-4050.2200000000012"/>
    <n v="-0.13436765372317525"/>
    <s v="Underspend"/>
  </r>
  <r>
    <d v="2024-04-01T00:00:00"/>
    <x v="3"/>
    <x v="3"/>
    <s v="Apr-2024"/>
    <x v="1"/>
    <x v="1"/>
    <x v="2"/>
    <x v="0"/>
    <s v="CC-200"/>
    <n v="11445.58"/>
    <n v="10384.219999999999"/>
    <n v="-1061.3600000000006"/>
    <n v="-9.2730993099519696E-2"/>
    <s v="Underspend"/>
  </r>
  <r>
    <d v="2024-04-01T00:00:00"/>
    <x v="3"/>
    <x v="3"/>
    <s v="Apr-2024"/>
    <x v="1"/>
    <x v="1"/>
    <x v="2"/>
    <x v="1"/>
    <s v="CC-200"/>
    <n v="10851.64"/>
    <n v="9385.2800000000007"/>
    <n v="-1466.3599999999988"/>
    <n v="-0.13512796222506449"/>
    <s v="Underspend"/>
  </r>
  <r>
    <d v="2024-04-01T00:00:00"/>
    <x v="3"/>
    <x v="3"/>
    <s v="Apr-2024"/>
    <x v="1"/>
    <x v="1"/>
    <x v="2"/>
    <x v="2"/>
    <s v="CC-200"/>
    <n v="11498.5"/>
    <n v="10158.68"/>
    <n v="-1339.8199999999997"/>
    <n v="-0.1165212853850502"/>
    <s v="Underspend"/>
  </r>
  <r>
    <d v="2024-04-01T00:00:00"/>
    <x v="3"/>
    <x v="3"/>
    <s v="Apr-2024"/>
    <x v="1"/>
    <x v="1"/>
    <x v="2"/>
    <x v="3"/>
    <s v="CC-200"/>
    <n v="11782.67"/>
    <n v="10336.73"/>
    <n v="-1445.9400000000005"/>
    <n v="-0.12271751648819838"/>
    <s v="Underspend"/>
  </r>
  <r>
    <d v="2024-04-01T00:00:00"/>
    <x v="3"/>
    <x v="3"/>
    <s v="Apr-2024"/>
    <x v="1"/>
    <x v="1"/>
    <x v="3"/>
    <x v="0"/>
    <s v="CC-200"/>
    <n v="9231.9699999999993"/>
    <n v="7908.47"/>
    <n v="-1323.4999999999991"/>
    <n v="-0.14336051785263593"/>
    <s v="Underspend"/>
  </r>
  <r>
    <d v="2024-04-01T00:00:00"/>
    <x v="3"/>
    <x v="3"/>
    <s v="Apr-2024"/>
    <x v="1"/>
    <x v="1"/>
    <x v="3"/>
    <x v="1"/>
    <s v="CC-200"/>
    <n v="8409.56"/>
    <n v="7498.57"/>
    <n v="-910.98999999999978"/>
    <n v="-0.1083279030056269"/>
    <s v="Underspend"/>
  </r>
  <r>
    <d v="2024-04-01T00:00:00"/>
    <x v="3"/>
    <x v="3"/>
    <s v="Apr-2024"/>
    <x v="1"/>
    <x v="1"/>
    <x v="3"/>
    <x v="2"/>
    <s v="CC-200"/>
    <n v="8738.43"/>
    <n v="7475.8"/>
    <n v="-1262.6300000000001"/>
    <n v="-0.14449163064761061"/>
    <s v="Underspend"/>
  </r>
  <r>
    <d v="2024-04-01T00:00:00"/>
    <x v="3"/>
    <x v="3"/>
    <s v="Apr-2024"/>
    <x v="1"/>
    <x v="1"/>
    <x v="3"/>
    <x v="3"/>
    <s v="CC-200"/>
    <n v="9324.1"/>
    <n v="8277.02"/>
    <n v="-1047.08"/>
    <n v="-0.11229823789963642"/>
    <s v="Underspend"/>
  </r>
  <r>
    <d v="2024-04-01T00:00:00"/>
    <x v="3"/>
    <x v="3"/>
    <s v="Apr-2024"/>
    <x v="1"/>
    <x v="1"/>
    <x v="4"/>
    <x v="0"/>
    <s v="CC-200"/>
    <n v="7909.79"/>
    <n v="6784.77"/>
    <n v="-1125.0199999999995"/>
    <n v="-0.14223133610373973"/>
    <s v="Underspend"/>
  </r>
  <r>
    <d v="2024-04-01T00:00:00"/>
    <x v="3"/>
    <x v="3"/>
    <s v="Apr-2024"/>
    <x v="1"/>
    <x v="1"/>
    <x v="4"/>
    <x v="1"/>
    <s v="CC-200"/>
    <n v="7274.79"/>
    <n v="6169.16"/>
    <n v="-1105.6300000000001"/>
    <n v="-0.15198101938337741"/>
    <s v="Underspend"/>
  </r>
  <r>
    <d v="2024-04-01T00:00:00"/>
    <x v="3"/>
    <x v="3"/>
    <s v="Apr-2024"/>
    <x v="1"/>
    <x v="1"/>
    <x v="4"/>
    <x v="2"/>
    <s v="CC-200"/>
    <n v="7582.62"/>
    <n v="6448.65"/>
    <n v="-1133.9700000000003"/>
    <n v="-0.14954857292070553"/>
    <s v="Underspend"/>
  </r>
  <r>
    <d v="2024-04-01T00:00:00"/>
    <x v="3"/>
    <x v="3"/>
    <s v="Apr-2024"/>
    <x v="1"/>
    <x v="1"/>
    <x v="4"/>
    <x v="3"/>
    <s v="CC-200"/>
    <n v="7858.94"/>
    <n v="6760.85"/>
    <n v="-1098.0899999999992"/>
    <n v="-0.13972495018412143"/>
    <s v="Underspend"/>
  </r>
  <r>
    <d v="2024-04-01T00:00:00"/>
    <x v="3"/>
    <x v="3"/>
    <s v="Apr-2024"/>
    <x v="1"/>
    <x v="2"/>
    <x v="0"/>
    <x v="0"/>
    <s v="CC-300"/>
    <n v="48545.279999999999"/>
    <n v="47470.18"/>
    <n v="-1075.0999999999985"/>
    <n v="-2.2146334308917336E-2"/>
    <s v="On Budget"/>
  </r>
  <r>
    <d v="2024-04-01T00:00:00"/>
    <x v="3"/>
    <x v="3"/>
    <s v="Apr-2024"/>
    <x v="1"/>
    <x v="2"/>
    <x v="0"/>
    <x v="1"/>
    <s v="CC-300"/>
    <n v="45630.03"/>
    <n v="46847.5"/>
    <n v="1217.4700000000012"/>
    <n v="2.6681332447074903E-2"/>
    <s v="On Budget"/>
  </r>
  <r>
    <d v="2024-04-01T00:00:00"/>
    <x v="3"/>
    <x v="3"/>
    <s v="Apr-2024"/>
    <x v="1"/>
    <x v="2"/>
    <x v="0"/>
    <x v="2"/>
    <s v="CC-300"/>
    <n v="45317.22"/>
    <n v="45511.92"/>
    <n v="194.69999999999709"/>
    <n v="4.2963800515564959E-3"/>
    <s v="On Budget"/>
  </r>
  <r>
    <d v="2024-04-01T00:00:00"/>
    <x v="3"/>
    <x v="3"/>
    <s v="Apr-2024"/>
    <x v="1"/>
    <x v="2"/>
    <x v="0"/>
    <x v="3"/>
    <s v="CC-300"/>
    <n v="49795.32"/>
    <n v="49456.58"/>
    <n v="-338.73999999999796"/>
    <n v="-6.802647317057064E-3"/>
    <s v="On Budget"/>
  </r>
  <r>
    <d v="2024-04-01T00:00:00"/>
    <x v="3"/>
    <x v="3"/>
    <s v="Apr-2024"/>
    <x v="1"/>
    <x v="2"/>
    <x v="1"/>
    <x v="0"/>
    <s v="CC-300"/>
    <n v="16302.5"/>
    <n v="16615.97"/>
    <n v="313.47000000000116"/>
    <n v="1.9228339211777405E-2"/>
    <s v="On Budget"/>
  </r>
  <r>
    <d v="2024-04-01T00:00:00"/>
    <x v="3"/>
    <x v="3"/>
    <s v="Apr-2024"/>
    <x v="1"/>
    <x v="2"/>
    <x v="1"/>
    <x v="1"/>
    <s v="CC-300"/>
    <n v="15457.46"/>
    <n v="15358.3"/>
    <n v="-99.159999999999854"/>
    <n v="-6.4150254957800225E-3"/>
    <s v="On Budget"/>
  </r>
  <r>
    <d v="2024-04-01T00:00:00"/>
    <x v="3"/>
    <x v="3"/>
    <s v="Apr-2024"/>
    <x v="1"/>
    <x v="2"/>
    <x v="1"/>
    <x v="2"/>
    <s v="CC-300"/>
    <n v="15638.31"/>
    <n v="16048.84"/>
    <n v="410.53000000000065"/>
    <n v="2.6251557872941558E-2"/>
    <s v="On Budget"/>
  </r>
  <r>
    <d v="2024-04-01T00:00:00"/>
    <x v="3"/>
    <x v="3"/>
    <s v="Apr-2024"/>
    <x v="1"/>
    <x v="2"/>
    <x v="1"/>
    <x v="3"/>
    <s v="CC-300"/>
    <n v="16652.25"/>
    <n v="16453"/>
    <n v="-199.25"/>
    <n v="-1.1965350027774024E-2"/>
    <s v="On Budget"/>
  </r>
  <r>
    <d v="2024-04-01T00:00:00"/>
    <x v="3"/>
    <x v="3"/>
    <s v="Apr-2024"/>
    <x v="1"/>
    <x v="2"/>
    <x v="2"/>
    <x v="0"/>
    <s v="CC-300"/>
    <n v="8848.2000000000007"/>
    <n v="8668.1"/>
    <n v="-180.10000000000036"/>
    <n v="-2.0354422368391349E-2"/>
    <s v="On Budget"/>
  </r>
  <r>
    <d v="2024-04-01T00:00:00"/>
    <x v="3"/>
    <x v="3"/>
    <s v="Apr-2024"/>
    <x v="1"/>
    <x v="2"/>
    <x v="2"/>
    <x v="1"/>
    <s v="CC-300"/>
    <n v="8570.52"/>
    <n v="8373.66"/>
    <n v="-196.86000000000058"/>
    <n v="-2.2969434760084635E-2"/>
    <s v="On Budget"/>
  </r>
  <r>
    <d v="2024-04-01T00:00:00"/>
    <x v="3"/>
    <x v="3"/>
    <s v="Apr-2024"/>
    <x v="1"/>
    <x v="2"/>
    <x v="2"/>
    <x v="2"/>
    <s v="CC-300"/>
    <n v="8938.14"/>
    <n v="8821.58"/>
    <n v="-116.55999999999949"/>
    <n v="-1.3040744494939607E-2"/>
    <s v="On Budget"/>
  </r>
  <r>
    <d v="2024-04-01T00:00:00"/>
    <x v="3"/>
    <x v="3"/>
    <s v="Apr-2024"/>
    <x v="1"/>
    <x v="2"/>
    <x v="2"/>
    <x v="3"/>
    <s v="CC-300"/>
    <n v="9624.49"/>
    <n v="9603.9599999999991"/>
    <n v="-20.530000000000655"/>
    <n v="-2.1331000395865812E-3"/>
    <s v="On Budget"/>
  </r>
  <r>
    <d v="2024-04-01T00:00:00"/>
    <x v="3"/>
    <x v="3"/>
    <s v="Apr-2024"/>
    <x v="1"/>
    <x v="2"/>
    <x v="3"/>
    <x v="0"/>
    <s v="CC-300"/>
    <n v="6970.96"/>
    <n v="7009.68"/>
    <n v="38.720000000000255"/>
    <n v="5.5544716939991412E-3"/>
    <s v="On Budget"/>
  </r>
  <r>
    <d v="2024-04-01T00:00:00"/>
    <x v="3"/>
    <x v="3"/>
    <s v="Apr-2024"/>
    <x v="1"/>
    <x v="2"/>
    <x v="3"/>
    <x v="1"/>
    <s v="CC-300"/>
    <n v="6553.77"/>
    <n v="6538.48"/>
    <n v="-15.290000000000873"/>
    <n v="-2.3330083295570142E-3"/>
    <s v="On Budget"/>
  </r>
  <r>
    <d v="2024-04-01T00:00:00"/>
    <x v="3"/>
    <x v="3"/>
    <s v="Apr-2024"/>
    <x v="1"/>
    <x v="2"/>
    <x v="3"/>
    <x v="2"/>
    <s v="CC-300"/>
    <n v="6736.18"/>
    <n v="6723.33"/>
    <n v="-12.850000000000364"/>
    <n v="-1.9076093572321943E-3"/>
    <s v="On Budget"/>
  </r>
  <r>
    <d v="2024-04-01T00:00:00"/>
    <x v="3"/>
    <x v="3"/>
    <s v="Apr-2024"/>
    <x v="1"/>
    <x v="2"/>
    <x v="3"/>
    <x v="3"/>
    <s v="CC-300"/>
    <n v="7238.1"/>
    <n v="7334.76"/>
    <n v="96.659999999999854"/>
    <n v="1.3354333319517532E-2"/>
    <s v="On Budget"/>
  </r>
  <r>
    <d v="2024-04-01T00:00:00"/>
    <x v="3"/>
    <x v="3"/>
    <s v="Apr-2024"/>
    <x v="1"/>
    <x v="2"/>
    <x v="4"/>
    <x v="0"/>
    <s v="CC-300"/>
    <n v="6069.35"/>
    <n v="6014.43"/>
    <n v="-54.920000000000073"/>
    <n v="-9.0487449232619747E-3"/>
    <s v="On Budget"/>
  </r>
  <r>
    <d v="2024-04-01T00:00:00"/>
    <x v="3"/>
    <x v="3"/>
    <s v="Apr-2024"/>
    <x v="1"/>
    <x v="2"/>
    <x v="4"/>
    <x v="1"/>
    <s v="CC-300"/>
    <n v="5881.78"/>
    <n v="5795.78"/>
    <n v="-86"/>
    <n v="-1.4621424126709942E-2"/>
    <s v="On Budget"/>
  </r>
  <r>
    <d v="2024-04-01T00:00:00"/>
    <x v="3"/>
    <x v="3"/>
    <s v="Apr-2024"/>
    <x v="1"/>
    <x v="2"/>
    <x v="4"/>
    <x v="2"/>
    <s v="CC-300"/>
    <n v="5999.42"/>
    <n v="6110.09"/>
    <n v="110.67000000000007"/>
    <n v="1.844678318904162E-2"/>
    <s v="On Budget"/>
  </r>
  <r>
    <d v="2024-04-01T00:00:00"/>
    <x v="3"/>
    <x v="3"/>
    <s v="Apr-2024"/>
    <x v="1"/>
    <x v="2"/>
    <x v="4"/>
    <x v="3"/>
    <s v="CC-300"/>
    <n v="6096.17"/>
    <n v="5977.77"/>
    <n v="-118.39999999999964"/>
    <n v="-1.9422030553609828E-2"/>
    <s v="On Budget"/>
  </r>
  <r>
    <d v="2024-04-01T00:00:00"/>
    <x v="3"/>
    <x v="3"/>
    <s v="Apr-2024"/>
    <x v="1"/>
    <x v="3"/>
    <x v="0"/>
    <x v="0"/>
    <s v="CC-400"/>
    <n v="56362.7"/>
    <n v="52834.87"/>
    <n v="-3527.8299999999945"/>
    <n v="-6.2591572085794231E-2"/>
    <s v="Underspend"/>
  </r>
  <r>
    <d v="2024-04-01T00:00:00"/>
    <x v="3"/>
    <x v="3"/>
    <s v="Apr-2024"/>
    <x v="1"/>
    <x v="3"/>
    <x v="0"/>
    <x v="1"/>
    <s v="CC-400"/>
    <n v="53877.13"/>
    <n v="47127.519999999997"/>
    <n v="-6749.6100000000006"/>
    <n v="-0.1252778312430525"/>
    <s v="Underspend"/>
  </r>
  <r>
    <d v="2024-04-01T00:00:00"/>
    <x v="3"/>
    <x v="3"/>
    <s v="Apr-2024"/>
    <x v="1"/>
    <x v="3"/>
    <x v="0"/>
    <x v="2"/>
    <s v="CC-400"/>
    <n v="55502.13"/>
    <n v="59125.47"/>
    <n v="3623.3400000000038"/>
    <n v="6.5282899953569423E-2"/>
    <s v="Overspend"/>
  </r>
  <r>
    <d v="2024-04-01T00:00:00"/>
    <x v="3"/>
    <x v="3"/>
    <s v="Apr-2024"/>
    <x v="1"/>
    <x v="3"/>
    <x v="0"/>
    <x v="3"/>
    <s v="CC-400"/>
    <n v="58198.9"/>
    <n v="53745.83"/>
    <n v="-4453.07"/>
    <n v="-7.6514676394227377E-2"/>
    <s v="Underspend"/>
  </r>
  <r>
    <d v="2024-04-01T00:00:00"/>
    <x v="3"/>
    <x v="3"/>
    <s v="Apr-2024"/>
    <x v="1"/>
    <x v="3"/>
    <x v="1"/>
    <x v="0"/>
    <s v="CC-400"/>
    <n v="21674.31"/>
    <n v="22173.18"/>
    <n v="498.86999999999898"/>
    <n v="2.3016649664971984E-2"/>
    <s v="On Budget"/>
  </r>
  <r>
    <d v="2024-04-01T00:00:00"/>
    <x v="3"/>
    <x v="3"/>
    <s v="Apr-2024"/>
    <x v="1"/>
    <x v="3"/>
    <x v="1"/>
    <x v="1"/>
    <s v="CC-400"/>
    <n v="20847.68"/>
    <n v="20900.990000000002"/>
    <n v="53.31000000000131"/>
    <n v="2.5571190655267785E-3"/>
    <s v="On Budget"/>
  </r>
  <r>
    <d v="2024-04-01T00:00:00"/>
    <x v="3"/>
    <x v="3"/>
    <s v="Apr-2024"/>
    <x v="1"/>
    <x v="3"/>
    <x v="1"/>
    <x v="2"/>
    <s v="CC-400"/>
    <n v="20662.54"/>
    <n v="23933.73"/>
    <n v="3271.1899999999987"/>
    <n v="0.15831499902722504"/>
    <s v="Overspend"/>
  </r>
  <r>
    <d v="2024-04-01T00:00:00"/>
    <x v="3"/>
    <x v="3"/>
    <s v="Apr-2024"/>
    <x v="1"/>
    <x v="3"/>
    <x v="1"/>
    <x v="3"/>
    <s v="CC-400"/>
    <n v="22706.240000000002"/>
    <n v="26230.2"/>
    <n v="3523.9599999999991"/>
    <n v="0.15519786631340102"/>
    <s v="Overspend"/>
  </r>
  <r>
    <d v="2024-04-01T00:00:00"/>
    <x v="3"/>
    <x v="3"/>
    <s v="Apr-2024"/>
    <x v="1"/>
    <x v="3"/>
    <x v="2"/>
    <x v="0"/>
    <s v="CC-400"/>
    <n v="12246.59"/>
    <n v="11636.77"/>
    <n v="-609.81999999999971"/>
    <n v="-4.9795085815725004E-2"/>
    <s v="On Budget"/>
  </r>
  <r>
    <d v="2024-04-01T00:00:00"/>
    <x v="3"/>
    <x v="3"/>
    <s v="Apr-2024"/>
    <x v="1"/>
    <x v="3"/>
    <x v="2"/>
    <x v="1"/>
    <s v="CC-400"/>
    <n v="11744.19"/>
    <n v="10951.22"/>
    <n v="-792.97000000000116"/>
    <n v="-6.7520195092211646E-2"/>
    <s v="Underspend"/>
  </r>
  <r>
    <d v="2024-04-01T00:00:00"/>
    <x v="3"/>
    <x v="3"/>
    <s v="Apr-2024"/>
    <x v="1"/>
    <x v="3"/>
    <x v="2"/>
    <x v="2"/>
    <s v="CC-400"/>
    <n v="12037.17"/>
    <n v="11764.68"/>
    <n v="-272.48999999999978"/>
    <n v="-2.2637380713240719E-2"/>
    <s v="On Budget"/>
  </r>
  <r>
    <d v="2024-04-01T00:00:00"/>
    <x v="3"/>
    <x v="3"/>
    <s v="Apr-2024"/>
    <x v="1"/>
    <x v="3"/>
    <x v="2"/>
    <x v="3"/>
    <s v="CC-400"/>
    <n v="12728.45"/>
    <n v="10877.89"/>
    <n v="-1850.5600000000013"/>
    <n v="-0.14538769449540212"/>
    <s v="Underspend"/>
  </r>
  <r>
    <d v="2024-04-01T00:00:00"/>
    <x v="3"/>
    <x v="3"/>
    <s v="Apr-2024"/>
    <x v="1"/>
    <x v="3"/>
    <x v="3"/>
    <x v="0"/>
    <s v="CC-400"/>
    <n v="12852.89"/>
    <n v="11339.31"/>
    <n v="-1513.58"/>
    <n v="-0.11776184188925604"/>
    <s v="Underspend"/>
  </r>
  <r>
    <d v="2024-04-01T00:00:00"/>
    <x v="3"/>
    <x v="3"/>
    <s v="Apr-2024"/>
    <x v="1"/>
    <x v="3"/>
    <x v="3"/>
    <x v="1"/>
    <s v="CC-400"/>
    <n v="12394.65"/>
    <n v="12001.73"/>
    <n v="-392.92000000000007"/>
    <n v="-3.1700774124319771E-2"/>
    <s v="On Budget"/>
  </r>
  <r>
    <d v="2024-04-01T00:00:00"/>
    <x v="3"/>
    <x v="3"/>
    <s v="Apr-2024"/>
    <x v="1"/>
    <x v="3"/>
    <x v="3"/>
    <x v="2"/>
    <s v="CC-400"/>
    <n v="12843.69"/>
    <n v="13576.81"/>
    <n v="733.11999999999898"/>
    <n v="5.7080169328284858E-2"/>
    <s v="Overspend"/>
  </r>
  <r>
    <d v="2024-04-01T00:00:00"/>
    <x v="3"/>
    <x v="3"/>
    <s v="Apr-2024"/>
    <x v="1"/>
    <x v="3"/>
    <x v="3"/>
    <x v="3"/>
    <s v="CC-400"/>
    <n v="13703.91"/>
    <n v="13249.63"/>
    <n v="-454.28000000000065"/>
    <n v="-3.314966312534165E-2"/>
    <s v="On Budget"/>
  </r>
  <r>
    <d v="2024-04-01T00:00:00"/>
    <x v="3"/>
    <x v="3"/>
    <s v="Apr-2024"/>
    <x v="1"/>
    <x v="3"/>
    <x v="4"/>
    <x v="0"/>
    <s v="CC-400"/>
    <n v="8016.12"/>
    <n v="8648.2999999999993"/>
    <n v="632.17999999999938"/>
    <n v="7.8863589866419087E-2"/>
    <s v="Overspend"/>
  </r>
  <r>
    <d v="2024-04-01T00:00:00"/>
    <x v="3"/>
    <x v="3"/>
    <s v="Apr-2024"/>
    <x v="1"/>
    <x v="3"/>
    <x v="4"/>
    <x v="1"/>
    <s v="CC-400"/>
    <n v="7570.84"/>
    <n v="7240.64"/>
    <n v="-330.19999999999982"/>
    <n v="-4.3614711181321993E-2"/>
    <s v="On Budget"/>
  </r>
  <r>
    <d v="2024-04-01T00:00:00"/>
    <x v="3"/>
    <x v="3"/>
    <s v="Apr-2024"/>
    <x v="1"/>
    <x v="3"/>
    <x v="4"/>
    <x v="2"/>
    <s v="CC-400"/>
    <n v="7868.09"/>
    <n v="7178.28"/>
    <n v="-689.8100000000004"/>
    <n v="-8.7671849203555169E-2"/>
    <s v="Underspend"/>
  </r>
  <r>
    <d v="2024-04-01T00:00:00"/>
    <x v="3"/>
    <x v="3"/>
    <s v="Apr-2024"/>
    <x v="1"/>
    <x v="3"/>
    <x v="4"/>
    <x v="3"/>
    <s v="CC-400"/>
    <n v="8502.2999999999993"/>
    <n v="9654.16"/>
    <n v="1151.8600000000006"/>
    <n v="0.13547628288815974"/>
    <s v="Overspend"/>
  </r>
  <r>
    <d v="2024-04-01T00:00:00"/>
    <x v="3"/>
    <x v="3"/>
    <s v="Apr-2024"/>
    <x v="1"/>
    <x v="4"/>
    <x v="0"/>
    <x v="0"/>
    <s v="CC-500"/>
    <n v="45716.34"/>
    <n v="43981.79"/>
    <n v="-1734.5499999999956"/>
    <n v="-3.7941576250417157E-2"/>
    <s v="On Budget"/>
  </r>
  <r>
    <d v="2024-04-01T00:00:00"/>
    <x v="3"/>
    <x v="3"/>
    <s v="Apr-2024"/>
    <x v="1"/>
    <x v="4"/>
    <x v="0"/>
    <x v="1"/>
    <s v="CC-500"/>
    <n v="43564.63"/>
    <n v="45142.36"/>
    <n v="1577.7300000000032"/>
    <n v="3.6215847580939015E-2"/>
    <s v="On Budget"/>
  </r>
  <r>
    <d v="2024-04-01T00:00:00"/>
    <x v="3"/>
    <x v="3"/>
    <s v="Apr-2024"/>
    <x v="1"/>
    <x v="4"/>
    <x v="0"/>
    <x v="2"/>
    <s v="CC-500"/>
    <n v="44309.27"/>
    <n v="44671.86"/>
    <n v="362.59000000000378"/>
    <n v="8.1831634779811046E-3"/>
    <s v="On Budget"/>
  </r>
  <r>
    <d v="2024-04-01T00:00:00"/>
    <x v="3"/>
    <x v="3"/>
    <s v="Apr-2024"/>
    <x v="1"/>
    <x v="4"/>
    <x v="0"/>
    <x v="3"/>
    <s v="CC-500"/>
    <n v="47898.37"/>
    <n v="48155.88"/>
    <n v="257.50999999999476"/>
    <n v="5.3761745963379287E-3"/>
    <s v="On Budget"/>
  </r>
  <r>
    <d v="2024-04-01T00:00:00"/>
    <x v="3"/>
    <x v="3"/>
    <s v="Apr-2024"/>
    <x v="1"/>
    <x v="4"/>
    <x v="1"/>
    <x v="0"/>
    <s v="CC-500"/>
    <n v="17490.07"/>
    <n v="18234.419999999998"/>
    <n v="744.34999999999854"/>
    <n v="4.2558434586025019E-2"/>
    <s v="On Budget"/>
  </r>
  <r>
    <d v="2024-04-01T00:00:00"/>
    <x v="3"/>
    <x v="3"/>
    <s v="Apr-2024"/>
    <x v="1"/>
    <x v="4"/>
    <x v="1"/>
    <x v="1"/>
    <s v="CC-500"/>
    <n v="16150.23"/>
    <n v="15724.66"/>
    <n v="-425.56999999999971"/>
    <n v="-2.6350708318085857E-2"/>
    <s v="On Budget"/>
  </r>
  <r>
    <d v="2024-04-01T00:00:00"/>
    <x v="3"/>
    <x v="3"/>
    <s v="Apr-2024"/>
    <x v="1"/>
    <x v="4"/>
    <x v="1"/>
    <x v="2"/>
    <s v="CC-500"/>
    <n v="17014.12"/>
    <n v="17176.64"/>
    <n v="162.52000000000044"/>
    <n v="9.5520661662196124E-3"/>
    <s v="On Budget"/>
  </r>
  <r>
    <d v="2024-04-01T00:00:00"/>
    <x v="3"/>
    <x v="3"/>
    <s v="Apr-2024"/>
    <x v="1"/>
    <x v="4"/>
    <x v="1"/>
    <x v="3"/>
    <s v="CC-500"/>
    <n v="17915.34"/>
    <n v="18285.080000000002"/>
    <n v="369.7400000000016"/>
    <n v="2.0638179347977854E-2"/>
    <s v="On Budget"/>
  </r>
  <r>
    <d v="2024-04-01T00:00:00"/>
    <x v="3"/>
    <x v="3"/>
    <s v="Apr-2024"/>
    <x v="1"/>
    <x v="4"/>
    <x v="2"/>
    <x v="0"/>
    <s v="CC-500"/>
    <n v="7335.95"/>
    <n v="7217.53"/>
    <n v="-118.42000000000007"/>
    <n v="-1.614242190854628E-2"/>
    <s v="On Budget"/>
  </r>
  <r>
    <d v="2024-04-01T00:00:00"/>
    <x v="3"/>
    <x v="3"/>
    <s v="Apr-2024"/>
    <x v="1"/>
    <x v="4"/>
    <x v="2"/>
    <x v="1"/>
    <s v="CC-500"/>
    <n v="6980.98"/>
    <n v="7239.94"/>
    <n v="258.96000000000004"/>
    <n v="3.7095078341436313E-2"/>
    <s v="On Budget"/>
  </r>
  <r>
    <d v="2024-04-01T00:00:00"/>
    <x v="3"/>
    <x v="3"/>
    <s v="Apr-2024"/>
    <x v="1"/>
    <x v="4"/>
    <x v="2"/>
    <x v="2"/>
    <s v="CC-500"/>
    <n v="7200.62"/>
    <n v="7081.88"/>
    <n v="-118.73999999999978"/>
    <n v="-1.6490246673203111E-2"/>
    <s v="On Budget"/>
  </r>
  <r>
    <d v="2024-04-01T00:00:00"/>
    <x v="3"/>
    <x v="3"/>
    <s v="Apr-2024"/>
    <x v="1"/>
    <x v="4"/>
    <x v="2"/>
    <x v="3"/>
    <s v="CC-500"/>
    <n v="7772.02"/>
    <n v="7691.52"/>
    <n v="-80.5"/>
    <n v="-1.0357667633382311E-2"/>
    <s v="On Budget"/>
  </r>
  <r>
    <d v="2024-04-01T00:00:00"/>
    <x v="3"/>
    <x v="3"/>
    <s v="Apr-2024"/>
    <x v="1"/>
    <x v="4"/>
    <x v="3"/>
    <x v="0"/>
    <s v="CC-500"/>
    <n v="7452.74"/>
    <n v="7034.67"/>
    <n v="-418.06999999999971"/>
    <n v="-5.6096147188819105E-2"/>
    <s v="Underspend"/>
  </r>
  <r>
    <d v="2024-04-01T00:00:00"/>
    <x v="3"/>
    <x v="3"/>
    <s v="Apr-2024"/>
    <x v="1"/>
    <x v="4"/>
    <x v="3"/>
    <x v="1"/>
    <s v="CC-500"/>
    <n v="7126.89"/>
    <n v="7385.85"/>
    <n v="258.96000000000004"/>
    <n v="3.633562465535458E-2"/>
    <s v="On Budget"/>
  </r>
  <r>
    <d v="2024-04-01T00:00:00"/>
    <x v="3"/>
    <x v="3"/>
    <s v="Apr-2024"/>
    <x v="1"/>
    <x v="4"/>
    <x v="3"/>
    <x v="2"/>
    <s v="CC-500"/>
    <n v="7325.32"/>
    <n v="7258.07"/>
    <n v="-67.25"/>
    <n v="-9.1804863132259069E-3"/>
    <s v="On Budget"/>
  </r>
  <r>
    <d v="2024-04-01T00:00:00"/>
    <x v="3"/>
    <x v="3"/>
    <s v="Apr-2024"/>
    <x v="1"/>
    <x v="4"/>
    <x v="3"/>
    <x v="3"/>
    <s v="CC-500"/>
    <n v="7850.74"/>
    <n v="7590.06"/>
    <n v="-260.67999999999938"/>
    <n v="-3.3204513205124533E-2"/>
    <s v="On Budget"/>
  </r>
  <r>
    <d v="2024-04-01T00:00:00"/>
    <x v="3"/>
    <x v="3"/>
    <s v="Apr-2024"/>
    <x v="1"/>
    <x v="4"/>
    <x v="4"/>
    <x v="0"/>
    <s v="CC-500"/>
    <n v="6412.8"/>
    <n v="6550.11"/>
    <n v="137.30999999999949"/>
    <n v="2.1411863772455009E-2"/>
    <s v="On Budget"/>
  </r>
  <r>
    <d v="2024-04-01T00:00:00"/>
    <x v="3"/>
    <x v="3"/>
    <s v="Apr-2024"/>
    <x v="1"/>
    <x v="4"/>
    <x v="4"/>
    <x v="1"/>
    <s v="CC-500"/>
    <n v="6324.09"/>
    <n v="6468.51"/>
    <n v="144.42000000000007"/>
    <n v="2.2836487146767372E-2"/>
    <s v="On Budget"/>
  </r>
  <r>
    <d v="2024-04-01T00:00:00"/>
    <x v="3"/>
    <x v="3"/>
    <s v="Apr-2024"/>
    <x v="1"/>
    <x v="4"/>
    <x v="4"/>
    <x v="2"/>
    <s v="CC-500"/>
    <n v="6206.98"/>
    <n v="6481.24"/>
    <n v="274.26000000000022"/>
    <n v="4.4185739280616379E-2"/>
    <s v="On Budget"/>
  </r>
  <r>
    <d v="2024-04-01T00:00:00"/>
    <x v="3"/>
    <x v="3"/>
    <s v="Apr-2024"/>
    <x v="1"/>
    <x v="4"/>
    <x v="4"/>
    <x v="3"/>
    <s v="CC-500"/>
    <n v="6863.55"/>
    <n v="6507.41"/>
    <n v="-356.14000000000033"/>
    <n v="-5.1888599922780533E-2"/>
    <s v="Underspend"/>
  </r>
  <r>
    <d v="2024-05-01T00:00:00"/>
    <x v="4"/>
    <x v="4"/>
    <s v="May-2024"/>
    <x v="1"/>
    <x v="0"/>
    <x v="0"/>
    <x v="0"/>
    <s v="CC-100"/>
    <n v="51278.62"/>
    <n v="60672.27"/>
    <n v="9393.6499999999942"/>
    <n v="0.18318843213799424"/>
    <s v="Overspend"/>
  </r>
  <r>
    <d v="2024-05-01T00:00:00"/>
    <x v="4"/>
    <x v="4"/>
    <s v="May-2024"/>
    <x v="1"/>
    <x v="0"/>
    <x v="0"/>
    <x v="1"/>
    <s v="CC-100"/>
    <n v="49578.89"/>
    <n v="57375.06"/>
    <n v="7796.1699999999983"/>
    <n v="0.15724777218691258"/>
    <s v="Overspend"/>
  </r>
  <r>
    <d v="2024-05-01T00:00:00"/>
    <x v="4"/>
    <x v="4"/>
    <s v="May-2024"/>
    <x v="1"/>
    <x v="0"/>
    <x v="0"/>
    <x v="2"/>
    <s v="CC-100"/>
    <n v="49151.94"/>
    <n v="55172.79"/>
    <n v="6020.8499999999985"/>
    <n v="0.12249465636554728"/>
    <s v="Overspend"/>
  </r>
  <r>
    <d v="2024-05-01T00:00:00"/>
    <x v="4"/>
    <x v="4"/>
    <s v="May-2024"/>
    <x v="1"/>
    <x v="0"/>
    <x v="0"/>
    <x v="3"/>
    <s v="CC-100"/>
    <n v="53685.19"/>
    <n v="61066.92"/>
    <n v="7381.7299999999959"/>
    <n v="0.13750030501894461"/>
    <s v="Overspend"/>
  </r>
  <r>
    <d v="2024-05-01T00:00:00"/>
    <x v="4"/>
    <x v="4"/>
    <s v="May-2024"/>
    <x v="1"/>
    <x v="0"/>
    <x v="1"/>
    <x v="0"/>
    <s v="CC-100"/>
    <n v="19757.900000000001"/>
    <n v="22897.32"/>
    <n v="3139.4199999999983"/>
    <n v="0.1588944169167775"/>
    <s v="Overspend"/>
  </r>
  <r>
    <d v="2024-05-01T00:00:00"/>
    <x v="4"/>
    <x v="4"/>
    <s v="May-2024"/>
    <x v="1"/>
    <x v="0"/>
    <x v="1"/>
    <x v="1"/>
    <s v="CC-100"/>
    <n v="18641.080000000002"/>
    <n v="20994.32"/>
    <n v="2353.239999999998"/>
    <n v="0.12623946681200862"/>
    <s v="Overspend"/>
  </r>
  <r>
    <d v="2024-05-01T00:00:00"/>
    <x v="4"/>
    <x v="4"/>
    <s v="May-2024"/>
    <x v="1"/>
    <x v="0"/>
    <x v="1"/>
    <x v="2"/>
    <s v="CC-100"/>
    <n v="18831.62"/>
    <n v="21249.34"/>
    <n v="2417.7200000000012"/>
    <n v="0.1283861930094172"/>
    <s v="Overspend"/>
  </r>
  <r>
    <d v="2024-05-01T00:00:00"/>
    <x v="4"/>
    <x v="4"/>
    <s v="May-2024"/>
    <x v="1"/>
    <x v="0"/>
    <x v="1"/>
    <x v="3"/>
    <s v="CC-100"/>
    <n v="20404.64"/>
    <n v="23599.200000000001"/>
    <n v="3194.5600000000013"/>
    <n v="0.15656046859929906"/>
    <s v="Overspend"/>
  </r>
  <r>
    <d v="2024-05-01T00:00:00"/>
    <x v="4"/>
    <x v="4"/>
    <s v="May-2024"/>
    <x v="1"/>
    <x v="0"/>
    <x v="2"/>
    <x v="0"/>
    <s v="CC-100"/>
    <n v="11221.89"/>
    <n v="13188.91"/>
    <n v="1967.0200000000004"/>
    <n v="0.17528419900747561"/>
    <s v="Overspend"/>
  </r>
  <r>
    <d v="2024-05-01T00:00:00"/>
    <x v="4"/>
    <x v="4"/>
    <s v="May-2024"/>
    <x v="1"/>
    <x v="0"/>
    <x v="2"/>
    <x v="1"/>
    <s v="CC-100"/>
    <n v="10573.79"/>
    <n v="12168.01"/>
    <n v="1594.2199999999993"/>
    <n v="0.15077091563195402"/>
    <s v="Overspend"/>
  </r>
  <r>
    <d v="2024-05-01T00:00:00"/>
    <x v="4"/>
    <x v="4"/>
    <s v="May-2024"/>
    <x v="1"/>
    <x v="0"/>
    <x v="2"/>
    <x v="2"/>
    <s v="CC-100"/>
    <n v="10488.82"/>
    <n v="11818.24"/>
    <n v="1329.42"/>
    <n v="0.12674638329192417"/>
    <s v="Overspend"/>
  </r>
  <r>
    <d v="2024-05-01T00:00:00"/>
    <x v="4"/>
    <x v="4"/>
    <s v="May-2024"/>
    <x v="1"/>
    <x v="0"/>
    <x v="2"/>
    <x v="3"/>
    <s v="CC-100"/>
    <n v="11252.95"/>
    <n v="13151.92"/>
    <n v="1898.9699999999993"/>
    <n v="0.16875308252502672"/>
    <s v="Overspend"/>
  </r>
  <r>
    <d v="2024-05-01T00:00:00"/>
    <x v="4"/>
    <x v="4"/>
    <s v="May-2024"/>
    <x v="1"/>
    <x v="0"/>
    <x v="3"/>
    <x v="0"/>
    <s v="CC-100"/>
    <n v="8400.59"/>
    <n v="9741.19"/>
    <n v="1340.6000000000004"/>
    <n v="0.15958402921699552"/>
    <s v="Overspend"/>
  </r>
  <r>
    <d v="2024-05-01T00:00:00"/>
    <x v="4"/>
    <x v="4"/>
    <s v="May-2024"/>
    <x v="1"/>
    <x v="0"/>
    <x v="3"/>
    <x v="1"/>
    <s v="CC-100"/>
    <n v="8271.5400000000009"/>
    <n v="9471.07"/>
    <n v="1199.5299999999988"/>
    <n v="0.14501894447708633"/>
    <s v="Overspend"/>
  </r>
  <r>
    <d v="2024-05-01T00:00:00"/>
    <x v="4"/>
    <x v="4"/>
    <s v="May-2024"/>
    <x v="1"/>
    <x v="0"/>
    <x v="3"/>
    <x v="2"/>
    <s v="CC-100"/>
    <n v="8135.51"/>
    <n v="9704.2900000000009"/>
    <n v="1568.7800000000007"/>
    <n v="0.1928311808356207"/>
    <s v="Overspend"/>
  </r>
  <r>
    <d v="2024-05-01T00:00:00"/>
    <x v="4"/>
    <x v="4"/>
    <s v="May-2024"/>
    <x v="1"/>
    <x v="0"/>
    <x v="3"/>
    <x v="3"/>
    <s v="CC-100"/>
    <n v="8913.89"/>
    <n v="10509.08"/>
    <n v="1595.1900000000005"/>
    <n v="0.17895554017381868"/>
    <s v="Overspend"/>
  </r>
  <r>
    <d v="2024-05-01T00:00:00"/>
    <x v="4"/>
    <x v="4"/>
    <s v="May-2024"/>
    <x v="1"/>
    <x v="0"/>
    <x v="4"/>
    <x v="0"/>
    <s v="CC-100"/>
    <n v="8883.99"/>
    <n v="9889.2999999999993"/>
    <n v="1005.3099999999995"/>
    <n v="0.11315974016179661"/>
    <s v="Overspend"/>
  </r>
  <r>
    <d v="2024-05-01T00:00:00"/>
    <x v="4"/>
    <x v="4"/>
    <s v="May-2024"/>
    <x v="1"/>
    <x v="0"/>
    <x v="4"/>
    <x v="1"/>
    <s v="CC-100"/>
    <n v="8343.93"/>
    <n v="9585.4"/>
    <n v="1241.4699999999993"/>
    <n v="0.14878720219369043"/>
    <s v="Overspend"/>
  </r>
  <r>
    <d v="2024-05-01T00:00:00"/>
    <x v="4"/>
    <x v="4"/>
    <s v="May-2024"/>
    <x v="1"/>
    <x v="0"/>
    <x v="4"/>
    <x v="2"/>
    <s v="CC-100"/>
    <n v="8441.7099999999991"/>
    <n v="10023.43"/>
    <n v="1581.7200000000012"/>
    <n v="0.18736962061004245"/>
    <s v="Overspend"/>
  </r>
  <r>
    <d v="2024-05-01T00:00:00"/>
    <x v="4"/>
    <x v="4"/>
    <s v="May-2024"/>
    <x v="1"/>
    <x v="0"/>
    <x v="4"/>
    <x v="3"/>
    <s v="CC-100"/>
    <n v="9221.0300000000007"/>
    <n v="10971.6"/>
    <n v="1750.5699999999997"/>
    <n v="0.18984538603605017"/>
    <s v="Overspend"/>
  </r>
  <r>
    <d v="2024-05-01T00:00:00"/>
    <x v="4"/>
    <x v="4"/>
    <s v="May-2024"/>
    <x v="1"/>
    <x v="1"/>
    <x v="0"/>
    <x v="0"/>
    <s v="CC-200"/>
    <n v="53650.68"/>
    <n v="45828.37"/>
    <n v="-7822.3099999999977"/>
    <n v="-0.14580076151877289"/>
    <s v="Underspend"/>
  </r>
  <r>
    <d v="2024-05-01T00:00:00"/>
    <x v="4"/>
    <x v="4"/>
    <s v="May-2024"/>
    <x v="1"/>
    <x v="1"/>
    <x v="0"/>
    <x v="1"/>
    <s v="CC-200"/>
    <n v="52557.36"/>
    <n v="45774.67"/>
    <n v="-6782.6900000000023"/>
    <n v="-0.1290530955131689"/>
    <s v="Underspend"/>
  </r>
  <r>
    <d v="2024-05-01T00:00:00"/>
    <x v="4"/>
    <x v="4"/>
    <s v="May-2024"/>
    <x v="1"/>
    <x v="1"/>
    <x v="0"/>
    <x v="2"/>
    <s v="CC-200"/>
    <n v="51542"/>
    <n v="45255.75"/>
    <n v="-6286.25"/>
    <n v="-0.12196364130223895"/>
    <s v="Underspend"/>
  </r>
  <r>
    <d v="2024-05-01T00:00:00"/>
    <x v="4"/>
    <x v="4"/>
    <s v="May-2024"/>
    <x v="1"/>
    <x v="1"/>
    <x v="0"/>
    <x v="3"/>
    <s v="CC-200"/>
    <n v="55387.53"/>
    <n v="49305.46"/>
    <n v="-6082.07"/>
    <n v="-0.10980937405946789"/>
    <s v="Underspend"/>
  </r>
  <r>
    <d v="2024-05-01T00:00:00"/>
    <x v="4"/>
    <x v="4"/>
    <s v="May-2024"/>
    <x v="1"/>
    <x v="1"/>
    <x v="1"/>
    <x v="0"/>
    <s v="CC-200"/>
    <n v="30347.83"/>
    <n v="26244.98"/>
    <n v="-4102.8500000000022"/>
    <n v="-0.13519418027582208"/>
    <s v="Underspend"/>
  </r>
  <r>
    <d v="2024-05-01T00:00:00"/>
    <x v="4"/>
    <x v="4"/>
    <s v="May-2024"/>
    <x v="1"/>
    <x v="1"/>
    <x v="1"/>
    <x v="1"/>
    <s v="CC-200"/>
    <n v="27795.17"/>
    <n v="24239.77"/>
    <n v="-3555.3999999999978"/>
    <n v="-0.12791431029203987"/>
    <s v="Underspend"/>
  </r>
  <r>
    <d v="2024-05-01T00:00:00"/>
    <x v="4"/>
    <x v="4"/>
    <s v="May-2024"/>
    <x v="1"/>
    <x v="1"/>
    <x v="1"/>
    <x v="2"/>
    <s v="CC-200"/>
    <n v="29192.99"/>
    <n v="25268.06"/>
    <n v="-3924.9300000000003"/>
    <n v="-0.13444768761267689"/>
    <s v="Underspend"/>
  </r>
  <r>
    <d v="2024-05-01T00:00:00"/>
    <x v="4"/>
    <x v="4"/>
    <s v="May-2024"/>
    <x v="1"/>
    <x v="1"/>
    <x v="1"/>
    <x v="3"/>
    <s v="CC-200"/>
    <n v="30161.119999999999"/>
    <n v="26791.33"/>
    <n v="-3369.7899999999972"/>
    <n v="-0.11172628867893492"/>
    <s v="Underspend"/>
  </r>
  <r>
    <d v="2024-05-01T00:00:00"/>
    <x v="4"/>
    <x v="4"/>
    <s v="May-2024"/>
    <x v="1"/>
    <x v="1"/>
    <x v="2"/>
    <x v="0"/>
    <s v="CC-200"/>
    <n v="11595.06"/>
    <n v="10339.64"/>
    <n v="-1255.42"/>
    <n v="-0.10827197099454423"/>
    <s v="Underspend"/>
  </r>
  <r>
    <d v="2024-05-01T00:00:00"/>
    <x v="4"/>
    <x v="4"/>
    <s v="May-2024"/>
    <x v="1"/>
    <x v="1"/>
    <x v="2"/>
    <x v="1"/>
    <s v="CC-200"/>
    <n v="11198.41"/>
    <n v="9923.52"/>
    <n v="-1274.8899999999994"/>
    <n v="-0.11384562629873343"/>
    <s v="Underspend"/>
  </r>
  <r>
    <d v="2024-05-01T00:00:00"/>
    <x v="4"/>
    <x v="4"/>
    <s v="May-2024"/>
    <x v="1"/>
    <x v="1"/>
    <x v="2"/>
    <x v="2"/>
    <s v="CC-200"/>
    <n v="11052.6"/>
    <n v="9753.27"/>
    <n v="-1299.33"/>
    <n v="-0.11755876445361271"/>
    <s v="Underspend"/>
  </r>
  <r>
    <d v="2024-05-01T00:00:00"/>
    <x v="4"/>
    <x v="4"/>
    <s v="May-2024"/>
    <x v="1"/>
    <x v="1"/>
    <x v="2"/>
    <x v="3"/>
    <s v="CC-200"/>
    <n v="12369.34"/>
    <n v="10598.71"/>
    <n v="-1770.630000000001"/>
    <n v="-0.1431466836549081"/>
    <s v="Underspend"/>
  </r>
  <r>
    <d v="2024-05-01T00:00:00"/>
    <x v="4"/>
    <x v="4"/>
    <s v="May-2024"/>
    <x v="1"/>
    <x v="1"/>
    <x v="3"/>
    <x v="0"/>
    <s v="CC-200"/>
    <n v="9195.08"/>
    <n v="7905.48"/>
    <n v="-1289.6000000000004"/>
    <n v="-0.14024891572449619"/>
    <s v="Underspend"/>
  </r>
  <r>
    <d v="2024-05-01T00:00:00"/>
    <x v="4"/>
    <x v="4"/>
    <s v="May-2024"/>
    <x v="1"/>
    <x v="1"/>
    <x v="3"/>
    <x v="1"/>
    <s v="CC-200"/>
    <n v="8674.7000000000007"/>
    <n v="7391.6"/>
    <n v="-1283.1000000000004"/>
    <n v="-0.1479128961232089"/>
    <s v="Underspend"/>
  </r>
  <r>
    <d v="2024-05-01T00:00:00"/>
    <x v="4"/>
    <x v="4"/>
    <s v="May-2024"/>
    <x v="1"/>
    <x v="1"/>
    <x v="3"/>
    <x v="2"/>
    <s v="CC-200"/>
    <n v="8732.0400000000009"/>
    <n v="7488.83"/>
    <n v="-1243.2100000000009"/>
    <n v="-0.14237337437757969"/>
    <s v="Underspend"/>
  </r>
  <r>
    <d v="2024-05-01T00:00:00"/>
    <x v="4"/>
    <x v="4"/>
    <s v="May-2024"/>
    <x v="1"/>
    <x v="1"/>
    <x v="3"/>
    <x v="3"/>
    <s v="CC-200"/>
    <n v="9075.59"/>
    <n v="7853.7"/>
    <n v="-1221.8900000000003"/>
    <n v="-0.13463477305607682"/>
    <s v="Underspend"/>
  </r>
  <r>
    <d v="2024-05-01T00:00:00"/>
    <x v="4"/>
    <x v="4"/>
    <s v="May-2024"/>
    <x v="1"/>
    <x v="1"/>
    <x v="4"/>
    <x v="0"/>
    <s v="CC-200"/>
    <n v="7498.42"/>
    <n v="6623.31"/>
    <n v="-875.10999999999967"/>
    <n v="-0.11670591938034941"/>
    <s v="Underspend"/>
  </r>
  <r>
    <d v="2024-05-01T00:00:00"/>
    <x v="4"/>
    <x v="4"/>
    <s v="May-2024"/>
    <x v="1"/>
    <x v="1"/>
    <x v="4"/>
    <x v="1"/>
    <s v="CC-200"/>
    <n v="7151.88"/>
    <n v="6238.64"/>
    <n v="-913.23999999999978"/>
    <n v="-0.12769229908779225"/>
    <s v="Underspend"/>
  </r>
  <r>
    <d v="2024-05-01T00:00:00"/>
    <x v="4"/>
    <x v="4"/>
    <s v="May-2024"/>
    <x v="1"/>
    <x v="1"/>
    <x v="4"/>
    <x v="2"/>
    <s v="CC-200"/>
    <n v="7527.66"/>
    <n v="6549"/>
    <n v="-978.65999999999985"/>
    <n v="-0.13000852854671968"/>
    <s v="Underspend"/>
  </r>
  <r>
    <d v="2024-05-01T00:00:00"/>
    <x v="4"/>
    <x v="4"/>
    <s v="May-2024"/>
    <x v="1"/>
    <x v="1"/>
    <x v="4"/>
    <x v="3"/>
    <s v="CC-200"/>
    <n v="7874.8"/>
    <n v="7071.32"/>
    <n v="-803.48000000000047"/>
    <n v="-0.10203179763295582"/>
    <s v="Underspend"/>
  </r>
  <r>
    <d v="2024-05-01T00:00:00"/>
    <x v="4"/>
    <x v="4"/>
    <s v="May-2024"/>
    <x v="1"/>
    <x v="2"/>
    <x v="0"/>
    <x v="0"/>
    <s v="CC-300"/>
    <n v="48323.1"/>
    <n v="47342.8"/>
    <n v="-980.29999999999563"/>
    <n v="-2.0286364078463421E-2"/>
    <s v="On Budget"/>
  </r>
  <r>
    <d v="2024-05-01T00:00:00"/>
    <x v="4"/>
    <x v="4"/>
    <s v="May-2024"/>
    <x v="1"/>
    <x v="2"/>
    <x v="0"/>
    <x v="1"/>
    <s v="CC-300"/>
    <n v="43957.98"/>
    <n v="43304.19"/>
    <n v="-653.79000000000087"/>
    <n v="-1.4873067415745692E-2"/>
    <s v="On Budget"/>
  </r>
  <r>
    <d v="2024-05-01T00:00:00"/>
    <x v="4"/>
    <x v="4"/>
    <s v="May-2024"/>
    <x v="1"/>
    <x v="2"/>
    <x v="0"/>
    <x v="2"/>
    <s v="CC-300"/>
    <n v="46153.11"/>
    <n v="45673.599999999999"/>
    <n v="-479.51000000000204"/>
    <n v="-1.0389549046640672E-2"/>
    <s v="On Budget"/>
  </r>
  <r>
    <d v="2024-05-01T00:00:00"/>
    <x v="4"/>
    <x v="4"/>
    <s v="May-2024"/>
    <x v="1"/>
    <x v="2"/>
    <x v="0"/>
    <x v="3"/>
    <s v="CC-300"/>
    <n v="47825.84"/>
    <n v="46740.27"/>
    <n v="-1085.5699999999997"/>
    <n v="-2.2698399024460414E-2"/>
    <s v="On Budget"/>
  </r>
  <r>
    <d v="2024-05-01T00:00:00"/>
    <x v="4"/>
    <x v="4"/>
    <s v="May-2024"/>
    <x v="1"/>
    <x v="2"/>
    <x v="1"/>
    <x v="0"/>
    <s v="CC-300"/>
    <n v="16237.3"/>
    <n v="16127.13"/>
    <n v="-110.17000000000007"/>
    <n v="-6.7849950422792012E-3"/>
    <s v="On Budget"/>
  </r>
  <r>
    <d v="2024-05-01T00:00:00"/>
    <x v="4"/>
    <x v="4"/>
    <s v="May-2024"/>
    <x v="1"/>
    <x v="2"/>
    <x v="1"/>
    <x v="1"/>
    <s v="CC-300"/>
    <n v="15009.31"/>
    <n v="14702.19"/>
    <n v="-307.11999999999898"/>
    <n v="-2.0461966606059773E-2"/>
    <s v="On Budget"/>
  </r>
  <r>
    <d v="2024-05-01T00:00:00"/>
    <x v="4"/>
    <x v="4"/>
    <s v="May-2024"/>
    <x v="1"/>
    <x v="2"/>
    <x v="1"/>
    <x v="2"/>
    <s v="CC-300"/>
    <n v="15436.77"/>
    <n v="15455.88"/>
    <n v="19.109999999998763"/>
    <n v="1.2379532764949378E-3"/>
    <s v="On Budget"/>
  </r>
  <r>
    <d v="2024-05-01T00:00:00"/>
    <x v="4"/>
    <x v="4"/>
    <s v="May-2024"/>
    <x v="1"/>
    <x v="2"/>
    <x v="1"/>
    <x v="3"/>
    <s v="CC-300"/>
    <n v="16827.04"/>
    <n v="16982.48"/>
    <n v="155.43999999999869"/>
    <n v="9.2375129553384713E-3"/>
    <s v="On Budget"/>
  </r>
  <r>
    <d v="2024-05-01T00:00:00"/>
    <x v="4"/>
    <x v="4"/>
    <s v="May-2024"/>
    <x v="1"/>
    <x v="2"/>
    <x v="2"/>
    <x v="0"/>
    <s v="CC-300"/>
    <n v="8776.2099999999991"/>
    <n v="8792.32"/>
    <n v="16.110000000000582"/>
    <n v="1.8356443157126576E-3"/>
    <s v="On Budget"/>
  </r>
  <r>
    <d v="2024-05-01T00:00:00"/>
    <x v="4"/>
    <x v="4"/>
    <s v="May-2024"/>
    <x v="1"/>
    <x v="2"/>
    <x v="2"/>
    <x v="1"/>
    <s v="CC-300"/>
    <n v="8662.81"/>
    <n v="8750.7000000000007"/>
    <n v="87.890000000001237"/>
    <n v="1.0145668668711565E-2"/>
    <s v="On Budget"/>
  </r>
  <r>
    <d v="2024-05-01T00:00:00"/>
    <x v="4"/>
    <x v="4"/>
    <s v="May-2024"/>
    <x v="1"/>
    <x v="2"/>
    <x v="2"/>
    <x v="2"/>
    <s v="CC-300"/>
    <n v="8621.0300000000007"/>
    <n v="8586.4"/>
    <n v="-34.630000000001019"/>
    <n v="-4.0169214119427747E-3"/>
    <s v="On Budget"/>
  </r>
  <r>
    <d v="2024-05-01T00:00:00"/>
    <x v="4"/>
    <x v="4"/>
    <s v="May-2024"/>
    <x v="1"/>
    <x v="2"/>
    <x v="2"/>
    <x v="3"/>
    <s v="CC-300"/>
    <n v="9500.81"/>
    <n v="9289.1200000000008"/>
    <n v="-211.68999999999869"/>
    <n v="-2.228125812430716E-2"/>
    <s v="On Budget"/>
  </r>
  <r>
    <d v="2024-05-01T00:00:00"/>
    <x v="4"/>
    <x v="4"/>
    <s v="May-2024"/>
    <x v="1"/>
    <x v="2"/>
    <x v="3"/>
    <x v="0"/>
    <s v="CC-300"/>
    <n v="7020.77"/>
    <n v="7029.32"/>
    <n v="8.5499999999992724"/>
    <n v="1.2178151399346898E-3"/>
    <s v="On Budget"/>
  </r>
  <r>
    <d v="2024-05-01T00:00:00"/>
    <x v="4"/>
    <x v="4"/>
    <s v="May-2024"/>
    <x v="1"/>
    <x v="2"/>
    <x v="3"/>
    <x v="1"/>
    <s v="CC-300"/>
    <n v="6652.27"/>
    <n v="6866.06"/>
    <n v="213.78999999999996"/>
    <n v="3.213790179893479E-2"/>
    <s v="On Budget"/>
  </r>
  <r>
    <d v="2024-05-01T00:00:00"/>
    <x v="4"/>
    <x v="4"/>
    <s v="May-2024"/>
    <x v="1"/>
    <x v="2"/>
    <x v="3"/>
    <x v="2"/>
    <s v="CC-300"/>
    <n v="6968.59"/>
    <n v="7041.71"/>
    <n v="73.119999999999891"/>
    <n v="1.0492796964665719E-2"/>
    <s v="On Budget"/>
  </r>
  <r>
    <d v="2024-05-01T00:00:00"/>
    <x v="4"/>
    <x v="4"/>
    <s v="May-2024"/>
    <x v="1"/>
    <x v="2"/>
    <x v="3"/>
    <x v="3"/>
    <s v="CC-300"/>
    <n v="7338.33"/>
    <n v="7283.65"/>
    <n v="-54.680000000000291"/>
    <n v="-7.4512866006298832E-3"/>
    <s v="On Budget"/>
  </r>
  <r>
    <d v="2024-05-01T00:00:00"/>
    <x v="4"/>
    <x v="4"/>
    <s v="May-2024"/>
    <x v="1"/>
    <x v="2"/>
    <x v="4"/>
    <x v="0"/>
    <s v="CC-300"/>
    <n v="6048.65"/>
    <n v="5818.57"/>
    <n v="-230.07999999999993"/>
    <n v="-3.8038239937837358E-2"/>
    <s v="On Budget"/>
  </r>
  <r>
    <d v="2024-05-01T00:00:00"/>
    <x v="4"/>
    <x v="4"/>
    <s v="May-2024"/>
    <x v="1"/>
    <x v="2"/>
    <x v="4"/>
    <x v="1"/>
    <s v="CC-300"/>
    <n v="5844.18"/>
    <n v="5687.95"/>
    <n v="-156.23000000000047"/>
    <n v="-2.6732578394231606E-2"/>
    <s v="On Budget"/>
  </r>
  <r>
    <d v="2024-05-01T00:00:00"/>
    <x v="4"/>
    <x v="4"/>
    <s v="May-2024"/>
    <x v="1"/>
    <x v="2"/>
    <x v="4"/>
    <x v="2"/>
    <s v="CC-300"/>
    <n v="5880.53"/>
    <n v="5819.73"/>
    <n v="-60.800000000000182"/>
    <n v="-1.0339204119356619E-2"/>
    <s v="On Budget"/>
  </r>
  <r>
    <d v="2024-05-01T00:00:00"/>
    <x v="4"/>
    <x v="4"/>
    <s v="May-2024"/>
    <x v="1"/>
    <x v="2"/>
    <x v="4"/>
    <x v="3"/>
    <s v="CC-300"/>
    <n v="6132.85"/>
    <n v="6307.34"/>
    <n v="174.48999999999978"/>
    <n v="2.8451698639294906E-2"/>
    <s v="On Budget"/>
  </r>
  <r>
    <d v="2024-05-01T00:00:00"/>
    <x v="4"/>
    <x v="4"/>
    <s v="May-2024"/>
    <x v="1"/>
    <x v="3"/>
    <x v="0"/>
    <x v="0"/>
    <s v="CC-400"/>
    <n v="56322.11"/>
    <n v="50965.88"/>
    <n v="-5356.2300000000032"/>
    <n v="-9.5099952753900791E-2"/>
    <s v="Underspend"/>
  </r>
  <r>
    <d v="2024-05-01T00:00:00"/>
    <x v="4"/>
    <x v="4"/>
    <s v="May-2024"/>
    <x v="1"/>
    <x v="3"/>
    <x v="0"/>
    <x v="1"/>
    <s v="CC-400"/>
    <n v="54101.48"/>
    <n v="51289.11"/>
    <n v="-2812.3700000000026"/>
    <n v="-5.1983235948443597E-2"/>
    <s v="Underspend"/>
  </r>
  <r>
    <d v="2024-05-01T00:00:00"/>
    <x v="4"/>
    <x v="4"/>
    <s v="May-2024"/>
    <x v="1"/>
    <x v="3"/>
    <x v="0"/>
    <x v="2"/>
    <s v="CC-400"/>
    <n v="54644.7"/>
    <n v="61099.76"/>
    <n v="6455.0600000000049"/>
    <n v="0.11812783307438791"/>
    <s v="Overspend"/>
  </r>
  <r>
    <d v="2024-05-01T00:00:00"/>
    <x v="4"/>
    <x v="4"/>
    <s v="May-2024"/>
    <x v="1"/>
    <x v="3"/>
    <x v="0"/>
    <x v="3"/>
    <s v="CC-400"/>
    <n v="61146.47"/>
    <n v="56909.48"/>
    <n v="-4236.989999999998"/>
    <n v="-6.9292471012635692E-2"/>
    <s v="Underspend"/>
  </r>
  <r>
    <d v="2024-05-01T00:00:00"/>
    <x v="4"/>
    <x v="4"/>
    <s v="May-2024"/>
    <x v="1"/>
    <x v="3"/>
    <x v="1"/>
    <x v="0"/>
    <s v="CC-400"/>
    <n v="21871.66"/>
    <n v="19776.02"/>
    <n v="-2095.6399999999994"/>
    <n v="-9.5815315344148527E-2"/>
    <s v="Underspend"/>
  </r>
  <r>
    <d v="2024-05-01T00:00:00"/>
    <x v="4"/>
    <x v="4"/>
    <s v="May-2024"/>
    <x v="1"/>
    <x v="3"/>
    <x v="1"/>
    <x v="1"/>
    <s v="CC-400"/>
    <n v="20456.72"/>
    <n v="21209.42"/>
    <n v="752.69999999999709"/>
    <n v="3.6794754975382031E-2"/>
    <s v="On Budget"/>
  </r>
  <r>
    <d v="2024-05-01T00:00:00"/>
    <x v="4"/>
    <x v="4"/>
    <s v="May-2024"/>
    <x v="1"/>
    <x v="3"/>
    <x v="1"/>
    <x v="2"/>
    <s v="CC-400"/>
    <n v="21290.58"/>
    <n v="18564.07"/>
    <n v="-2726.510000000002"/>
    <n v="-0.12806180010126553"/>
    <s v="Underspend"/>
  </r>
  <r>
    <d v="2024-05-01T00:00:00"/>
    <x v="4"/>
    <x v="4"/>
    <s v="May-2024"/>
    <x v="1"/>
    <x v="3"/>
    <x v="1"/>
    <x v="3"/>
    <s v="CC-400"/>
    <n v="22181.22"/>
    <n v="21069.11"/>
    <n v="-1112.1100000000006"/>
    <n v="-5.0137458624908843E-2"/>
    <s v="Underspend"/>
  </r>
  <r>
    <d v="2024-05-01T00:00:00"/>
    <x v="4"/>
    <x v="4"/>
    <s v="May-2024"/>
    <x v="1"/>
    <x v="3"/>
    <x v="2"/>
    <x v="0"/>
    <s v="CC-400"/>
    <n v="12570.09"/>
    <n v="12905.42"/>
    <n v="335.32999999999993"/>
    <n v="2.6676817747526067E-2"/>
    <s v="On Budget"/>
  </r>
  <r>
    <d v="2024-05-01T00:00:00"/>
    <x v="4"/>
    <x v="4"/>
    <s v="May-2024"/>
    <x v="1"/>
    <x v="3"/>
    <x v="2"/>
    <x v="1"/>
    <s v="CC-400"/>
    <n v="11564.86"/>
    <n v="10968.8"/>
    <n v="-596.06000000000131"/>
    <n v="-5.1540615277660191E-2"/>
    <s v="Underspend"/>
  </r>
  <r>
    <d v="2024-05-01T00:00:00"/>
    <x v="4"/>
    <x v="4"/>
    <s v="May-2024"/>
    <x v="1"/>
    <x v="3"/>
    <x v="2"/>
    <x v="2"/>
    <s v="CC-400"/>
    <n v="11755.76"/>
    <n v="11391.92"/>
    <n v="-363.84000000000015"/>
    <n v="-3.0949934330064592E-2"/>
    <s v="On Budget"/>
  </r>
  <r>
    <d v="2024-05-01T00:00:00"/>
    <x v="4"/>
    <x v="4"/>
    <s v="May-2024"/>
    <x v="1"/>
    <x v="3"/>
    <x v="2"/>
    <x v="3"/>
    <s v="CC-400"/>
    <n v="12740.22"/>
    <n v="14886.68"/>
    <n v="2146.4600000000009"/>
    <n v="0.16847903725367389"/>
    <s v="Overspend"/>
  </r>
  <r>
    <d v="2024-05-01T00:00:00"/>
    <x v="4"/>
    <x v="4"/>
    <s v="May-2024"/>
    <x v="1"/>
    <x v="3"/>
    <x v="3"/>
    <x v="0"/>
    <s v="CC-400"/>
    <n v="12863.43"/>
    <n v="11642.95"/>
    <n v="-1220.4799999999996"/>
    <n v="-9.4879825987314384E-2"/>
    <s v="Underspend"/>
  </r>
  <r>
    <d v="2024-05-01T00:00:00"/>
    <x v="4"/>
    <x v="4"/>
    <s v="May-2024"/>
    <x v="1"/>
    <x v="3"/>
    <x v="3"/>
    <x v="1"/>
    <s v="CC-400"/>
    <n v="12407.52"/>
    <n v="11381.64"/>
    <n v="-1025.880000000001"/>
    <n v="-8.2682115362296499E-2"/>
    <s v="Underspend"/>
  </r>
  <r>
    <d v="2024-05-01T00:00:00"/>
    <x v="4"/>
    <x v="4"/>
    <s v="May-2024"/>
    <x v="1"/>
    <x v="3"/>
    <x v="3"/>
    <x v="2"/>
    <s v="CC-400"/>
    <n v="12435.32"/>
    <n v="10994.03"/>
    <n v="-1441.2899999999991"/>
    <n v="-0.11590292811121862"/>
    <s v="Underspend"/>
  </r>
  <r>
    <d v="2024-05-01T00:00:00"/>
    <x v="4"/>
    <x v="4"/>
    <s v="May-2024"/>
    <x v="1"/>
    <x v="3"/>
    <x v="3"/>
    <x v="3"/>
    <s v="CC-400"/>
    <n v="13303.31"/>
    <n v="14753.33"/>
    <n v="1450.0200000000004"/>
    <n v="0.10899693384578729"/>
    <s v="Overspend"/>
  </r>
  <r>
    <d v="2024-05-01T00:00:00"/>
    <x v="4"/>
    <x v="4"/>
    <s v="May-2024"/>
    <x v="1"/>
    <x v="3"/>
    <x v="4"/>
    <x v="0"/>
    <s v="CC-400"/>
    <n v="8387.6299999999992"/>
    <n v="7978.97"/>
    <n v="-408.65999999999894"/>
    <n v="-4.8721748574984708E-2"/>
    <s v="On Budget"/>
  </r>
  <r>
    <d v="2024-05-01T00:00:00"/>
    <x v="4"/>
    <x v="4"/>
    <s v="May-2024"/>
    <x v="1"/>
    <x v="3"/>
    <x v="4"/>
    <x v="1"/>
    <s v="CC-400"/>
    <n v="7897.18"/>
    <n v="7639.28"/>
    <n v="-257.90000000000055"/>
    <n v="-3.2657227010147998E-2"/>
    <s v="On Budget"/>
  </r>
  <r>
    <d v="2024-05-01T00:00:00"/>
    <x v="4"/>
    <x v="4"/>
    <s v="May-2024"/>
    <x v="1"/>
    <x v="3"/>
    <x v="4"/>
    <x v="2"/>
    <s v="CC-400"/>
    <n v="8170.69"/>
    <n v="8511.6299999999992"/>
    <n v="340.9399999999996"/>
    <n v="4.1727198070175178E-2"/>
    <s v="On Budget"/>
  </r>
  <r>
    <d v="2024-05-01T00:00:00"/>
    <x v="4"/>
    <x v="4"/>
    <s v="May-2024"/>
    <x v="1"/>
    <x v="3"/>
    <x v="4"/>
    <x v="3"/>
    <s v="CC-400"/>
    <n v="8563.64"/>
    <n v="9703.26"/>
    <n v="1139.6200000000008"/>
    <n v="0.13307658892713856"/>
    <s v="Overspend"/>
  </r>
  <r>
    <d v="2024-05-01T00:00:00"/>
    <x v="4"/>
    <x v="4"/>
    <s v="May-2024"/>
    <x v="1"/>
    <x v="4"/>
    <x v="0"/>
    <x v="0"/>
    <s v="CC-500"/>
    <n v="45943.37"/>
    <n v="44570.02"/>
    <n v="-1373.3500000000058"/>
    <n v="-2.9892234722877442E-2"/>
    <s v="On Budget"/>
  </r>
  <r>
    <d v="2024-05-01T00:00:00"/>
    <x v="4"/>
    <x v="4"/>
    <s v="May-2024"/>
    <x v="1"/>
    <x v="4"/>
    <x v="0"/>
    <x v="1"/>
    <s v="CC-500"/>
    <n v="43846.75"/>
    <n v="45229.04"/>
    <n v="1382.2900000000009"/>
    <n v="3.1525483644739935E-2"/>
    <s v="On Budget"/>
  </r>
  <r>
    <d v="2024-05-01T00:00:00"/>
    <x v="4"/>
    <x v="4"/>
    <s v="May-2024"/>
    <x v="1"/>
    <x v="4"/>
    <x v="0"/>
    <x v="2"/>
    <s v="CC-500"/>
    <n v="43542.6"/>
    <n v="42628.37"/>
    <n v="-914.22999999999593"/>
    <n v="-2.099621979394882E-2"/>
    <s v="On Budget"/>
  </r>
  <r>
    <d v="2024-05-01T00:00:00"/>
    <x v="4"/>
    <x v="4"/>
    <s v="May-2024"/>
    <x v="1"/>
    <x v="4"/>
    <x v="0"/>
    <x v="3"/>
    <s v="CC-500"/>
    <n v="48507.61"/>
    <n v="47020.59"/>
    <n v="-1487.0200000000041"/>
    <n v="-3.0655396132689368E-2"/>
    <s v="On Budget"/>
  </r>
  <r>
    <d v="2024-05-01T00:00:00"/>
    <x v="4"/>
    <x v="4"/>
    <s v="May-2024"/>
    <x v="1"/>
    <x v="4"/>
    <x v="1"/>
    <x v="0"/>
    <s v="CC-500"/>
    <n v="17701.12"/>
    <n v="18331.36"/>
    <n v="630.2400000000016"/>
    <n v="3.5604526719213339E-2"/>
    <s v="On Budget"/>
  </r>
  <r>
    <d v="2024-05-01T00:00:00"/>
    <x v="4"/>
    <x v="4"/>
    <s v="May-2024"/>
    <x v="1"/>
    <x v="4"/>
    <x v="1"/>
    <x v="1"/>
    <s v="CC-500"/>
    <n v="17014.07"/>
    <n v="17278.38"/>
    <n v="264.31000000000131"/>
    <n v="1.5534789735789339E-2"/>
    <s v="On Budget"/>
  </r>
  <r>
    <d v="2024-05-01T00:00:00"/>
    <x v="4"/>
    <x v="4"/>
    <s v="May-2024"/>
    <x v="1"/>
    <x v="4"/>
    <x v="1"/>
    <x v="2"/>
    <s v="CC-500"/>
    <n v="16474.990000000002"/>
    <n v="16525.55"/>
    <n v="50.559999999997672"/>
    <n v="3.0688941237595694E-3"/>
    <s v="On Budget"/>
  </r>
  <r>
    <d v="2024-05-01T00:00:00"/>
    <x v="4"/>
    <x v="4"/>
    <s v="May-2024"/>
    <x v="1"/>
    <x v="4"/>
    <x v="1"/>
    <x v="3"/>
    <s v="CC-500"/>
    <n v="17903.259999999998"/>
    <n v="17800.2"/>
    <n v="-103.05999999999767"/>
    <n v="-5.7564935101203736E-3"/>
    <s v="On Budget"/>
  </r>
  <r>
    <d v="2024-05-01T00:00:00"/>
    <x v="4"/>
    <x v="4"/>
    <s v="May-2024"/>
    <x v="1"/>
    <x v="4"/>
    <x v="2"/>
    <x v="0"/>
    <s v="CC-500"/>
    <n v="7379.03"/>
    <n v="7032.45"/>
    <n v="-346.57999999999993"/>
    <n v="-4.696823295202756E-2"/>
    <s v="On Budget"/>
  </r>
  <r>
    <d v="2024-05-01T00:00:00"/>
    <x v="4"/>
    <x v="4"/>
    <s v="May-2024"/>
    <x v="1"/>
    <x v="4"/>
    <x v="2"/>
    <x v="1"/>
    <s v="CC-500"/>
    <n v="6878.58"/>
    <n v="7233.5"/>
    <n v="354.92000000000007"/>
    <n v="5.1597858860404341E-2"/>
    <s v="Overspend"/>
  </r>
  <r>
    <d v="2024-05-01T00:00:00"/>
    <x v="4"/>
    <x v="4"/>
    <s v="May-2024"/>
    <x v="1"/>
    <x v="4"/>
    <x v="2"/>
    <x v="2"/>
    <s v="CC-500"/>
    <n v="7055.74"/>
    <n v="6788.26"/>
    <n v="-267.47999999999956"/>
    <n v="-3.7909560159529627E-2"/>
    <s v="On Budget"/>
  </r>
  <r>
    <d v="2024-05-01T00:00:00"/>
    <x v="4"/>
    <x v="4"/>
    <s v="May-2024"/>
    <x v="1"/>
    <x v="4"/>
    <x v="2"/>
    <x v="3"/>
    <s v="CC-500"/>
    <n v="7631.3"/>
    <n v="7917.1"/>
    <n v="285.80000000000018"/>
    <n v="3.7451024071914377E-2"/>
    <s v="On Budget"/>
  </r>
  <r>
    <d v="2024-05-01T00:00:00"/>
    <x v="4"/>
    <x v="4"/>
    <s v="May-2024"/>
    <x v="1"/>
    <x v="4"/>
    <x v="3"/>
    <x v="0"/>
    <s v="CC-500"/>
    <n v="7424.78"/>
    <n v="7044.54"/>
    <n v="-380.23999999999978"/>
    <n v="-5.1212291812013255E-2"/>
    <s v="Underspend"/>
  </r>
  <r>
    <d v="2024-05-01T00:00:00"/>
    <x v="4"/>
    <x v="4"/>
    <s v="May-2024"/>
    <x v="1"/>
    <x v="4"/>
    <x v="3"/>
    <x v="1"/>
    <s v="CC-500"/>
    <n v="7407.24"/>
    <n v="7506.66"/>
    <n v="99.420000000000073"/>
    <n v="1.3422003337275433E-2"/>
    <s v="On Budget"/>
  </r>
  <r>
    <d v="2024-05-01T00:00:00"/>
    <x v="4"/>
    <x v="4"/>
    <s v="May-2024"/>
    <x v="1"/>
    <x v="4"/>
    <x v="3"/>
    <x v="2"/>
    <s v="CC-500"/>
    <n v="7325.65"/>
    <n v="7614.44"/>
    <n v="288.78999999999996"/>
    <n v="3.9421757796236509E-2"/>
    <s v="On Budget"/>
  </r>
  <r>
    <d v="2024-05-01T00:00:00"/>
    <x v="4"/>
    <x v="4"/>
    <s v="May-2024"/>
    <x v="1"/>
    <x v="4"/>
    <x v="3"/>
    <x v="3"/>
    <s v="CC-500"/>
    <n v="8083.78"/>
    <n v="8401.02"/>
    <n v="317.24000000000069"/>
    <n v="3.9244017031636276E-2"/>
    <s v="On Budget"/>
  </r>
  <r>
    <d v="2024-05-01T00:00:00"/>
    <x v="4"/>
    <x v="4"/>
    <s v="May-2024"/>
    <x v="1"/>
    <x v="4"/>
    <x v="4"/>
    <x v="0"/>
    <s v="CC-500"/>
    <n v="6693.21"/>
    <n v="6564.55"/>
    <n v="-128.65999999999985"/>
    <n v="-1.9222465752605979E-2"/>
    <s v="On Budget"/>
  </r>
  <r>
    <d v="2024-05-01T00:00:00"/>
    <x v="4"/>
    <x v="4"/>
    <s v="May-2024"/>
    <x v="1"/>
    <x v="4"/>
    <x v="4"/>
    <x v="1"/>
    <s v="CC-500"/>
    <n v="6067.32"/>
    <n v="6017.29"/>
    <n v="-50.029999999999745"/>
    <n v="-8.2458152858263193E-3"/>
    <s v="On Budget"/>
  </r>
  <r>
    <d v="2024-05-01T00:00:00"/>
    <x v="4"/>
    <x v="4"/>
    <s v="May-2024"/>
    <x v="1"/>
    <x v="4"/>
    <x v="4"/>
    <x v="2"/>
    <s v="CC-500"/>
    <n v="6181.54"/>
    <n v="5854.18"/>
    <n v="-327.35999999999967"/>
    <n v="-5.2957677213121598E-2"/>
    <s v="Underspend"/>
  </r>
  <r>
    <d v="2024-05-01T00:00:00"/>
    <x v="4"/>
    <x v="4"/>
    <s v="May-2024"/>
    <x v="1"/>
    <x v="4"/>
    <x v="4"/>
    <x v="3"/>
    <s v="CC-500"/>
    <n v="6828.93"/>
    <n v="6771.4"/>
    <n v="-57.530000000000655"/>
    <n v="-8.424453025583898E-3"/>
    <s v="On Budget"/>
  </r>
  <r>
    <d v="2024-06-01T00:00:00"/>
    <x v="5"/>
    <x v="5"/>
    <s v="Jun-2024"/>
    <x v="1"/>
    <x v="0"/>
    <x v="0"/>
    <x v="0"/>
    <s v="CC-100"/>
    <n v="52393.06"/>
    <n v="62086.48"/>
    <n v="9693.4200000000055"/>
    <n v="0.18501343498547337"/>
    <s v="Overspend"/>
  </r>
  <r>
    <d v="2024-06-01T00:00:00"/>
    <x v="5"/>
    <x v="5"/>
    <s v="Jun-2024"/>
    <x v="1"/>
    <x v="0"/>
    <x v="0"/>
    <x v="1"/>
    <s v="CC-100"/>
    <n v="48175.96"/>
    <n v="56381.51"/>
    <n v="8205.5500000000029"/>
    <n v="0.17032457682213292"/>
    <s v="Overspend"/>
  </r>
  <r>
    <d v="2024-06-01T00:00:00"/>
    <x v="5"/>
    <x v="5"/>
    <s v="Jun-2024"/>
    <x v="1"/>
    <x v="0"/>
    <x v="0"/>
    <x v="2"/>
    <s v="CC-100"/>
    <n v="49014.66"/>
    <n v="57141.22"/>
    <n v="8126.5599999999977"/>
    <n v="0.16579855904335555"/>
    <s v="Overspend"/>
  </r>
  <r>
    <d v="2024-06-01T00:00:00"/>
    <x v="5"/>
    <x v="5"/>
    <s v="Jun-2024"/>
    <x v="1"/>
    <x v="0"/>
    <x v="0"/>
    <x v="3"/>
    <s v="CC-100"/>
    <n v="52336.05"/>
    <n v="61473.32"/>
    <n v="9137.2699999999968"/>
    <n v="0.17458845289241348"/>
    <s v="Overspend"/>
  </r>
  <r>
    <d v="2024-06-01T00:00:00"/>
    <x v="5"/>
    <x v="5"/>
    <s v="Jun-2024"/>
    <x v="1"/>
    <x v="0"/>
    <x v="1"/>
    <x v="0"/>
    <s v="CC-100"/>
    <n v="19780.13"/>
    <n v="21708.53"/>
    <n v="1928.3999999999978"/>
    <n v="9.7491775837671324E-2"/>
    <s v="Overspend"/>
  </r>
  <r>
    <d v="2024-06-01T00:00:00"/>
    <x v="5"/>
    <x v="5"/>
    <s v="Jun-2024"/>
    <x v="1"/>
    <x v="0"/>
    <x v="1"/>
    <x v="1"/>
    <s v="CC-100"/>
    <n v="17946.98"/>
    <n v="19887.32"/>
    <n v="1940.3400000000001"/>
    <n v="0.10811512577603587"/>
    <s v="Overspend"/>
  </r>
  <r>
    <d v="2024-06-01T00:00:00"/>
    <x v="5"/>
    <x v="5"/>
    <s v="Jun-2024"/>
    <x v="1"/>
    <x v="0"/>
    <x v="1"/>
    <x v="2"/>
    <s v="CC-100"/>
    <n v="18827.919999999998"/>
    <n v="21773.96"/>
    <n v="2946.0400000000009"/>
    <n v="0.15647187793447184"/>
    <s v="Overspend"/>
  </r>
  <r>
    <d v="2024-06-01T00:00:00"/>
    <x v="5"/>
    <x v="5"/>
    <s v="Jun-2024"/>
    <x v="1"/>
    <x v="0"/>
    <x v="1"/>
    <x v="3"/>
    <s v="CC-100"/>
    <n v="20001.71"/>
    <n v="22084.84"/>
    <n v="2083.130000000001"/>
    <n v="0.10414759538059501"/>
    <s v="Overspend"/>
  </r>
  <r>
    <d v="2024-06-01T00:00:00"/>
    <x v="5"/>
    <x v="5"/>
    <s v="Jun-2024"/>
    <x v="1"/>
    <x v="0"/>
    <x v="2"/>
    <x v="0"/>
    <s v="CC-100"/>
    <n v="10614.03"/>
    <n v="12474.55"/>
    <n v="1860.5199999999986"/>
    <n v="0.17528874517972895"/>
    <s v="Overspend"/>
  </r>
  <r>
    <d v="2024-06-01T00:00:00"/>
    <x v="5"/>
    <x v="5"/>
    <s v="Jun-2024"/>
    <x v="1"/>
    <x v="0"/>
    <x v="2"/>
    <x v="1"/>
    <s v="CC-100"/>
    <n v="10395.24"/>
    <n v="12382.98"/>
    <n v="1987.7399999999998"/>
    <n v="0.19121636441294282"/>
    <s v="Overspend"/>
  </r>
  <r>
    <d v="2024-06-01T00:00:00"/>
    <x v="5"/>
    <x v="5"/>
    <s v="Jun-2024"/>
    <x v="1"/>
    <x v="0"/>
    <x v="2"/>
    <x v="2"/>
    <s v="CC-100"/>
    <n v="10656.91"/>
    <n v="12354.97"/>
    <n v="1698.0599999999995"/>
    <n v="0.15933887027290269"/>
    <s v="Overspend"/>
  </r>
  <r>
    <d v="2024-06-01T00:00:00"/>
    <x v="5"/>
    <x v="5"/>
    <s v="Jun-2024"/>
    <x v="1"/>
    <x v="0"/>
    <x v="2"/>
    <x v="3"/>
    <s v="CC-100"/>
    <n v="11448.1"/>
    <n v="13729.74"/>
    <n v="2281.6399999999994"/>
    <n v="0.19930294109939634"/>
    <s v="Overspend"/>
  </r>
  <r>
    <d v="2024-06-01T00:00:00"/>
    <x v="5"/>
    <x v="5"/>
    <s v="Jun-2024"/>
    <x v="1"/>
    <x v="0"/>
    <x v="3"/>
    <x v="0"/>
    <s v="CC-100"/>
    <n v="8453.2099999999991"/>
    <n v="9638.33"/>
    <n v="1185.1200000000008"/>
    <n v="0.14019762906635477"/>
    <s v="Overspend"/>
  </r>
  <r>
    <d v="2024-06-01T00:00:00"/>
    <x v="5"/>
    <x v="5"/>
    <s v="Jun-2024"/>
    <x v="1"/>
    <x v="0"/>
    <x v="3"/>
    <x v="1"/>
    <s v="CC-100"/>
    <n v="8091.19"/>
    <n v="9048.7800000000007"/>
    <n v="957.59000000000106"/>
    <n v="0.11834971122912713"/>
    <s v="Overspend"/>
  </r>
  <r>
    <d v="2024-06-01T00:00:00"/>
    <x v="5"/>
    <x v="5"/>
    <s v="Jun-2024"/>
    <x v="1"/>
    <x v="0"/>
    <x v="3"/>
    <x v="2"/>
    <s v="CC-100"/>
    <n v="8072.19"/>
    <n v="9189.0400000000009"/>
    <n v="1116.8500000000013"/>
    <n v="0.13835774430482947"/>
    <s v="Overspend"/>
  </r>
  <r>
    <d v="2024-06-01T00:00:00"/>
    <x v="5"/>
    <x v="5"/>
    <s v="Jun-2024"/>
    <x v="1"/>
    <x v="0"/>
    <x v="3"/>
    <x v="3"/>
    <s v="CC-100"/>
    <n v="8557.67"/>
    <n v="9539.33"/>
    <n v="981.65999999999985"/>
    <n v="0.11471113048294686"/>
    <s v="Overspend"/>
  </r>
  <r>
    <d v="2024-06-01T00:00:00"/>
    <x v="5"/>
    <x v="5"/>
    <s v="Jun-2024"/>
    <x v="1"/>
    <x v="0"/>
    <x v="4"/>
    <x v="0"/>
    <s v="CC-100"/>
    <n v="8501"/>
    <n v="9404.1200000000008"/>
    <n v="903.1200000000008"/>
    <n v="0.10623691330431723"/>
    <s v="Overspend"/>
  </r>
  <r>
    <d v="2024-06-01T00:00:00"/>
    <x v="5"/>
    <x v="5"/>
    <s v="Jun-2024"/>
    <x v="1"/>
    <x v="0"/>
    <x v="4"/>
    <x v="1"/>
    <s v="CC-100"/>
    <n v="8174.06"/>
    <n v="9858.75"/>
    <n v="1684.6899999999996"/>
    <n v="0.20610198603876159"/>
    <s v="Overspend"/>
  </r>
  <r>
    <d v="2024-06-01T00:00:00"/>
    <x v="5"/>
    <x v="5"/>
    <s v="Jun-2024"/>
    <x v="1"/>
    <x v="0"/>
    <x v="4"/>
    <x v="2"/>
    <s v="CC-100"/>
    <n v="8422.01"/>
    <n v="9618.0499999999993"/>
    <n v="1196.0399999999991"/>
    <n v="0.14201360482830097"/>
    <s v="Overspend"/>
  </r>
  <r>
    <d v="2024-06-01T00:00:00"/>
    <x v="5"/>
    <x v="5"/>
    <s v="Jun-2024"/>
    <x v="1"/>
    <x v="0"/>
    <x v="4"/>
    <x v="3"/>
    <s v="CC-100"/>
    <n v="8812.0499999999993"/>
    <n v="9876.2199999999993"/>
    <n v="1064.17"/>
    <n v="0.12076304605625253"/>
    <s v="Overspend"/>
  </r>
  <r>
    <d v="2024-06-01T00:00:00"/>
    <x v="5"/>
    <x v="5"/>
    <s v="Jun-2024"/>
    <x v="1"/>
    <x v="1"/>
    <x v="0"/>
    <x v="0"/>
    <s v="CC-200"/>
    <n v="52340.32"/>
    <n v="45588.26"/>
    <n v="-6752.0599999999977"/>
    <n v="-0.12900303246139874"/>
    <s v="Underspend"/>
  </r>
  <r>
    <d v="2024-06-01T00:00:00"/>
    <x v="5"/>
    <x v="5"/>
    <s v="Jun-2024"/>
    <x v="1"/>
    <x v="1"/>
    <x v="0"/>
    <x v="1"/>
    <s v="CC-200"/>
    <n v="49801.24"/>
    <n v="43477.32"/>
    <n v="-6323.9199999999983"/>
    <n v="-0.1269831835512529"/>
    <s v="Underspend"/>
  </r>
  <r>
    <d v="2024-06-01T00:00:00"/>
    <x v="5"/>
    <x v="5"/>
    <s v="Jun-2024"/>
    <x v="1"/>
    <x v="1"/>
    <x v="0"/>
    <x v="2"/>
    <s v="CC-200"/>
    <n v="50925.99"/>
    <n v="43032.55"/>
    <n v="-7893.4399999999951"/>
    <n v="-0.15499826316582152"/>
    <s v="Underspend"/>
  </r>
  <r>
    <d v="2024-06-01T00:00:00"/>
    <x v="5"/>
    <x v="5"/>
    <s v="Jun-2024"/>
    <x v="1"/>
    <x v="1"/>
    <x v="0"/>
    <x v="3"/>
    <s v="CC-200"/>
    <n v="54819.19"/>
    <n v="49195.14"/>
    <n v="-5624.0500000000029"/>
    <n v="-0.10259272346052546"/>
    <s v="Underspend"/>
  </r>
  <r>
    <d v="2024-06-01T00:00:00"/>
    <x v="5"/>
    <x v="5"/>
    <s v="Jun-2024"/>
    <x v="1"/>
    <x v="1"/>
    <x v="1"/>
    <x v="0"/>
    <s v="CC-200"/>
    <n v="29451.279999999999"/>
    <n v="25738.93"/>
    <n v="-3712.3499999999985"/>
    <n v="-0.12605054856698925"/>
    <s v="Underspend"/>
  </r>
  <r>
    <d v="2024-06-01T00:00:00"/>
    <x v="5"/>
    <x v="5"/>
    <s v="Jun-2024"/>
    <x v="1"/>
    <x v="1"/>
    <x v="1"/>
    <x v="1"/>
    <s v="CC-200"/>
    <n v="28395.24"/>
    <n v="24205.96"/>
    <n v="-4189.2800000000025"/>
    <n v="-0.14753458678285522"/>
    <s v="Underspend"/>
  </r>
  <r>
    <d v="2024-06-01T00:00:00"/>
    <x v="5"/>
    <x v="5"/>
    <s v="Jun-2024"/>
    <x v="1"/>
    <x v="1"/>
    <x v="1"/>
    <x v="2"/>
    <s v="CC-200"/>
    <n v="28648.11"/>
    <n v="24978.15"/>
    <n v="-3669.9599999999991"/>
    <n v="-0.12810478597017391"/>
    <s v="Underspend"/>
  </r>
  <r>
    <d v="2024-06-01T00:00:00"/>
    <x v="5"/>
    <x v="5"/>
    <s v="Jun-2024"/>
    <x v="1"/>
    <x v="1"/>
    <x v="1"/>
    <x v="3"/>
    <s v="CC-200"/>
    <n v="30387.01"/>
    <n v="26168.27"/>
    <n v="-4218.739999999998"/>
    <n v="-0.13883366609613773"/>
    <s v="Underspend"/>
  </r>
  <r>
    <d v="2024-06-01T00:00:00"/>
    <x v="5"/>
    <x v="5"/>
    <s v="Jun-2024"/>
    <x v="1"/>
    <x v="1"/>
    <x v="2"/>
    <x v="0"/>
    <s v="CC-200"/>
    <n v="11462.85"/>
    <n v="10119.620000000001"/>
    <n v="-1343.2299999999996"/>
    <n v="-0.1171811547739"/>
    <s v="Underspend"/>
  </r>
  <r>
    <d v="2024-06-01T00:00:00"/>
    <x v="5"/>
    <x v="5"/>
    <s v="Jun-2024"/>
    <x v="1"/>
    <x v="1"/>
    <x v="2"/>
    <x v="1"/>
    <s v="CC-200"/>
    <n v="10736.32"/>
    <n v="9240.23"/>
    <n v="-1496.0900000000001"/>
    <n v="-0.13934849184823106"/>
    <s v="Underspend"/>
  </r>
  <r>
    <d v="2024-06-01T00:00:00"/>
    <x v="5"/>
    <x v="5"/>
    <s v="Jun-2024"/>
    <x v="1"/>
    <x v="1"/>
    <x v="2"/>
    <x v="2"/>
    <s v="CC-200"/>
    <n v="11141.4"/>
    <n v="9458.83"/>
    <n v="-1682.5699999999997"/>
    <n v="-0.15101962051447751"/>
    <s v="Underspend"/>
  </r>
  <r>
    <d v="2024-06-01T00:00:00"/>
    <x v="5"/>
    <x v="5"/>
    <s v="Jun-2024"/>
    <x v="1"/>
    <x v="1"/>
    <x v="2"/>
    <x v="3"/>
    <s v="CC-200"/>
    <n v="12153.85"/>
    <n v="10868.67"/>
    <n v="-1285.1800000000003"/>
    <n v="-0.10574262476499219"/>
    <s v="Underspend"/>
  </r>
  <r>
    <d v="2024-06-01T00:00:00"/>
    <x v="5"/>
    <x v="5"/>
    <s v="Jun-2024"/>
    <x v="1"/>
    <x v="1"/>
    <x v="3"/>
    <x v="0"/>
    <s v="CC-200"/>
    <n v="8991.33"/>
    <n v="7821.26"/>
    <n v="-1170.0699999999997"/>
    <n v="-0.13013313936870294"/>
    <s v="Underspend"/>
  </r>
  <r>
    <d v="2024-06-01T00:00:00"/>
    <x v="5"/>
    <x v="5"/>
    <s v="Jun-2024"/>
    <x v="1"/>
    <x v="1"/>
    <x v="3"/>
    <x v="1"/>
    <s v="CC-200"/>
    <n v="8346.67"/>
    <n v="7378.8"/>
    <n v="-967.86999999999989"/>
    <n v="-0.11595881950526377"/>
    <s v="Underspend"/>
  </r>
  <r>
    <d v="2024-06-01T00:00:00"/>
    <x v="5"/>
    <x v="5"/>
    <s v="Jun-2024"/>
    <x v="1"/>
    <x v="1"/>
    <x v="3"/>
    <x v="2"/>
    <s v="CC-200"/>
    <n v="8496.6299999999992"/>
    <n v="7578.4"/>
    <n v="-918.22999999999956"/>
    <n v="-0.10806990536247897"/>
    <s v="Underspend"/>
  </r>
  <r>
    <d v="2024-06-01T00:00:00"/>
    <x v="5"/>
    <x v="5"/>
    <s v="Jun-2024"/>
    <x v="1"/>
    <x v="1"/>
    <x v="3"/>
    <x v="3"/>
    <s v="CC-200"/>
    <n v="9032.84"/>
    <n v="7883.89"/>
    <n v="-1148.9499999999998"/>
    <n v="-0.12719698345149474"/>
    <s v="Underspend"/>
  </r>
  <r>
    <d v="2024-06-01T00:00:00"/>
    <x v="5"/>
    <x v="5"/>
    <s v="Jun-2024"/>
    <x v="1"/>
    <x v="1"/>
    <x v="4"/>
    <x v="0"/>
    <s v="CC-200"/>
    <n v="7851.57"/>
    <n v="6929.02"/>
    <n v="-922.54999999999927"/>
    <n v="-0.1174987932349835"/>
    <s v="Underspend"/>
  </r>
  <r>
    <d v="2024-06-01T00:00:00"/>
    <x v="5"/>
    <x v="5"/>
    <s v="Jun-2024"/>
    <x v="1"/>
    <x v="1"/>
    <x v="4"/>
    <x v="1"/>
    <s v="CC-200"/>
    <n v="7452.18"/>
    <n v="6689.62"/>
    <n v="-762.5600000000004"/>
    <n v="-0.10232710428357882"/>
    <s v="Underspend"/>
  </r>
  <r>
    <d v="2024-06-01T00:00:00"/>
    <x v="5"/>
    <x v="5"/>
    <s v="Jun-2024"/>
    <x v="1"/>
    <x v="1"/>
    <x v="4"/>
    <x v="2"/>
    <s v="CC-200"/>
    <n v="7384.12"/>
    <n v="6565.94"/>
    <n v="-818.18000000000029"/>
    <n v="-0.11080264134385685"/>
    <s v="Underspend"/>
  </r>
  <r>
    <d v="2024-06-01T00:00:00"/>
    <x v="5"/>
    <x v="5"/>
    <s v="Jun-2024"/>
    <x v="1"/>
    <x v="1"/>
    <x v="4"/>
    <x v="3"/>
    <s v="CC-200"/>
    <n v="8062.3"/>
    <n v="6956.67"/>
    <n v="-1105.6300000000001"/>
    <n v="-0.13713580491919181"/>
    <s v="Underspend"/>
  </r>
  <r>
    <d v="2024-06-01T00:00:00"/>
    <x v="5"/>
    <x v="5"/>
    <s v="Jun-2024"/>
    <x v="1"/>
    <x v="2"/>
    <x v="0"/>
    <x v="0"/>
    <s v="CC-300"/>
    <n v="48107.199999999997"/>
    <n v="47999.82"/>
    <n v="-107.37999999999738"/>
    <n v="-2.2320983137658684E-3"/>
    <s v="On Budget"/>
  </r>
  <r>
    <d v="2024-06-01T00:00:00"/>
    <x v="5"/>
    <x v="5"/>
    <s v="Jun-2024"/>
    <x v="1"/>
    <x v="2"/>
    <x v="0"/>
    <x v="1"/>
    <s v="CC-300"/>
    <n v="44223.7"/>
    <n v="43090.2"/>
    <n v="-1133.5"/>
    <n v="-2.5631053032649915E-2"/>
    <s v="On Budget"/>
  </r>
  <r>
    <d v="2024-06-01T00:00:00"/>
    <x v="5"/>
    <x v="5"/>
    <s v="Jun-2024"/>
    <x v="1"/>
    <x v="2"/>
    <x v="0"/>
    <x v="2"/>
    <s v="CC-300"/>
    <n v="46235.18"/>
    <n v="46208.34"/>
    <n v="-26.840000000003783"/>
    <n v="-5.8051033866427654E-4"/>
    <s v="On Budget"/>
  </r>
  <r>
    <d v="2024-06-01T00:00:00"/>
    <x v="5"/>
    <x v="5"/>
    <s v="Jun-2024"/>
    <x v="1"/>
    <x v="2"/>
    <x v="0"/>
    <x v="3"/>
    <s v="CC-300"/>
    <n v="48956.51"/>
    <n v="48413.27"/>
    <n v="-543.24000000000524"/>
    <n v="-1.1096379214940061E-2"/>
    <s v="On Budget"/>
  </r>
  <r>
    <d v="2024-06-01T00:00:00"/>
    <x v="5"/>
    <x v="5"/>
    <s v="Jun-2024"/>
    <x v="1"/>
    <x v="2"/>
    <x v="1"/>
    <x v="0"/>
    <s v="CC-300"/>
    <n v="16272.29"/>
    <n v="16522.740000000002"/>
    <n v="250.45000000000073"/>
    <n v="1.5391195707549503E-2"/>
    <s v="On Budget"/>
  </r>
  <r>
    <d v="2024-06-01T00:00:00"/>
    <x v="5"/>
    <x v="5"/>
    <s v="Jun-2024"/>
    <x v="1"/>
    <x v="2"/>
    <x v="1"/>
    <x v="1"/>
    <s v="CC-300"/>
    <n v="15228.56"/>
    <n v="15596.48"/>
    <n v="367.92000000000007"/>
    <n v="2.4159868037424422E-2"/>
    <s v="On Budget"/>
  </r>
  <r>
    <d v="2024-06-01T00:00:00"/>
    <x v="5"/>
    <x v="5"/>
    <s v="Jun-2024"/>
    <x v="1"/>
    <x v="2"/>
    <x v="1"/>
    <x v="2"/>
    <s v="CC-300"/>
    <n v="15241.36"/>
    <n v="14884.83"/>
    <n v="-356.53000000000065"/>
    <n v="-2.3392269456269037E-2"/>
    <s v="On Budget"/>
  </r>
  <r>
    <d v="2024-06-01T00:00:00"/>
    <x v="5"/>
    <x v="5"/>
    <s v="Jun-2024"/>
    <x v="1"/>
    <x v="2"/>
    <x v="1"/>
    <x v="3"/>
    <s v="CC-300"/>
    <n v="16656.75"/>
    <n v="16827.02"/>
    <n v="170.27000000000044"/>
    <n v="1.0222282257943503E-2"/>
    <s v="On Budget"/>
  </r>
  <r>
    <d v="2024-06-01T00:00:00"/>
    <x v="5"/>
    <x v="5"/>
    <s v="Jun-2024"/>
    <x v="1"/>
    <x v="2"/>
    <x v="2"/>
    <x v="0"/>
    <s v="CC-300"/>
    <n v="8696.07"/>
    <n v="8852.48"/>
    <n v="156.40999999999985"/>
    <n v="1.7986285758969267E-2"/>
    <s v="On Budget"/>
  </r>
  <r>
    <d v="2024-06-01T00:00:00"/>
    <x v="5"/>
    <x v="5"/>
    <s v="Jun-2024"/>
    <x v="1"/>
    <x v="2"/>
    <x v="2"/>
    <x v="1"/>
    <s v="CC-300"/>
    <n v="8418.2999999999993"/>
    <n v="8222.61"/>
    <n v="-195.68999999999869"/>
    <n v="-2.3245785966287576E-2"/>
    <s v="On Budget"/>
  </r>
  <r>
    <d v="2024-06-01T00:00:00"/>
    <x v="5"/>
    <x v="5"/>
    <s v="Jun-2024"/>
    <x v="1"/>
    <x v="2"/>
    <x v="2"/>
    <x v="2"/>
    <s v="CC-300"/>
    <n v="8658.39"/>
    <n v="8502.8799999999992"/>
    <n v="-155.51000000000022"/>
    <n v="-1.796061392475971E-2"/>
    <s v="On Budget"/>
  </r>
  <r>
    <d v="2024-06-01T00:00:00"/>
    <x v="5"/>
    <x v="5"/>
    <s v="Jun-2024"/>
    <x v="1"/>
    <x v="2"/>
    <x v="2"/>
    <x v="3"/>
    <s v="CC-300"/>
    <n v="9383.2900000000009"/>
    <n v="9276.7199999999993"/>
    <n v="-106.57000000000153"/>
    <n v="-1.135742367549138E-2"/>
    <s v="On Budget"/>
  </r>
  <r>
    <d v="2024-06-01T00:00:00"/>
    <x v="5"/>
    <x v="5"/>
    <s v="Jun-2024"/>
    <x v="1"/>
    <x v="2"/>
    <x v="3"/>
    <x v="0"/>
    <s v="CC-300"/>
    <n v="6775.22"/>
    <n v="6932.19"/>
    <n v="156.96999999999935"/>
    <n v="2.3168251363055271E-2"/>
    <s v="On Budget"/>
  </r>
  <r>
    <d v="2024-06-01T00:00:00"/>
    <x v="5"/>
    <x v="5"/>
    <s v="Jun-2024"/>
    <x v="1"/>
    <x v="2"/>
    <x v="3"/>
    <x v="1"/>
    <s v="CC-300"/>
    <n v="6560.93"/>
    <n v="6415.32"/>
    <n v="-145.61000000000058"/>
    <n v="-2.2193500006858873E-2"/>
    <s v="On Budget"/>
  </r>
  <r>
    <d v="2024-06-01T00:00:00"/>
    <x v="5"/>
    <x v="5"/>
    <s v="Jun-2024"/>
    <x v="1"/>
    <x v="2"/>
    <x v="3"/>
    <x v="2"/>
    <s v="CC-300"/>
    <n v="6912.24"/>
    <n v="6674.25"/>
    <n v="-237.98999999999978"/>
    <n v="-3.4430228117079235E-2"/>
    <s v="On Budget"/>
  </r>
  <r>
    <d v="2024-06-01T00:00:00"/>
    <x v="5"/>
    <x v="5"/>
    <s v="Jun-2024"/>
    <x v="1"/>
    <x v="2"/>
    <x v="3"/>
    <x v="3"/>
    <s v="CC-300"/>
    <n v="7084.53"/>
    <n v="7188.05"/>
    <n v="103.52000000000044"/>
    <n v="1.4612119646610352E-2"/>
    <s v="On Budget"/>
  </r>
  <r>
    <d v="2024-06-01T00:00:00"/>
    <x v="5"/>
    <x v="5"/>
    <s v="Jun-2024"/>
    <x v="1"/>
    <x v="2"/>
    <x v="4"/>
    <x v="0"/>
    <s v="CC-300"/>
    <n v="5949.85"/>
    <n v="5925.43"/>
    <n v="-24.420000000000073"/>
    <n v="-4.1043051505500255E-3"/>
    <s v="On Budget"/>
  </r>
  <r>
    <d v="2024-06-01T00:00:00"/>
    <x v="5"/>
    <x v="5"/>
    <s v="Jun-2024"/>
    <x v="1"/>
    <x v="2"/>
    <x v="4"/>
    <x v="1"/>
    <s v="CC-300"/>
    <n v="5764.94"/>
    <n v="5638.83"/>
    <n v="-126.10999999999967"/>
    <n v="-2.1875336083289624E-2"/>
    <s v="On Budget"/>
  </r>
  <r>
    <d v="2024-06-01T00:00:00"/>
    <x v="5"/>
    <x v="5"/>
    <s v="Jun-2024"/>
    <x v="1"/>
    <x v="2"/>
    <x v="4"/>
    <x v="2"/>
    <s v="CC-300"/>
    <n v="5748.74"/>
    <n v="5866.6"/>
    <n v="117.86000000000058"/>
    <n v="2.0501883891078841E-2"/>
    <s v="On Budget"/>
  </r>
  <r>
    <d v="2024-06-01T00:00:00"/>
    <x v="5"/>
    <x v="5"/>
    <s v="Jun-2024"/>
    <x v="1"/>
    <x v="2"/>
    <x v="4"/>
    <x v="3"/>
    <s v="CC-300"/>
    <n v="6265.82"/>
    <n v="6361.19"/>
    <n v="95.369999999999891"/>
    <n v="1.5220673431410398E-2"/>
    <s v="On Budget"/>
  </r>
  <r>
    <d v="2024-06-01T00:00:00"/>
    <x v="5"/>
    <x v="5"/>
    <s v="Jun-2024"/>
    <x v="1"/>
    <x v="3"/>
    <x v="0"/>
    <x v="0"/>
    <s v="CC-400"/>
    <n v="56254.02"/>
    <n v="49503.03"/>
    <n v="-6750.989999999998"/>
    <n v="-0.12000902335513086"/>
    <s v="Underspend"/>
  </r>
  <r>
    <d v="2024-06-01T00:00:00"/>
    <x v="5"/>
    <x v="5"/>
    <s v="Jun-2024"/>
    <x v="1"/>
    <x v="3"/>
    <x v="0"/>
    <x v="1"/>
    <s v="CC-400"/>
    <n v="54310.37"/>
    <n v="51441.24"/>
    <n v="-2869.1300000000047"/>
    <n v="-5.282840091128093E-2"/>
    <s v="Underspend"/>
  </r>
  <r>
    <d v="2024-06-01T00:00:00"/>
    <x v="5"/>
    <x v="5"/>
    <s v="Jun-2024"/>
    <x v="1"/>
    <x v="3"/>
    <x v="0"/>
    <x v="2"/>
    <s v="CC-400"/>
    <n v="55885.21"/>
    <n v="61655.39"/>
    <n v="5770.18"/>
    <n v="0.10325057381013689"/>
    <s v="Overspend"/>
  </r>
  <r>
    <d v="2024-06-01T00:00:00"/>
    <x v="5"/>
    <x v="5"/>
    <s v="Jun-2024"/>
    <x v="1"/>
    <x v="3"/>
    <x v="0"/>
    <x v="3"/>
    <s v="CC-400"/>
    <n v="57957.49"/>
    <n v="67118.429999999993"/>
    <n v="9160.9399999999951"/>
    <n v="0.15806309072390809"/>
    <s v="Overspend"/>
  </r>
  <r>
    <d v="2024-06-01T00:00:00"/>
    <x v="5"/>
    <x v="5"/>
    <s v="Jun-2024"/>
    <x v="1"/>
    <x v="3"/>
    <x v="1"/>
    <x v="0"/>
    <s v="CC-400"/>
    <n v="21843.05"/>
    <n v="23523.69"/>
    <n v="1680.6399999999994"/>
    <n v="7.6941635897917166E-2"/>
    <s v="Overspend"/>
  </r>
  <r>
    <d v="2024-06-01T00:00:00"/>
    <x v="5"/>
    <x v="5"/>
    <s v="Jun-2024"/>
    <x v="1"/>
    <x v="3"/>
    <x v="1"/>
    <x v="1"/>
    <s v="CC-400"/>
    <n v="21116.92"/>
    <n v="22148.55"/>
    <n v="1031.630000000001"/>
    <n v="4.8853241855346383E-2"/>
    <s v="On Budget"/>
  </r>
  <r>
    <d v="2024-06-01T00:00:00"/>
    <x v="5"/>
    <x v="5"/>
    <s v="Jun-2024"/>
    <x v="1"/>
    <x v="3"/>
    <x v="1"/>
    <x v="2"/>
    <s v="CC-400"/>
    <n v="20836.240000000002"/>
    <n v="23448.07"/>
    <n v="2611.8299999999981"/>
    <n v="0.12535035111901177"/>
    <s v="Overspend"/>
  </r>
  <r>
    <d v="2024-06-01T00:00:00"/>
    <x v="5"/>
    <x v="5"/>
    <s v="Jun-2024"/>
    <x v="1"/>
    <x v="3"/>
    <x v="1"/>
    <x v="3"/>
    <s v="CC-400"/>
    <n v="21908.41"/>
    <n v="19996.830000000002"/>
    <n v="-1911.5799999999981"/>
    <n v="-8.7253251148759689E-2"/>
    <s v="Underspend"/>
  </r>
  <r>
    <d v="2024-06-01T00:00:00"/>
    <x v="5"/>
    <x v="5"/>
    <s v="Jun-2024"/>
    <x v="1"/>
    <x v="3"/>
    <x v="2"/>
    <x v="0"/>
    <s v="CC-400"/>
    <n v="12452.31"/>
    <n v="14480.86"/>
    <n v="2028.5500000000011"/>
    <n v="0.16290551712895046"/>
    <s v="Overspend"/>
  </r>
  <r>
    <d v="2024-06-01T00:00:00"/>
    <x v="5"/>
    <x v="5"/>
    <s v="Jun-2024"/>
    <x v="1"/>
    <x v="3"/>
    <x v="2"/>
    <x v="1"/>
    <s v="CC-400"/>
    <n v="11778.04"/>
    <n v="13201.83"/>
    <n v="1423.7899999999991"/>
    <n v="0.12088513878370247"/>
    <s v="Overspend"/>
  </r>
  <r>
    <d v="2024-06-01T00:00:00"/>
    <x v="5"/>
    <x v="5"/>
    <s v="Jun-2024"/>
    <x v="1"/>
    <x v="3"/>
    <x v="2"/>
    <x v="2"/>
    <s v="CC-400"/>
    <n v="11565.54"/>
    <n v="13508.21"/>
    <n v="1942.6699999999983"/>
    <n v="0.16797054006989715"/>
    <s v="Overspend"/>
  </r>
  <r>
    <d v="2024-06-01T00:00:00"/>
    <x v="5"/>
    <x v="5"/>
    <s v="Jun-2024"/>
    <x v="1"/>
    <x v="3"/>
    <x v="2"/>
    <x v="3"/>
    <s v="CC-400"/>
    <n v="12718.03"/>
    <n v="13633.11"/>
    <n v="915.07999999999993"/>
    <n v="7.1951394988060247E-2"/>
    <s v="Overspend"/>
  </r>
  <r>
    <d v="2024-06-01T00:00:00"/>
    <x v="5"/>
    <x v="5"/>
    <s v="Jun-2024"/>
    <x v="1"/>
    <x v="3"/>
    <x v="3"/>
    <x v="0"/>
    <s v="CC-400"/>
    <n v="12592.7"/>
    <n v="13659.53"/>
    <n v="1066.83"/>
    <n v="8.4718130345358814E-2"/>
    <s v="Overspend"/>
  </r>
  <r>
    <d v="2024-06-01T00:00:00"/>
    <x v="5"/>
    <x v="5"/>
    <s v="Jun-2024"/>
    <x v="1"/>
    <x v="3"/>
    <x v="3"/>
    <x v="1"/>
    <s v="CC-400"/>
    <n v="12399.75"/>
    <n v="11578.6"/>
    <n v="-821.14999999999964"/>
    <n v="-6.6223109336881761E-2"/>
    <s v="Underspend"/>
  </r>
  <r>
    <d v="2024-06-01T00:00:00"/>
    <x v="5"/>
    <x v="5"/>
    <s v="Jun-2024"/>
    <x v="1"/>
    <x v="3"/>
    <x v="3"/>
    <x v="2"/>
    <s v="CC-400"/>
    <n v="12618.84"/>
    <n v="11554.3"/>
    <n v="-1064.5400000000009"/>
    <n v="-8.436116156477147E-2"/>
    <s v="Underspend"/>
  </r>
  <r>
    <d v="2024-06-01T00:00:00"/>
    <x v="5"/>
    <x v="5"/>
    <s v="Jun-2024"/>
    <x v="1"/>
    <x v="3"/>
    <x v="3"/>
    <x v="3"/>
    <s v="CC-400"/>
    <n v="13498.73"/>
    <n v="11906.29"/>
    <n v="-1592.4399999999987"/>
    <n v="-0.11796961640095022"/>
    <s v="Underspend"/>
  </r>
  <r>
    <d v="2024-06-01T00:00:00"/>
    <x v="5"/>
    <x v="5"/>
    <s v="Jun-2024"/>
    <x v="1"/>
    <x v="3"/>
    <x v="4"/>
    <x v="0"/>
    <s v="CC-400"/>
    <n v="8092.69"/>
    <n v="9380.16"/>
    <n v="1287.4700000000003"/>
    <n v="0.1590904878353181"/>
    <s v="Overspend"/>
  </r>
  <r>
    <d v="2024-06-01T00:00:00"/>
    <x v="5"/>
    <x v="5"/>
    <s v="Jun-2024"/>
    <x v="1"/>
    <x v="3"/>
    <x v="4"/>
    <x v="1"/>
    <s v="CC-400"/>
    <n v="7668.41"/>
    <n v="8989.1200000000008"/>
    <n v="1320.7100000000009"/>
    <n v="0.17222735873538333"/>
    <s v="Overspend"/>
  </r>
  <r>
    <d v="2024-06-01T00:00:00"/>
    <x v="5"/>
    <x v="5"/>
    <s v="Jun-2024"/>
    <x v="1"/>
    <x v="3"/>
    <x v="4"/>
    <x v="2"/>
    <s v="CC-400"/>
    <n v="7846.68"/>
    <n v="7752.53"/>
    <n v="-94.150000000000546"/>
    <n v="-1.1998705184868064E-2"/>
    <s v="On Budget"/>
  </r>
  <r>
    <d v="2024-06-01T00:00:00"/>
    <x v="5"/>
    <x v="5"/>
    <s v="Jun-2024"/>
    <x v="1"/>
    <x v="3"/>
    <x v="4"/>
    <x v="3"/>
    <s v="CC-400"/>
    <n v="8341.2999999999993"/>
    <n v="8926.77"/>
    <n v="585.47000000000116"/>
    <n v="7.0189299030127342E-2"/>
    <s v="Overspend"/>
  </r>
  <r>
    <d v="2024-06-01T00:00:00"/>
    <x v="5"/>
    <x v="5"/>
    <s v="Jun-2024"/>
    <x v="1"/>
    <x v="4"/>
    <x v="0"/>
    <x v="0"/>
    <s v="CC-500"/>
    <n v="45936.01"/>
    <n v="44460.26"/>
    <n v="-1475.75"/>
    <n v="-3.2126212093736478E-2"/>
    <s v="On Budget"/>
  </r>
  <r>
    <d v="2024-06-01T00:00:00"/>
    <x v="5"/>
    <x v="5"/>
    <s v="Jun-2024"/>
    <x v="1"/>
    <x v="4"/>
    <x v="0"/>
    <x v="1"/>
    <s v="CC-500"/>
    <n v="42317.56"/>
    <n v="42735.92"/>
    <n v="418.36000000000058"/>
    <n v="9.8862032688085185E-3"/>
    <s v="On Budget"/>
  </r>
  <r>
    <d v="2024-06-01T00:00:00"/>
    <x v="5"/>
    <x v="5"/>
    <s v="Jun-2024"/>
    <x v="1"/>
    <x v="4"/>
    <x v="0"/>
    <x v="2"/>
    <s v="CC-500"/>
    <n v="43732.07"/>
    <n v="42028.959999999999"/>
    <n v="-1703.1100000000006"/>
    <n v="-3.8944189012777138E-2"/>
    <s v="On Budget"/>
  </r>
  <r>
    <d v="2024-06-01T00:00:00"/>
    <x v="5"/>
    <x v="5"/>
    <s v="Jun-2024"/>
    <x v="1"/>
    <x v="4"/>
    <x v="0"/>
    <x v="3"/>
    <s v="CC-500"/>
    <n v="48105.97"/>
    <n v="47246.38"/>
    <n v="-859.59000000000378"/>
    <n v="-1.786867617470355E-2"/>
    <s v="On Budget"/>
  </r>
  <r>
    <d v="2024-06-01T00:00:00"/>
    <x v="5"/>
    <x v="5"/>
    <s v="Jun-2024"/>
    <x v="1"/>
    <x v="4"/>
    <x v="1"/>
    <x v="0"/>
    <s v="CC-500"/>
    <n v="17135.27"/>
    <n v="16677.38"/>
    <n v="-457.88999999999942"/>
    <n v="-2.6722076745799711E-2"/>
    <s v="On Budget"/>
  </r>
  <r>
    <d v="2024-06-01T00:00:00"/>
    <x v="5"/>
    <x v="5"/>
    <s v="Jun-2024"/>
    <x v="1"/>
    <x v="4"/>
    <x v="1"/>
    <x v="1"/>
    <s v="CC-500"/>
    <n v="16439.189999999999"/>
    <n v="15812.78"/>
    <n v="-626.40999999999804"/>
    <n v="-3.8104675473669816E-2"/>
    <s v="On Budget"/>
  </r>
  <r>
    <d v="2024-06-01T00:00:00"/>
    <x v="5"/>
    <x v="5"/>
    <s v="Jun-2024"/>
    <x v="1"/>
    <x v="4"/>
    <x v="1"/>
    <x v="2"/>
    <s v="CC-500"/>
    <n v="16451.2"/>
    <n v="16172.69"/>
    <n v="-278.51000000000022"/>
    <n v="-1.6929464112040472E-2"/>
    <s v="On Budget"/>
  </r>
  <r>
    <d v="2024-06-01T00:00:00"/>
    <x v="5"/>
    <x v="5"/>
    <s v="Jun-2024"/>
    <x v="1"/>
    <x v="4"/>
    <x v="1"/>
    <x v="3"/>
    <s v="CC-500"/>
    <n v="17971.439999999999"/>
    <n v="18301.830000000002"/>
    <n v="330.39000000000306"/>
    <n v="1.8384169549017948E-2"/>
    <s v="On Budget"/>
  </r>
  <r>
    <d v="2024-06-01T00:00:00"/>
    <x v="5"/>
    <x v="5"/>
    <s v="Jun-2024"/>
    <x v="1"/>
    <x v="4"/>
    <x v="2"/>
    <x v="0"/>
    <s v="CC-500"/>
    <n v="7492.4"/>
    <n v="7670.3"/>
    <n v="177.90000000000055"/>
    <n v="2.3744060648123507E-2"/>
    <s v="On Budget"/>
  </r>
  <r>
    <d v="2024-06-01T00:00:00"/>
    <x v="5"/>
    <x v="5"/>
    <s v="Jun-2024"/>
    <x v="1"/>
    <x v="4"/>
    <x v="2"/>
    <x v="1"/>
    <s v="CC-500"/>
    <n v="7080.72"/>
    <n v="7398.58"/>
    <n v="317.85999999999967"/>
    <n v="4.4890915048187145E-2"/>
    <s v="On Budget"/>
  </r>
  <r>
    <d v="2024-06-01T00:00:00"/>
    <x v="5"/>
    <x v="5"/>
    <s v="Jun-2024"/>
    <x v="1"/>
    <x v="4"/>
    <x v="2"/>
    <x v="2"/>
    <s v="CC-500"/>
    <n v="7029.5"/>
    <n v="7011.46"/>
    <n v="-18.039999999999964"/>
    <n v="-2.566327619318581E-3"/>
    <s v="On Budget"/>
  </r>
  <r>
    <d v="2024-06-01T00:00:00"/>
    <x v="5"/>
    <x v="5"/>
    <s v="Jun-2024"/>
    <x v="1"/>
    <x v="4"/>
    <x v="2"/>
    <x v="3"/>
    <s v="CC-500"/>
    <n v="7553.25"/>
    <n v="7665.15"/>
    <n v="111.89999999999964"/>
    <n v="1.4814814814814767E-2"/>
    <s v="On Budget"/>
  </r>
  <r>
    <d v="2024-06-01T00:00:00"/>
    <x v="5"/>
    <x v="5"/>
    <s v="Jun-2024"/>
    <x v="1"/>
    <x v="4"/>
    <x v="3"/>
    <x v="0"/>
    <s v="CC-500"/>
    <n v="7723.33"/>
    <n v="7561.41"/>
    <n v="-161.92000000000007"/>
    <n v="-2.0965050049654758E-2"/>
    <s v="On Budget"/>
  </r>
  <r>
    <d v="2024-06-01T00:00:00"/>
    <x v="5"/>
    <x v="5"/>
    <s v="Jun-2024"/>
    <x v="1"/>
    <x v="4"/>
    <x v="3"/>
    <x v="1"/>
    <s v="CC-500"/>
    <n v="7056.82"/>
    <n v="6837.51"/>
    <n v="-219.30999999999949"/>
    <n v="-3.107773756451199E-2"/>
    <s v="On Budget"/>
  </r>
  <r>
    <d v="2024-06-01T00:00:00"/>
    <x v="5"/>
    <x v="5"/>
    <s v="Jun-2024"/>
    <x v="1"/>
    <x v="4"/>
    <x v="3"/>
    <x v="2"/>
    <s v="CC-500"/>
    <n v="7493.4"/>
    <n v="7742.98"/>
    <n v="249.57999999999993"/>
    <n v="3.3306643179331137E-2"/>
    <s v="On Budget"/>
  </r>
  <r>
    <d v="2024-06-01T00:00:00"/>
    <x v="5"/>
    <x v="5"/>
    <s v="Jun-2024"/>
    <x v="1"/>
    <x v="4"/>
    <x v="3"/>
    <x v="3"/>
    <s v="CC-500"/>
    <n v="7759.18"/>
    <n v="7988.92"/>
    <n v="229.73999999999978"/>
    <n v="2.960879886792158E-2"/>
    <s v="On Budget"/>
  </r>
  <r>
    <d v="2024-06-01T00:00:00"/>
    <x v="5"/>
    <x v="5"/>
    <s v="Jun-2024"/>
    <x v="1"/>
    <x v="4"/>
    <x v="4"/>
    <x v="0"/>
    <s v="CC-500"/>
    <n v="6506.04"/>
    <n v="6406.7"/>
    <n v="-99.340000000000146"/>
    <n v="-1.5268888601976033E-2"/>
    <s v="On Budget"/>
  </r>
  <r>
    <d v="2024-06-01T00:00:00"/>
    <x v="5"/>
    <x v="5"/>
    <s v="Jun-2024"/>
    <x v="1"/>
    <x v="4"/>
    <x v="4"/>
    <x v="1"/>
    <s v="CC-500"/>
    <n v="6203.95"/>
    <n v="6316.12"/>
    <n v="112.17000000000007"/>
    <n v="1.8080416508837124E-2"/>
    <s v="On Budget"/>
  </r>
  <r>
    <d v="2024-06-01T00:00:00"/>
    <x v="5"/>
    <x v="5"/>
    <s v="Jun-2024"/>
    <x v="1"/>
    <x v="4"/>
    <x v="4"/>
    <x v="2"/>
    <s v="CC-500"/>
    <n v="6465.63"/>
    <n v="6443.55"/>
    <n v="-22.079999999999927"/>
    <n v="-3.4149804427410671E-3"/>
    <s v="On Budget"/>
  </r>
  <r>
    <d v="2024-06-01T00:00:00"/>
    <x v="5"/>
    <x v="5"/>
    <s v="Jun-2024"/>
    <x v="1"/>
    <x v="4"/>
    <x v="4"/>
    <x v="3"/>
    <s v="CC-500"/>
    <n v="6802.62"/>
    <n v="6535.49"/>
    <n v="-267.13000000000011"/>
    <n v="-3.9268693532785913E-2"/>
    <s v="On Budget"/>
  </r>
  <r>
    <d v="2024-07-01T00:00:00"/>
    <x v="6"/>
    <x v="6"/>
    <s v="Jul-2024"/>
    <x v="1"/>
    <x v="0"/>
    <x v="0"/>
    <x v="0"/>
    <s v="CC-100"/>
    <n v="50949.52"/>
    <n v="56162.63"/>
    <n v="5213.1100000000006"/>
    <n v="0.10231911900249503"/>
    <s v="Overspend"/>
  </r>
  <r>
    <d v="2024-07-01T00:00:00"/>
    <x v="6"/>
    <x v="6"/>
    <s v="Jul-2024"/>
    <x v="1"/>
    <x v="0"/>
    <x v="0"/>
    <x v="1"/>
    <s v="CC-100"/>
    <n v="48633.39"/>
    <n v="54098.29"/>
    <n v="5464.9000000000015"/>
    <n v="0.11236930018655911"/>
    <s v="Overspend"/>
  </r>
  <r>
    <d v="2024-07-01T00:00:00"/>
    <x v="6"/>
    <x v="6"/>
    <s v="Jul-2024"/>
    <x v="1"/>
    <x v="0"/>
    <x v="0"/>
    <x v="2"/>
    <s v="CC-100"/>
    <n v="49790.879999999997"/>
    <n v="55494.37"/>
    <n v="5703.4900000000052"/>
    <n v="0.11454888927450178"/>
    <s v="Overspend"/>
  </r>
  <r>
    <d v="2024-07-01T00:00:00"/>
    <x v="6"/>
    <x v="6"/>
    <s v="Jul-2024"/>
    <x v="1"/>
    <x v="0"/>
    <x v="0"/>
    <x v="3"/>
    <s v="CC-100"/>
    <n v="51079.21"/>
    <n v="58898.86"/>
    <n v="7819.6500000000015"/>
    <n v="0.15308870282058007"/>
    <s v="Overspend"/>
  </r>
  <r>
    <d v="2024-07-01T00:00:00"/>
    <x v="6"/>
    <x v="6"/>
    <s v="Jul-2024"/>
    <x v="1"/>
    <x v="0"/>
    <x v="1"/>
    <x v="0"/>
    <s v="CC-100"/>
    <n v="19707.84"/>
    <n v="22168.81"/>
    <n v="2460.9700000000012"/>
    <n v="0.12487263951808017"/>
    <s v="Overspend"/>
  </r>
  <r>
    <d v="2024-07-01T00:00:00"/>
    <x v="6"/>
    <x v="6"/>
    <s v="Jul-2024"/>
    <x v="1"/>
    <x v="0"/>
    <x v="1"/>
    <x v="1"/>
    <s v="CC-100"/>
    <n v="17856.73"/>
    <n v="19997.04"/>
    <n v="2140.3100000000013"/>
    <n v="0.11986013116623263"/>
    <s v="Overspend"/>
  </r>
  <r>
    <d v="2024-07-01T00:00:00"/>
    <x v="6"/>
    <x v="6"/>
    <s v="Jul-2024"/>
    <x v="1"/>
    <x v="0"/>
    <x v="1"/>
    <x v="2"/>
    <s v="CC-100"/>
    <n v="18718.54"/>
    <n v="22247.17"/>
    <n v="3528.6299999999974"/>
    <n v="0.18850989446826499"/>
    <s v="Overspend"/>
  </r>
  <r>
    <d v="2024-07-01T00:00:00"/>
    <x v="6"/>
    <x v="6"/>
    <s v="Jul-2024"/>
    <x v="1"/>
    <x v="0"/>
    <x v="1"/>
    <x v="3"/>
    <s v="CC-100"/>
    <n v="19343.509999999998"/>
    <n v="21896.82"/>
    <n v="2553.3100000000013"/>
    <n v="0.13199827745843445"/>
    <s v="Overspend"/>
  </r>
  <r>
    <d v="2024-07-01T00:00:00"/>
    <x v="6"/>
    <x v="6"/>
    <s v="Jul-2024"/>
    <x v="1"/>
    <x v="0"/>
    <x v="2"/>
    <x v="0"/>
    <s v="CC-100"/>
    <n v="11046.37"/>
    <n v="17321.150000000001"/>
    <n v="6274.7800000000007"/>
    <n v="0.56803999866019339"/>
    <s v="Overspend"/>
  </r>
  <r>
    <d v="2024-07-01T00:00:00"/>
    <x v="6"/>
    <x v="6"/>
    <s v="Jul-2024"/>
    <x v="1"/>
    <x v="0"/>
    <x v="2"/>
    <x v="1"/>
    <s v="CC-100"/>
    <n v="10219.36"/>
    <n v="15439.06"/>
    <n v="5219.6999999999989"/>
    <n v="0.51076584052230267"/>
    <s v="Overspend"/>
  </r>
  <r>
    <d v="2024-07-01T00:00:00"/>
    <x v="6"/>
    <x v="6"/>
    <s v="Jul-2024"/>
    <x v="1"/>
    <x v="0"/>
    <x v="2"/>
    <x v="2"/>
    <s v="CC-100"/>
    <n v="10317.86"/>
    <n v="15588.31"/>
    <n v="5270.4499999999989"/>
    <n v="0.51080844283601434"/>
    <s v="Overspend"/>
  </r>
  <r>
    <d v="2024-07-01T00:00:00"/>
    <x v="6"/>
    <x v="6"/>
    <s v="Jul-2024"/>
    <x v="1"/>
    <x v="0"/>
    <x v="2"/>
    <x v="3"/>
    <s v="CC-100"/>
    <n v="11529.52"/>
    <n v="16440.57"/>
    <n v="4911.0499999999993"/>
    <n v="0.42595441961157093"/>
    <s v="Overspend"/>
  </r>
  <r>
    <d v="2024-07-01T00:00:00"/>
    <x v="6"/>
    <x v="6"/>
    <s v="Jul-2024"/>
    <x v="1"/>
    <x v="0"/>
    <x v="3"/>
    <x v="0"/>
    <s v="CC-100"/>
    <n v="8232.5300000000007"/>
    <n v="9399.65"/>
    <n v="1167.119999999999"/>
    <n v="0.14176929813799632"/>
    <s v="Overspend"/>
  </r>
  <r>
    <d v="2024-07-01T00:00:00"/>
    <x v="6"/>
    <x v="6"/>
    <s v="Jul-2024"/>
    <x v="1"/>
    <x v="0"/>
    <x v="3"/>
    <x v="1"/>
    <s v="CC-100"/>
    <n v="8050.96"/>
    <n v="9534.15"/>
    <n v="1483.1899999999996"/>
    <n v="0.18422523525144821"/>
    <s v="Overspend"/>
  </r>
  <r>
    <d v="2024-07-01T00:00:00"/>
    <x v="6"/>
    <x v="6"/>
    <s v="Jul-2024"/>
    <x v="1"/>
    <x v="0"/>
    <x v="3"/>
    <x v="2"/>
    <s v="CC-100"/>
    <n v="7991.42"/>
    <n v="9162.34"/>
    <n v="1170.92"/>
    <n v="0.14652214500051305"/>
    <s v="Overspend"/>
  </r>
  <r>
    <d v="2024-07-01T00:00:00"/>
    <x v="6"/>
    <x v="6"/>
    <s v="Jul-2024"/>
    <x v="1"/>
    <x v="0"/>
    <x v="3"/>
    <x v="3"/>
    <s v="CC-100"/>
    <n v="8772.24"/>
    <n v="9745.43"/>
    <n v="973.19000000000051"/>
    <n v="0.1109397371708937"/>
    <s v="Overspend"/>
  </r>
  <r>
    <d v="2024-07-01T00:00:00"/>
    <x v="6"/>
    <x v="6"/>
    <s v="Jul-2024"/>
    <x v="1"/>
    <x v="0"/>
    <x v="4"/>
    <x v="0"/>
    <s v="CC-100"/>
    <n v="8621.6200000000008"/>
    <n v="9689.66"/>
    <n v="1068.0399999999991"/>
    <n v="0.12387927094907905"/>
    <s v="Overspend"/>
  </r>
  <r>
    <d v="2024-07-01T00:00:00"/>
    <x v="6"/>
    <x v="6"/>
    <s v="Jul-2024"/>
    <x v="1"/>
    <x v="0"/>
    <x v="4"/>
    <x v="1"/>
    <s v="CC-100"/>
    <n v="8456.08"/>
    <n v="9392.48"/>
    <n v="936.39999999999964"/>
    <n v="0.11073688990643414"/>
    <s v="Overspend"/>
  </r>
  <r>
    <d v="2024-07-01T00:00:00"/>
    <x v="6"/>
    <x v="6"/>
    <s v="Jul-2024"/>
    <x v="1"/>
    <x v="0"/>
    <x v="4"/>
    <x v="2"/>
    <s v="CC-100"/>
    <n v="8208.2199999999993"/>
    <n v="9486.3700000000008"/>
    <n v="1278.1500000000015"/>
    <n v="0.15571585556917353"/>
    <s v="Overspend"/>
  </r>
  <r>
    <d v="2024-07-01T00:00:00"/>
    <x v="6"/>
    <x v="6"/>
    <s v="Jul-2024"/>
    <x v="1"/>
    <x v="0"/>
    <x v="4"/>
    <x v="3"/>
    <s v="CC-100"/>
    <n v="8838.7800000000007"/>
    <n v="10137.27"/>
    <n v="1298.4899999999998"/>
    <n v="0.14690828372241416"/>
    <s v="Overspend"/>
  </r>
  <r>
    <d v="2024-07-01T00:00:00"/>
    <x v="6"/>
    <x v="6"/>
    <s v="Jul-2024"/>
    <x v="1"/>
    <x v="1"/>
    <x v="0"/>
    <x v="0"/>
    <s v="CC-200"/>
    <n v="52393.32"/>
    <n v="46750.19"/>
    <n v="-5643.1299999999974"/>
    <n v="-0.10770705120423743"/>
    <s v="Underspend"/>
  </r>
  <r>
    <d v="2024-07-01T00:00:00"/>
    <x v="6"/>
    <x v="6"/>
    <s v="Jul-2024"/>
    <x v="1"/>
    <x v="1"/>
    <x v="0"/>
    <x v="1"/>
    <s v="CC-200"/>
    <n v="49596.83"/>
    <n v="44801.03"/>
    <n v="-4795.8000000000029"/>
    <n v="-9.669569607573715E-2"/>
    <s v="Underspend"/>
  </r>
  <r>
    <d v="2024-07-01T00:00:00"/>
    <x v="6"/>
    <x v="6"/>
    <s v="Jul-2024"/>
    <x v="1"/>
    <x v="1"/>
    <x v="0"/>
    <x v="2"/>
    <s v="CC-200"/>
    <n v="51057.3"/>
    <n v="45563.91"/>
    <n v="-5493.3899999999994"/>
    <n v="-0.10759264590959568"/>
    <s v="Underspend"/>
  </r>
  <r>
    <d v="2024-07-01T00:00:00"/>
    <x v="6"/>
    <x v="6"/>
    <s v="Jul-2024"/>
    <x v="1"/>
    <x v="1"/>
    <x v="0"/>
    <x v="3"/>
    <s v="CC-200"/>
    <n v="54643.27"/>
    <n v="48986.55"/>
    <n v="-5656.7199999999939"/>
    <n v="-0.10352089104477083"/>
    <s v="Underspend"/>
  </r>
  <r>
    <d v="2024-07-01T00:00:00"/>
    <x v="6"/>
    <x v="6"/>
    <s v="Jul-2024"/>
    <x v="1"/>
    <x v="1"/>
    <x v="1"/>
    <x v="0"/>
    <s v="CC-200"/>
    <n v="28969.53"/>
    <n v="25436.240000000002"/>
    <n v="-3533.2899999999972"/>
    <n v="-0.12196573434225537"/>
    <s v="Underspend"/>
  </r>
  <r>
    <d v="2024-07-01T00:00:00"/>
    <x v="6"/>
    <x v="6"/>
    <s v="Jul-2024"/>
    <x v="1"/>
    <x v="1"/>
    <x v="1"/>
    <x v="1"/>
    <s v="CC-200"/>
    <n v="27066.33"/>
    <n v="24332.15"/>
    <n v="-2734.1800000000003"/>
    <n v="-0.1010177589647359"/>
    <s v="Underspend"/>
  </r>
  <r>
    <d v="2024-07-01T00:00:00"/>
    <x v="6"/>
    <x v="6"/>
    <s v="Jul-2024"/>
    <x v="1"/>
    <x v="1"/>
    <x v="1"/>
    <x v="2"/>
    <s v="CC-200"/>
    <n v="28639.19"/>
    <n v="25227.86"/>
    <n v="-3411.3299999999981"/>
    <n v="-0.11911405315583291"/>
    <s v="Underspend"/>
  </r>
  <r>
    <d v="2024-07-01T00:00:00"/>
    <x v="6"/>
    <x v="6"/>
    <s v="Jul-2024"/>
    <x v="1"/>
    <x v="1"/>
    <x v="1"/>
    <x v="3"/>
    <s v="CC-200"/>
    <n v="30080.25"/>
    <n v="27095.25"/>
    <n v="-2985"/>
    <n v="-9.9234547585209568E-2"/>
    <s v="Underspend"/>
  </r>
  <r>
    <d v="2024-07-01T00:00:00"/>
    <x v="6"/>
    <x v="6"/>
    <s v="Jul-2024"/>
    <x v="1"/>
    <x v="1"/>
    <x v="2"/>
    <x v="0"/>
    <s v="CC-200"/>
    <n v="11492.81"/>
    <n v="13688.59"/>
    <n v="2195.7800000000007"/>
    <n v="0.19105684336554773"/>
    <s v="Overspend"/>
  </r>
  <r>
    <d v="2024-07-01T00:00:00"/>
    <x v="6"/>
    <x v="6"/>
    <s v="Jul-2024"/>
    <x v="1"/>
    <x v="1"/>
    <x v="2"/>
    <x v="1"/>
    <s v="CC-200"/>
    <n v="10726.64"/>
    <n v="13239.89"/>
    <n v="2513.25"/>
    <n v="0.23429983666833232"/>
    <s v="Overspend"/>
  </r>
  <r>
    <d v="2024-07-01T00:00:00"/>
    <x v="6"/>
    <x v="6"/>
    <s v="Jul-2024"/>
    <x v="1"/>
    <x v="1"/>
    <x v="2"/>
    <x v="2"/>
    <s v="CC-200"/>
    <n v="10914.09"/>
    <n v="13370.05"/>
    <n v="2455.9599999999991"/>
    <n v="0.2250265482509306"/>
    <s v="Overspend"/>
  </r>
  <r>
    <d v="2024-07-01T00:00:00"/>
    <x v="6"/>
    <x v="6"/>
    <s v="Jul-2024"/>
    <x v="1"/>
    <x v="1"/>
    <x v="2"/>
    <x v="3"/>
    <s v="CC-200"/>
    <n v="12122.44"/>
    <n v="14191.08"/>
    <n v="2068.6399999999994"/>
    <n v="0.17064551360947131"/>
    <s v="Overspend"/>
  </r>
  <r>
    <d v="2024-07-01T00:00:00"/>
    <x v="6"/>
    <x v="6"/>
    <s v="Jul-2024"/>
    <x v="1"/>
    <x v="1"/>
    <x v="3"/>
    <x v="0"/>
    <s v="CC-200"/>
    <n v="9077.85"/>
    <n v="7853.74"/>
    <n v="-1224.1100000000006"/>
    <n v="-0.13484580600031951"/>
    <s v="Underspend"/>
  </r>
  <r>
    <d v="2024-07-01T00:00:00"/>
    <x v="6"/>
    <x v="6"/>
    <s v="Jul-2024"/>
    <x v="1"/>
    <x v="1"/>
    <x v="3"/>
    <x v="1"/>
    <s v="CC-200"/>
    <n v="8244.92"/>
    <n v="7141.96"/>
    <n v="-1102.96"/>
    <n v="-0.13377449387016491"/>
    <s v="Underspend"/>
  </r>
  <r>
    <d v="2024-07-01T00:00:00"/>
    <x v="6"/>
    <x v="6"/>
    <s v="Jul-2024"/>
    <x v="1"/>
    <x v="1"/>
    <x v="3"/>
    <x v="2"/>
    <s v="CC-200"/>
    <n v="8408.99"/>
    <n v="7155.7"/>
    <n v="-1253.29"/>
    <n v="-0.14904168039205659"/>
    <s v="Underspend"/>
  </r>
  <r>
    <d v="2024-07-01T00:00:00"/>
    <x v="6"/>
    <x v="6"/>
    <s v="Jul-2024"/>
    <x v="1"/>
    <x v="1"/>
    <x v="3"/>
    <x v="3"/>
    <s v="CC-200"/>
    <n v="9391.77"/>
    <n v="8075.58"/>
    <n v="-1316.1900000000005"/>
    <n v="-0.14014291235837339"/>
    <s v="Underspend"/>
  </r>
  <r>
    <d v="2024-07-01T00:00:00"/>
    <x v="6"/>
    <x v="6"/>
    <s v="Jul-2024"/>
    <x v="1"/>
    <x v="1"/>
    <x v="4"/>
    <x v="0"/>
    <s v="CC-200"/>
    <n v="7803.53"/>
    <n v="6945.42"/>
    <n v="-858.10999999999967"/>
    <n v="-0.10996433665277121"/>
    <s v="Underspend"/>
  </r>
  <r>
    <d v="2024-07-01T00:00:00"/>
    <x v="6"/>
    <x v="6"/>
    <s v="Jul-2024"/>
    <x v="1"/>
    <x v="1"/>
    <x v="4"/>
    <x v="1"/>
    <s v="CC-200"/>
    <n v="7325.1"/>
    <n v="6467.1"/>
    <n v="-858"/>
    <n v="-0.11713150673710938"/>
    <s v="Underspend"/>
  </r>
  <r>
    <d v="2024-07-01T00:00:00"/>
    <x v="6"/>
    <x v="6"/>
    <s v="Jul-2024"/>
    <x v="1"/>
    <x v="1"/>
    <x v="4"/>
    <x v="2"/>
    <s v="CC-200"/>
    <n v="7285.59"/>
    <n v="6481.9"/>
    <n v="-803.69000000000051"/>
    <n v="-0.11031227395447733"/>
    <s v="Underspend"/>
  </r>
  <r>
    <d v="2024-07-01T00:00:00"/>
    <x v="6"/>
    <x v="6"/>
    <s v="Jul-2024"/>
    <x v="1"/>
    <x v="1"/>
    <x v="4"/>
    <x v="3"/>
    <s v="CC-200"/>
    <n v="8091.62"/>
    <n v="7078.75"/>
    <n v="-1012.8699999999999"/>
    <n v="-0.12517518123688456"/>
    <s v="Underspend"/>
  </r>
  <r>
    <d v="2024-07-01T00:00:00"/>
    <x v="6"/>
    <x v="6"/>
    <s v="Jul-2024"/>
    <x v="1"/>
    <x v="2"/>
    <x v="0"/>
    <x v="0"/>
    <s v="CC-300"/>
    <n v="46328.98"/>
    <n v="46576.72"/>
    <n v="247.73999999999796"/>
    <n v="5.3474089004333343E-3"/>
    <s v="On Budget"/>
  </r>
  <r>
    <d v="2024-07-01T00:00:00"/>
    <x v="6"/>
    <x v="6"/>
    <s v="Jul-2024"/>
    <x v="1"/>
    <x v="2"/>
    <x v="0"/>
    <x v="1"/>
    <s v="CC-300"/>
    <n v="44878.19"/>
    <n v="44663.48"/>
    <n v="-214.70999999999913"/>
    <n v="-4.7842838581502308E-3"/>
    <s v="On Budget"/>
  </r>
  <r>
    <d v="2024-07-01T00:00:00"/>
    <x v="6"/>
    <x v="6"/>
    <s v="Jul-2024"/>
    <x v="1"/>
    <x v="2"/>
    <x v="0"/>
    <x v="2"/>
    <s v="CC-300"/>
    <n v="45196.47"/>
    <n v="45937.15"/>
    <n v="740.68000000000029"/>
    <n v="1.6388005523440222E-2"/>
    <s v="On Budget"/>
  </r>
  <r>
    <d v="2024-07-01T00:00:00"/>
    <x v="6"/>
    <x v="6"/>
    <s v="Jul-2024"/>
    <x v="1"/>
    <x v="2"/>
    <x v="0"/>
    <x v="3"/>
    <s v="CC-300"/>
    <n v="47909.120000000003"/>
    <n v="48099.12"/>
    <n v="190"/>
    <n v="3.9658419941756388E-3"/>
    <s v="On Budget"/>
  </r>
  <r>
    <d v="2024-07-01T00:00:00"/>
    <x v="6"/>
    <x v="6"/>
    <s v="Jul-2024"/>
    <x v="1"/>
    <x v="2"/>
    <x v="1"/>
    <x v="0"/>
    <s v="CC-300"/>
    <n v="15798.01"/>
    <n v="15510.13"/>
    <n v="-287.88000000000102"/>
    <n v="-1.8222548282980009E-2"/>
    <s v="On Budget"/>
  </r>
  <r>
    <d v="2024-07-01T00:00:00"/>
    <x v="6"/>
    <x v="6"/>
    <s v="Jul-2024"/>
    <x v="1"/>
    <x v="2"/>
    <x v="1"/>
    <x v="1"/>
    <s v="CC-300"/>
    <n v="15372.06"/>
    <n v="15433.82"/>
    <n v="61.760000000000218"/>
    <n v="4.0176788276912933E-3"/>
    <s v="On Budget"/>
  </r>
  <r>
    <d v="2024-07-01T00:00:00"/>
    <x v="6"/>
    <x v="6"/>
    <s v="Jul-2024"/>
    <x v="1"/>
    <x v="2"/>
    <x v="1"/>
    <x v="2"/>
    <s v="CC-300"/>
    <n v="14902.4"/>
    <n v="14968.74"/>
    <n v="66.340000000000146"/>
    <n v="4.4516319519003747E-3"/>
    <s v="On Budget"/>
  </r>
  <r>
    <d v="2024-07-01T00:00:00"/>
    <x v="6"/>
    <x v="6"/>
    <s v="Jul-2024"/>
    <x v="1"/>
    <x v="2"/>
    <x v="1"/>
    <x v="3"/>
    <s v="CC-300"/>
    <n v="16585.87"/>
    <n v="16203.24"/>
    <n v="-382.6299999999992"/>
    <n v="-2.3069636986181564E-2"/>
    <s v="On Budget"/>
  </r>
  <r>
    <d v="2024-07-01T00:00:00"/>
    <x v="6"/>
    <x v="6"/>
    <s v="Jul-2024"/>
    <x v="1"/>
    <x v="2"/>
    <x v="2"/>
    <x v="0"/>
    <s v="CC-300"/>
    <n v="8756.1299999999992"/>
    <n v="11946.17"/>
    <n v="3190.0400000000009"/>
    <n v="0.36432076727960883"/>
    <s v="Overspend"/>
  </r>
  <r>
    <d v="2024-07-01T00:00:00"/>
    <x v="6"/>
    <x v="6"/>
    <s v="Jul-2024"/>
    <x v="1"/>
    <x v="2"/>
    <x v="2"/>
    <x v="1"/>
    <s v="CC-300"/>
    <n v="8408.82"/>
    <n v="11509.89"/>
    <n v="3101.0699999999997"/>
    <n v="0.36878777283851955"/>
    <s v="Overspend"/>
  </r>
  <r>
    <d v="2024-07-01T00:00:00"/>
    <x v="6"/>
    <x v="6"/>
    <s v="Jul-2024"/>
    <x v="1"/>
    <x v="2"/>
    <x v="2"/>
    <x v="2"/>
    <s v="CC-300"/>
    <n v="8581.7000000000007"/>
    <n v="11636.53"/>
    <n v="3054.83"/>
    <n v="0.35597026230234097"/>
    <s v="Overspend"/>
  </r>
  <r>
    <d v="2024-07-01T00:00:00"/>
    <x v="6"/>
    <x v="6"/>
    <s v="Jul-2024"/>
    <x v="1"/>
    <x v="2"/>
    <x v="2"/>
    <x v="3"/>
    <s v="CC-300"/>
    <n v="8943.31"/>
    <n v="12407.62"/>
    <n v="3464.3100000000013"/>
    <n v="0.38736329166717931"/>
    <s v="Overspend"/>
  </r>
  <r>
    <d v="2024-07-01T00:00:00"/>
    <x v="6"/>
    <x v="6"/>
    <s v="Jul-2024"/>
    <x v="1"/>
    <x v="2"/>
    <x v="3"/>
    <x v="0"/>
    <s v="CC-300"/>
    <n v="6715.98"/>
    <n v="6626.41"/>
    <n v="-89.569999999999709"/>
    <n v="-1.3336847340224318E-2"/>
    <s v="On Budget"/>
  </r>
  <r>
    <d v="2024-07-01T00:00:00"/>
    <x v="6"/>
    <x v="6"/>
    <s v="Jul-2024"/>
    <x v="1"/>
    <x v="2"/>
    <x v="3"/>
    <x v="1"/>
    <s v="CC-300"/>
    <n v="6437.54"/>
    <n v="6351.97"/>
    <n v="-85.569999999999709"/>
    <n v="-1.3292344591256864E-2"/>
    <s v="On Budget"/>
  </r>
  <r>
    <d v="2024-07-01T00:00:00"/>
    <x v="6"/>
    <x v="6"/>
    <s v="Jul-2024"/>
    <x v="1"/>
    <x v="2"/>
    <x v="3"/>
    <x v="2"/>
    <s v="CC-300"/>
    <n v="6542.17"/>
    <n v="6577.01"/>
    <n v="34.840000000000146"/>
    <n v="5.3254501182329632E-3"/>
    <s v="On Budget"/>
  </r>
  <r>
    <d v="2024-07-01T00:00:00"/>
    <x v="6"/>
    <x v="6"/>
    <s v="Jul-2024"/>
    <x v="1"/>
    <x v="2"/>
    <x v="3"/>
    <x v="3"/>
    <s v="CC-300"/>
    <n v="7257.33"/>
    <n v="7069.41"/>
    <n v="-187.92000000000007"/>
    <n v="-2.5893820454630019E-2"/>
    <s v="On Budget"/>
  </r>
  <r>
    <d v="2024-07-01T00:00:00"/>
    <x v="6"/>
    <x v="6"/>
    <s v="Jul-2024"/>
    <x v="1"/>
    <x v="2"/>
    <x v="4"/>
    <x v="0"/>
    <s v="CC-300"/>
    <n v="5874.51"/>
    <n v="6013.14"/>
    <n v="138.63000000000011"/>
    <n v="2.3598563965334999E-2"/>
    <s v="On Budget"/>
  </r>
  <r>
    <d v="2024-07-01T00:00:00"/>
    <x v="6"/>
    <x v="6"/>
    <s v="Jul-2024"/>
    <x v="1"/>
    <x v="2"/>
    <x v="4"/>
    <x v="1"/>
    <s v="CC-300"/>
    <n v="5583.98"/>
    <n v="5594.44"/>
    <n v="10.460000000000036"/>
    <n v="1.873215878280373E-3"/>
    <s v="On Budget"/>
  </r>
  <r>
    <d v="2024-07-01T00:00:00"/>
    <x v="6"/>
    <x v="6"/>
    <s v="Jul-2024"/>
    <x v="1"/>
    <x v="2"/>
    <x v="4"/>
    <x v="2"/>
    <s v="CC-300"/>
    <n v="5768.5"/>
    <n v="5616.22"/>
    <n v="-152.27999999999975"/>
    <n v="-2.6398543815549926E-2"/>
    <s v="On Budget"/>
  </r>
  <r>
    <d v="2024-07-01T00:00:00"/>
    <x v="6"/>
    <x v="6"/>
    <s v="Jul-2024"/>
    <x v="1"/>
    <x v="2"/>
    <x v="4"/>
    <x v="3"/>
    <s v="CC-300"/>
    <n v="6025.72"/>
    <n v="6157.54"/>
    <n v="131.81999999999971"/>
    <n v="2.1876223920128997E-2"/>
    <s v="On Budget"/>
  </r>
  <r>
    <d v="2024-07-01T00:00:00"/>
    <x v="6"/>
    <x v="6"/>
    <s v="Jul-2024"/>
    <x v="1"/>
    <x v="3"/>
    <x v="0"/>
    <x v="0"/>
    <s v="CC-400"/>
    <n v="56544.3"/>
    <n v="54915.9"/>
    <n v="-1628.4000000000015"/>
    <n v="-2.8798658750749436E-2"/>
    <s v="On Budget"/>
  </r>
  <r>
    <d v="2024-07-01T00:00:00"/>
    <x v="6"/>
    <x v="6"/>
    <s v="Jul-2024"/>
    <x v="1"/>
    <x v="3"/>
    <x v="0"/>
    <x v="1"/>
    <s v="CC-400"/>
    <n v="52554.23"/>
    <n v="60894.45"/>
    <n v="8340.2199999999939"/>
    <n v="0.15869740646946959"/>
    <s v="Overspend"/>
  </r>
  <r>
    <d v="2024-07-01T00:00:00"/>
    <x v="6"/>
    <x v="6"/>
    <s v="Jul-2024"/>
    <x v="1"/>
    <x v="3"/>
    <x v="0"/>
    <x v="2"/>
    <s v="CC-400"/>
    <n v="53398.559999999998"/>
    <n v="58586.84"/>
    <n v="5188.2799999999988"/>
    <n v="9.7161421581405921E-2"/>
    <s v="Overspend"/>
  </r>
  <r>
    <d v="2024-07-01T00:00:00"/>
    <x v="6"/>
    <x v="6"/>
    <s v="Jul-2024"/>
    <x v="1"/>
    <x v="3"/>
    <x v="0"/>
    <x v="3"/>
    <s v="CC-400"/>
    <n v="56723.31"/>
    <n v="57940.78"/>
    <n v="1217.4700000000012"/>
    <n v="2.1463310233482517E-2"/>
    <s v="On Budget"/>
  </r>
  <r>
    <d v="2024-07-01T00:00:00"/>
    <x v="6"/>
    <x v="6"/>
    <s v="Jul-2024"/>
    <x v="1"/>
    <x v="3"/>
    <x v="1"/>
    <x v="0"/>
    <s v="CC-400"/>
    <n v="21051.14"/>
    <n v="22682.06"/>
    <n v="1630.9200000000019"/>
    <n v="7.7474189046294023E-2"/>
    <s v="Overspend"/>
  </r>
  <r>
    <d v="2024-07-01T00:00:00"/>
    <x v="6"/>
    <x v="6"/>
    <s v="Jul-2024"/>
    <x v="1"/>
    <x v="3"/>
    <x v="1"/>
    <x v="1"/>
    <s v="CC-400"/>
    <n v="20863.29"/>
    <n v="22478.26"/>
    <n v="1614.9699999999975"/>
    <n v="7.7407254560522207E-2"/>
    <s v="Overspend"/>
  </r>
  <r>
    <d v="2024-07-01T00:00:00"/>
    <x v="6"/>
    <x v="6"/>
    <s v="Jul-2024"/>
    <x v="1"/>
    <x v="3"/>
    <x v="1"/>
    <x v="2"/>
    <s v="CC-400"/>
    <n v="20943.759999999998"/>
    <n v="23768.73"/>
    <n v="2824.9700000000012"/>
    <n v="0.13488361211167438"/>
    <s v="Overspend"/>
  </r>
  <r>
    <d v="2024-07-01T00:00:00"/>
    <x v="6"/>
    <x v="6"/>
    <s v="Jul-2024"/>
    <x v="1"/>
    <x v="3"/>
    <x v="1"/>
    <x v="3"/>
    <s v="CC-400"/>
    <n v="22321.62"/>
    <n v="23066.34"/>
    <n v="744.72000000000116"/>
    <n v="3.3363169877455183E-2"/>
    <s v="On Budget"/>
  </r>
  <r>
    <d v="2024-07-01T00:00:00"/>
    <x v="6"/>
    <x v="6"/>
    <s v="Jul-2024"/>
    <x v="1"/>
    <x v="3"/>
    <x v="2"/>
    <x v="0"/>
    <s v="CC-400"/>
    <n v="11808.71"/>
    <n v="16729.759999999998"/>
    <n v="4921.0499999999993"/>
    <n v="0.41673053195480281"/>
    <s v="Overspend"/>
  </r>
  <r>
    <d v="2024-07-01T00:00:00"/>
    <x v="6"/>
    <x v="6"/>
    <s v="Jul-2024"/>
    <x v="1"/>
    <x v="3"/>
    <x v="2"/>
    <x v="1"/>
    <s v="CC-400"/>
    <n v="11718.88"/>
    <n v="15221.36"/>
    <n v="3502.4800000000014"/>
    <n v="0.29887497781357958"/>
    <s v="Overspend"/>
  </r>
  <r>
    <d v="2024-07-01T00:00:00"/>
    <x v="6"/>
    <x v="6"/>
    <s v="Jul-2024"/>
    <x v="1"/>
    <x v="3"/>
    <x v="2"/>
    <x v="2"/>
    <s v="CC-400"/>
    <n v="11644.24"/>
    <n v="13562.08"/>
    <n v="1917.8400000000001"/>
    <n v="0.16470289173016017"/>
    <s v="Overspend"/>
  </r>
  <r>
    <d v="2024-07-01T00:00:00"/>
    <x v="6"/>
    <x v="6"/>
    <s v="Jul-2024"/>
    <x v="1"/>
    <x v="3"/>
    <x v="2"/>
    <x v="3"/>
    <s v="CC-400"/>
    <n v="12721.3"/>
    <n v="18931.63"/>
    <n v="6210.3300000000017"/>
    <n v="0.48818359758829694"/>
    <s v="Overspend"/>
  </r>
  <r>
    <d v="2024-07-01T00:00:00"/>
    <x v="6"/>
    <x v="6"/>
    <s v="Jul-2024"/>
    <x v="1"/>
    <x v="3"/>
    <x v="3"/>
    <x v="0"/>
    <s v="CC-400"/>
    <n v="12679.68"/>
    <n v="14447.87"/>
    <n v="1768.1900000000005"/>
    <n v="0.13945068014334749"/>
    <s v="Overspend"/>
  </r>
  <r>
    <d v="2024-07-01T00:00:00"/>
    <x v="6"/>
    <x v="6"/>
    <s v="Jul-2024"/>
    <x v="1"/>
    <x v="3"/>
    <x v="3"/>
    <x v="1"/>
    <s v="CC-400"/>
    <n v="11888.4"/>
    <n v="10781.05"/>
    <n v="-1107.3500000000004"/>
    <n v="-9.3145419063961538E-2"/>
    <s v="Underspend"/>
  </r>
  <r>
    <d v="2024-07-01T00:00:00"/>
    <x v="6"/>
    <x v="6"/>
    <s v="Jul-2024"/>
    <x v="1"/>
    <x v="3"/>
    <x v="3"/>
    <x v="2"/>
    <s v="CC-400"/>
    <n v="12546"/>
    <n v="11076.45"/>
    <n v="-1469.5499999999993"/>
    <n v="-0.11713295074127206"/>
    <s v="Underspend"/>
  </r>
  <r>
    <d v="2024-07-01T00:00:00"/>
    <x v="6"/>
    <x v="6"/>
    <s v="Jul-2024"/>
    <x v="1"/>
    <x v="3"/>
    <x v="3"/>
    <x v="3"/>
    <s v="CC-400"/>
    <n v="12827.27"/>
    <n v="11349.61"/>
    <n v="-1477.6599999999999"/>
    <n v="-0.11519676439335882"/>
    <s v="Underspend"/>
  </r>
  <r>
    <d v="2024-07-01T00:00:00"/>
    <x v="6"/>
    <x v="6"/>
    <s v="Jul-2024"/>
    <x v="1"/>
    <x v="3"/>
    <x v="4"/>
    <x v="0"/>
    <s v="CC-400"/>
    <n v="8051.5"/>
    <n v="8056.92"/>
    <n v="5.4200000000000728"/>
    <n v="6.7316649071602467E-4"/>
    <s v="On Budget"/>
  </r>
  <r>
    <d v="2024-07-01T00:00:00"/>
    <x v="6"/>
    <x v="6"/>
    <s v="Jul-2024"/>
    <x v="1"/>
    <x v="3"/>
    <x v="4"/>
    <x v="1"/>
    <s v="CC-400"/>
    <n v="7799.62"/>
    <n v="6867.4"/>
    <n v="-932.22000000000025"/>
    <n v="-0.11952120744343958"/>
    <s v="Underspend"/>
  </r>
  <r>
    <d v="2024-07-01T00:00:00"/>
    <x v="6"/>
    <x v="6"/>
    <s v="Jul-2024"/>
    <x v="1"/>
    <x v="3"/>
    <x v="4"/>
    <x v="2"/>
    <s v="CC-400"/>
    <n v="7927.42"/>
    <n v="8293.4"/>
    <n v="365.97999999999956"/>
    <n v="4.6166344157367666E-2"/>
    <s v="On Budget"/>
  </r>
  <r>
    <d v="2024-07-01T00:00:00"/>
    <x v="6"/>
    <x v="6"/>
    <s v="Jul-2024"/>
    <x v="1"/>
    <x v="3"/>
    <x v="4"/>
    <x v="3"/>
    <s v="CC-400"/>
    <n v="8439.17"/>
    <n v="7493.44"/>
    <n v="-945.73000000000047"/>
    <n v="-0.11206433808064069"/>
    <s v="Underspend"/>
  </r>
  <r>
    <d v="2024-07-01T00:00:00"/>
    <x v="6"/>
    <x v="6"/>
    <s v="Jul-2024"/>
    <x v="1"/>
    <x v="4"/>
    <x v="0"/>
    <x v="0"/>
    <s v="CC-500"/>
    <n v="45871.08"/>
    <n v="47762.96"/>
    <n v="1891.8799999999974"/>
    <n v="4.1243415241149703E-2"/>
    <s v="On Budget"/>
  </r>
  <r>
    <d v="2024-07-01T00:00:00"/>
    <x v="6"/>
    <x v="6"/>
    <s v="Jul-2024"/>
    <x v="1"/>
    <x v="4"/>
    <x v="0"/>
    <x v="1"/>
    <s v="CC-500"/>
    <n v="41779.89"/>
    <n v="42506.71"/>
    <n v="726.81999999999971"/>
    <n v="1.73964076975789E-2"/>
    <s v="On Budget"/>
  </r>
  <r>
    <d v="2024-07-01T00:00:00"/>
    <x v="6"/>
    <x v="6"/>
    <s v="Jul-2024"/>
    <x v="1"/>
    <x v="4"/>
    <x v="0"/>
    <x v="2"/>
    <s v="CC-500"/>
    <n v="42549.279999999999"/>
    <n v="44469.29"/>
    <n v="1920.010000000002"/>
    <n v="4.5124382833270082E-2"/>
    <s v="On Budget"/>
  </r>
  <r>
    <d v="2024-07-01T00:00:00"/>
    <x v="6"/>
    <x v="6"/>
    <s v="Jul-2024"/>
    <x v="1"/>
    <x v="4"/>
    <x v="0"/>
    <x v="3"/>
    <s v="CC-500"/>
    <n v="47807.6"/>
    <n v="48354.93"/>
    <n v="547.33000000000175"/>
    <n v="1.1448598130841158E-2"/>
    <s v="On Budget"/>
  </r>
  <r>
    <d v="2024-07-01T00:00:00"/>
    <x v="6"/>
    <x v="6"/>
    <s v="Jul-2024"/>
    <x v="1"/>
    <x v="4"/>
    <x v="1"/>
    <x v="0"/>
    <s v="CC-500"/>
    <n v="17557.03"/>
    <n v="17126.41"/>
    <n v="-430.61999999999898"/>
    <n v="-2.4526927390338741E-2"/>
    <s v="On Budget"/>
  </r>
  <r>
    <d v="2024-07-01T00:00:00"/>
    <x v="6"/>
    <x v="6"/>
    <s v="Jul-2024"/>
    <x v="1"/>
    <x v="4"/>
    <x v="1"/>
    <x v="1"/>
    <s v="CC-500"/>
    <n v="16685.27"/>
    <n v="17121.400000000001"/>
    <n v="436.13000000000102"/>
    <n v="2.6138624067815565E-2"/>
    <s v="On Budget"/>
  </r>
  <r>
    <d v="2024-07-01T00:00:00"/>
    <x v="6"/>
    <x v="6"/>
    <s v="Jul-2024"/>
    <x v="1"/>
    <x v="4"/>
    <x v="1"/>
    <x v="2"/>
    <s v="CC-500"/>
    <n v="16296.45"/>
    <n v="17071.939999999999"/>
    <n v="775.48999999999796"/>
    <n v="4.7586437537009467E-2"/>
    <s v="On Budget"/>
  </r>
  <r>
    <d v="2024-07-01T00:00:00"/>
    <x v="6"/>
    <x v="6"/>
    <s v="Jul-2024"/>
    <x v="1"/>
    <x v="4"/>
    <x v="1"/>
    <x v="3"/>
    <s v="CC-500"/>
    <n v="17984.310000000001"/>
    <n v="18684.3"/>
    <n v="699.98999999999796"/>
    <n v="3.8922260570463808E-2"/>
    <s v="On Budget"/>
  </r>
  <r>
    <d v="2024-07-01T00:00:00"/>
    <x v="6"/>
    <x v="6"/>
    <s v="Jul-2024"/>
    <x v="1"/>
    <x v="4"/>
    <x v="2"/>
    <x v="0"/>
    <s v="CC-500"/>
    <n v="7325.86"/>
    <n v="10284.530000000001"/>
    <n v="2958.670000000001"/>
    <n v="0.40386657675685872"/>
    <s v="Overspend"/>
  </r>
  <r>
    <d v="2024-07-01T00:00:00"/>
    <x v="6"/>
    <x v="6"/>
    <s v="Jul-2024"/>
    <x v="1"/>
    <x v="4"/>
    <x v="2"/>
    <x v="1"/>
    <s v="CC-500"/>
    <n v="6953.92"/>
    <n v="8947.2999999999993"/>
    <n v="1993.3799999999992"/>
    <n v="0.28665558418848636"/>
    <s v="Overspend"/>
  </r>
  <r>
    <d v="2024-07-01T00:00:00"/>
    <x v="6"/>
    <x v="6"/>
    <s v="Jul-2024"/>
    <x v="1"/>
    <x v="4"/>
    <x v="2"/>
    <x v="2"/>
    <s v="CC-500"/>
    <n v="7217.4"/>
    <n v="9723.6200000000008"/>
    <n v="2506.2200000000012"/>
    <n v="0.34724693102779414"/>
    <s v="Overspend"/>
  </r>
  <r>
    <d v="2024-07-01T00:00:00"/>
    <x v="6"/>
    <x v="6"/>
    <s v="Jul-2024"/>
    <x v="1"/>
    <x v="4"/>
    <x v="2"/>
    <x v="3"/>
    <s v="CC-500"/>
    <n v="7628.43"/>
    <n v="10197.69"/>
    <n v="2569.2600000000002"/>
    <n v="0.33680062607902284"/>
    <s v="Overspend"/>
  </r>
  <r>
    <d v="2024-07-01T00:00:00"/>
    <x v="6"/>
    <x v="6"/>
    <s v="Jul-2024"/>
    <x v="1"/>
    <x v="4"/>
    <x v="3"/>
    <x v="0"/>
    <s v="CC-500"/>
    <n v="7337.73"/>
    <n v="7294.57"/>
    <n v="-43.159999999999854"/>
    <n v="-5.8819280622208585E-3"/>
    <s v="On Budget"/>
  </r>
  <r>
    <d v="2024-07-01T00:00:00"/>
    <x v="6"/>
    <x v="6"/>
    <s v="Jul-2024"/>
    <x v="1"/>
    <x v="4"/>
    <x v="3"/>
    <x v="1"/>
    <s v="CC-500"/>
    <n v="6943.12"/>
    <n v="6706.18"/>
    <n v="-236.9399999999996"/>
    <n v="-3.4125868485637527E-2"/>
    <s v="On Budget"/>
  </r>
  <r>
    <d v="2024-07-01T00:00:00"/>
    <x v="6"/>
    <x v="6"/>
    <s v="Jul-2024"/>
    <x v="1"/>
    <x v="4"/>
    <x v="3"/>
    <x v="2"/>
    <s v="CC-500"/>
    <n v="7386.86"/>
    <n v="7701.22"/>
    <n v="314.36000000000058"/>
    <n v="4.2556647885569863E-2"/>
    <s v="On Budget"/>
  </r>
  <r>
    <d v="2024-07-01T00:00:00"/>
    <x v="6"/>
    <x v="6"/>
    <s v="Jul-2024"/>
    <x v="1"/>
    <x v="4"/>
    <x v="3"/>
    <x v="3"/>
    <s v="CC-500"/>
    <n v="7749.07"/>
    <n v="7657.12"/>
    <n v="-91.949999999999818"/>
    <n v="-1.1865940041837256E-2"/>
    <s v="On Budget"/>
  </r>
  <r>
    <d v="2024-07-01T00:00:00"/>
    <x v="6"/>
    <x v="6"/>
    <s v="Jul-2024"/>
    <x v="1"/>
    <x v="4"/>
    <x v="4"/>
    <x v="0"/>
    <s v="CC-500"/>
    <n v="6369.96"/>
    <n v="6566.17"/>
    <n v="196.21000000000004"/>
    <n v="3.0802391223806749E-2"/>
    <s v="On Budget"/>
  </r>
  <r>
    <d v="2024-07-01T00:00:00"/>
    <x v="6"/>
    <x v="6"/>
    <s v="Jul-2024"/>
    <x v="1"/>
    <x v="4"/>
    <x v="4"/>
    <x v="1"/>
    <s v="CC-500"/>
    <n v="6253.1"/>
    <n v="6095.56"/>
    <n v="-157.53999999999996"/>
    <n v="-2.5193903823703435E-2"/>
    <s v="On Budget"/>
  </r>
  <r>
    <d v="2024-07-01T00:00:00"/>
    <x v="6"/>
    <x v="6"/>
    <s v="Jul-2024"/>
    <x v="1"/>
    <x v="4"/>
    <x v="4"/>
    <x v="2"/>
    <s v="CC-500"/>
    <n v="6136.46"/>
    <n v="5877.01"/>
    <n v="-259.44999999999982"/>
    <n v="-4.2280076786942282E-2"/>
    <s v="On Budget"/>
  </r>
  <r>
    <d v="2024-07-01T00:00:00"/>
    <x v="6"/>
    <x v="6"/>
    <s v="Jul-2024"/>
    <x v="1"/>
    <x v="4"/>
    <x v="4"/>
    <x v="3"/>
    <s v="CC-500"/>
    <n v="6696.42"/>
    <n v="6789.91"/>
    <n v="93.489999999999782"/>
    <n v="1.3961191203658041E-2"/>
    <s v="On Budget"/>
  </r>
  <r>
    <d v="2024-08-01T00:00:00"/>
    <x v="7"/>
    <x v="7"/>
    <s v="Aug-2024"/>
    <x v="1"/>
    <x v="0"/>
    <x v="0"/>
    <x v="0"/>
    <s v="CC-100"/>
    <n v="51368.53"/>
    <n v="61570.080000000002"/>
    <n v="10201.550000000003"/>
    <n v="0.19859532674966565"/>
    <s v="Overspend"/>
  </r>
  <r>
    <d v="2024-08-01T00:00:00"/>
    <x v="7"/>
    <x v="7"/>
    <s v="Aug-2024"/>
    <x v="1"/>
    <x v="0"/>
    <x v="0"/>
    <x v="1"/>
    <s v="CC-100"/>
    <n v="48506.21"/>
    <n v="54797.42"/>
    <n v="6291.2099999999991"/>
    <n v="0.12969906327457864"/>
    <s v="Overspend"/>
  </r>
  <r>
    <d v="2024-08-01T00:00:00"/>
    <x v="7"/>
    <x v="7"/>
    <s v="Aug-2024"/>
    <x v="1"/>
    <x v="0"/>
    <x v="0"/>
    <x v="2"/>
    <s v="CC-100"/>
    <n v="49534.39"/>
    <n v="58888.15"/>
    <n v="9353.760000000002"/>
    <n v="0.18883365677865421"/>
    <s v="Overspend"/>
  </r>
  <r>
    <d v="2024-08-01T00:00:00"/>
    <x v="7"/>
    <x v="7"/>
    <s v="Aug-2024"/>
    <x v="1"/>
    <x v="0"/>
    <x v="0"/>
    <x v="3"/>
    <s v="CC-100"/>
    <n v="51707.69"/>
    <n v="61351.55"/>
    <n v="9643.86"/>
    <n v="0.1865072680678638"/>
    <s v="Overspend"/>
  </r>
  <r>
    <d v="2024-08-01T00:00:00"/>
    <x v="7"/>
    <x v="7"/>
    <s v="Aug-2024"/>
    <x v="1"/>
    <x v="0"/>
    <x v="1"/>
    <x v="0"/>
    <s v="CC-100"/>
    <n v="18584.849999999999"/>
    <n v="20767.88"/>
    <n v="2183.0300000000025"/>
    <n v="0.11746287971116273"/>
    <s v="Overspend"/>
  </r>
  <r>
    <d v="2024-08-01T00:00:00"/>
    <x v="7"/>
    <x v="7"/>
    <s v="Aug-2024"/>
    <x v="1"/>
    <x v="0"/>
    <x v="1"/>
    <x v="1"/>
    <s v="CC-100"/>
    <n v="18217.54"/>
    <n v="21156.400000000001"/>
    <n v="2938.8600000000006"/>
    <n v="0.16132035390069133"/>
    <s v="Overspend"/>
  </r>
  <r>
    <d v="2024-08-01T00:00:00"/>
    <x v="7"/>
    <x v="7"/>
    <s v="Aug-2024"/>
    <x v="1"/>
    <x v="0"/>
    <x v="1"/>
    <x v="2"/>
    <s v="CC-100"/>
    <n v="18627.099999999999"/>
    <n v="21191.18"/>
    <n v="2564.0800000000017"/>
    <n v="0.13765320420247928"/>
    <s v="Overspend"/>
  </r>
  <r>
    <d v="2024-08-01T00:00:00"/>
    <x v="7"/>
    <x v="7"/>
    <s v="Aug-2024"/>
    <x v="1"/>
    <x v="0"/>
    <x v="1"/>
    <x v="3"/>
    <s v="CC-100"/>
    <n v="19866.63"/>
    <n v="23393.77"/>
    <n v="3527.1399999999994"/>
    <n v="0.17754093170306182"/>
    <s v="Overspend"/>
  </r>
  <r>
    <d v="2024-08-01T00:00:00"/>
    <x v="7"/>
    <x v="7"/>
    <s v="Aug-2024"/>
    <x v="1"/>
    <x v="0"/>
    <x v="2"/>
    <x v="0"/>
    <s v="CC-100"/>
    <n v="10695.34"/>
    <n v="16614.27"/>
    <n v="5918.93"/>
    <n v="0.55341204674185207"/>
    <s v="Overspend"/>
  </r>
  <r>
    <d v="2024-08-01T00:00:00"/>
    <x v="7"/>
    <x v="7"/>
    <s v="Aug-2024"/>
    <x v="1"/>
    <x v="0"/>
    <x v="2"/>
    <x v="1"/>
    <s v="CC-100"/>
    <n v="9903.85"/>
    <n v="14993.27"/>
    <n v="5089.42"/>
    <n v="0.51388298489981166"/>
    <s v="Overspend"/>
  </r>
  <r>
    <d v="2024-08-01T00:00:00"/>
    <x v="7"/>
    <x v="7"/>
    <s v="Aug-2024"/>
    <x v="1"/>
    <x v="0"/>
    <x v="2"/>
    <x v="2"/>
    <s v="CC-100"/>
    <n v="10489.84"/>
    <n v="16080.63"/>
    <n v="5590.7899999999991"/>
    <n v="0.53297190424258134"/>
    <s v="Overspend"/>
  </r>
  <r>
    <d v="2024-08-01T00:00:00"/>
    <x v="7"/>
    <x v="7"/>
    <s v="Aug-2024"/>
    <x v="1"/>
    <x v="0"/>
    <x v="2"/>
    <x v="3"/>
    <s v="CC-100"/>
    <n v="10971.76"/>
    <n v="15938.08"/>
    <n v="4966.32"/>
    <n v="0.45264570132777238"/>
    <s v="Overspend"/>
  </r>
  <r>
    <d v="2024-08-01T00:00:00"/>
    <x v="7"/>
    <x v="7"/>
    <s v="Aug-2024"/>
    <x v="1"/>
    <x v="0"/>
    <x v="3"/>
    <x v="0"/>
    <s v="CC-100"/>
    <n v="8411.9699999999993"/>
    <n v="10008.44"/>
    <n v="1596.4700000000012"/>
    <n v="0.18978550803200692"/>
    <s v="Overspend"/>
  </r>
  <r>
    <d v="2024-08-01T00:00:00"/>
    <x v="7"/>
    <x v="7"/>
    <s v="Aug-2024"/>
    <x v="1"/>
    <x v="0"/>
    <x v="3"/>
    <x v="1"/>
    <s v="CC-100"/>
    <n v="7755.89"/>
    <n v="8755.2900000000009"/>
    <n v="999.40000000000055"/>
    <n v="0.12885690746000789"/>
    <s v="Overspend"/>
  </r>
  <r>
    <d v="2024-08-01T00:00:00"/>
    <x v="7"/>
    <x v="7"/>
    <s v="Aug-2024"/>
    <x v="1"/>
    <x v="0"/>
    <x v="3"/>
    <x v="2"/>
    <s v="CC-100"/>
    <n v="8162.5"/>
    <n v="9185.98"/>
    <n v="1023.4799999999996"/>
    <n v="0.1253880551301684"/>
    <s v="Overspend"/>
  </r>
  <r>
    <d v="2024-08-01T00:00:00"/>
    <x v="7"/>
    <x v="7"/>
    <s v="Aug-2024"/>
    <x v="1"/>
    <x v="0"/>
    <x v="3"/>
    <x v="3"/>
    <s v="CC-100"/>
    <n v="8788.34"/>
    <n v="10215.459999999999"/>
    <n v="1427.119999999999"/>
    <n v="0.16238789122860506"/>
    <s v="Overspend"/>
  </r>
  <r>
    <d v="2024-08-01T00:00:00"/>
    <x v="7"/>
    <x v="7"/>
    <s v="Aug-2024"/>
    <x v="1"/>
    <x v="0"/>
    <x v="4"/>
    <x v="0"/>
    <s v="CC-100"/>
    <n v="8466.02"/>
    <n v="9875.52"/>
    <n v="1409.5"/>
    <n v="0.16648909404891554"/>
    <s v="Overspend"/>
  </r>
  <r>
    <d v="2024-08-01T00:00:00"/>
    <x v="7"/>
    <x v="7"/>
    <s v="Aug-2024"/>
    <x v="1"/>
    <x v="0"/>
    <x v="4"/>
    <x v="1"/>
    <s v="CC-100"/>
    <n v="7939.6"/>
    <n v="9429.85"/>
    <n v="1490.25"/>
    <n v="0.18769837271399062"/>
    <s v="Overspend"/>
  </r>
  <r>
    <d v="2024-08-01T00:00:00"/>
    <x v="7"/>
    <x v="7"/>
    <s v="Aug-2024"/>
    <x v="1"/>
    <x v="0"/>
    <x v="4"/>
    <x v="2"/>
    <s v="CC-100"/>
    <n v="8289.42"/>
    <n v="9260.02"/>
    <n v="970.60000000000036"/>
    <n v="0.11708901225900006"/>
    <s v="Overspend"/>
  </r>
  <r>
    <d v="2024-08-01T00:00:00"/>
    <x v="7"/>
    <x v="7"/>
    <s v="Aug-2024"/>
    <x v="1"/>
    <x v="0"/>
    <x v="4"/>
    <x v="3"/>
    <s v="CC-100"/>
    <n v="8794.77"/>
    <n v="9925.7199999999993"/>
    <n v="1130.9499999999989"/>
    <n v="0.12859347089235976"/>
    <s v="Overspend"/>
  </r>
  <r>
    <d v="2024-08-01T00:00:00"/>
    <x v="7"/>
    <x v="7"/>
    <s v="Aug-2024"/>
    <x v="1"/>
    <x v="1"/>
    <x v="0"/>
    <x v="0"/>
    <s v="CC-200"/>
    <n v="52438.82"/>
    <n v="47318.44"/>
    <n v="-5120.3799999999974"/>
    <n v="-9.7644836401734394E-2"/>
    <s v="Underspend"/>
  </r>
  <r>
    <d v="2024-08-01T00:00:00"/>
    <x v="7"/>
    <x v="7"/>
    <s v="Aug-2024"/>
    <x v="1"/>
    <x v="1"/>
    <x v="0"/>
    <x v="1"/>
    <s v="CC-200"/>
    <n v="49164.75"/>
    <n v="42276.01"/>
    <n v="-6888.739999999998"/>
    <n v="-0.14011542822855802"/>
    <s v="Underspend"/>
  </r>
  <r>
    <d v="2024-08-01T00:00:00"/>
    <x v="7"/>
    <x v="7"/>
    <s v="Aug-2024"/>
    <x v="1"/>
    <x v="1"/>
    <x v="0"/>
    <x v="2"/>
    <s v="CC-200"/>
    <n v="52542.05"/>
    <n v="46482.46"/>
    <n v="-6059.5900000000038"/>
    <n v="-0.1153283893567153"/>
    <s v="Underspend"/>
  </r>
  <r>
    <d v="2024-08-01T00:00:00"/>
    <x v="7"/>
    <x v="7"/>
    <s v="Aug-2024"/>
    <x v="1"/>
    <x v="1"/>
    <x v="0"/>
    <x v="3"/>
    <s v="CC-200"/>
    <n v="53784.02"/>
    <n v="46127.02"/>
    <n v="-7657"/>
    <n v="-0.14236570639383223"/>
    <s v="Underspend"/>
  </r>
  <r>
    <d v="2024-08-01T00:00:00"/>
    <x v="7"/>
    <x v="7"/>
    <s v="Aug-2024"/>
    <x v="1"/>
    <x v="1"/>
    <x v="1"/>
    <x v="0"/>
    <s v="CC-200"/>
    <n v="29173.72"/>
    <n v="25574.84"/>
    <n v="-3598.880000000001"/>
    <n v="-0.12336033937392972"/>
    <s v="Underspend"/>
  </r>
  <r>
    <d v="2024-08-01T00:00:00"/>
    <x v="7"/>
    <x v="7"/>
    <s v="Aug-2024"/>
    <x v="1"/>
    <x v="1"/>
    <x v="1"/>
    <x v="1"/>
    <s v="CC-200"/>
    <n v="27212.33"/>
    <n v="23724.28"/>
    <n v="-3488.0500000000029"/>
    <n v="-0.12817902766870762"/>
    <s v="Underspend"/>
  </r>
  <r>
    <d v="2024-08-01T00:00:00"/>
    <x v="7"/>
    <x v="7"/>
    <s v="Aug-2024"/>
    <x v="1"/>
    <x v="1"/>
    <x v="1"/>
    <x v="2"/>
    <s v="CC-200"/>
    <n v="28433.26"/>
    <n v="25299.64"/>
    <n v="-3133.619999999999"/>
    <n v="-0.11020966290886093"/>
    <s v="Underspend"/>
  </r>
  <r>
    <d v="2024-08-01T00:00:00"/>
    <x v="7"/>
    <x v="7"/>
    <s v="Aug-2024"/>
    <x v="1"/>
    <x v="1"/>
    <x v="1"/>
    <x v="3"/>
    <s v="CC-200"/>
    <n v="29855.58"/>
    <n v="26725.39"/>
    <n v="-3130.1900000000023"/>
    <n v="-0.10484438754832437"/>
    <s v="Underspend"/>
  </r>
  <r>
    <d v="2024-08-01T00:00:00"/>
    <x v="7"/>
    <x v="7"/>
    <s v="Aug-2024"/>
    <x v="1"/>
    <x v="1"/>
    <x v="2"/>
    <x v="0"/>
    <s v="CC-200"/>
    <n v="11011.21"/>
    <n v="13415.12"/>
    <n v="2403.9100000000017"/>
    <n v="0.21831479010935237"/>
    <s v="Overspend"/>
  </r>
  <r>
    <d v="2024-08-01T00:00:00"/>
    <x v="7"/>
    <x v="7"/>
    <s v="Aug-2024"/>
    <x v="1"/>
    <x v="1"/>
    <x v="2"/>
    <x v="1"/>
    <s v="CC-200"/>
    <n v="10470.98"/>
    <n v="12290.72"/>
    <n v="1819.7399999999998"/>
    <n v="0.17378889082015245"/>
    <s v="Overspend"/>
  </r>
  <r>
    <d v="2024-08-01T00:00:00"/>
    <x v="7"/>
    <x v="7"/>
    <s v="Aug-2024"/>
    <x v="1"/>
    <x v="1"/>
    <x v="2"/>
    <x v="2"/>
    <s v="CC-200"/>
    <n v="11004.8"/>
    <n v="13477.38"/>
    <n v="2472.58"/>
    <n v="0.22468195696423379"/>
    <s v="Overspend"/>
  </r>
  <r>
    <d v="2024-08-01T00:00:00"/>
    <x v="7"/>
    <x v="7"/>
    <s v="Aug-2024"/>
    <x v="1"/>
    <x v="1"/>
    <x v="2"/>
    <x v="3"/>
    <s v="CC-200"/>
    <n v="11567.47"/>
    <n v="14472.02"/>
    <n v="2904.5500000000011"/>
    <n v="0.25109639359341335"/>
    <s v="Overspend"/>
  </r>
  <r>
    <d v="2024-08-01T00:00:00"/>
    <x v="7"/>
    <x v="7"/>
    <s v="Aug-2024"/>
    <x v="1"/>
    <x v="1"/>
    <x v="3"/>
    <x v="0"/>
    <s v="CC-200"/>
    <n v="8755.69"/>
    <n v="7425.01"/>
    <n v="-1330.6800000000003"/>
    <n v="-0.15197888458819353"/>
    <s v="Underspend"/>
  </r>
  <r>
    <d v="2024-08-01T00:00:00"/>
    <x v="7"/>
    <x v="7"/>
    <s v="Aug-2024"/>
    <x v="1"/>
    <x v="1"/>
    <x v="3"/>
    <x v="1"/>
    <s v="CC-200"/>
    <n v="8163.41"/>
    <n v="7222.42"/>
    <n v="-940.98999999999978"/>
    <n v="-0.11526923185286539"/>
    <s v="Underspend"/>
  </r>
  <r>
    <d v="2024-08-01T00:00:00"/>
    <x v="7"/>
    <x v="7"/>
    <s v="Aug-2024"/>
    <x v="1"/>
    <x v="1"/>
    <x v="3"/>
    <x v="2"/>
    <s v="CC-200"/>
    <n v="8742.52"/>
    <n v="7691.12"/>
    <n v="-1051.4000000000005"/>
    <n v="-0.1202628075200286"/>
    <s v="Underspend"/>
  </r>
  <r>
    <d v="2024-08-01T00:00:00"/>
    <x v="7"/>
    <x v="7"/>
    <s v="Aug-2024"/>
    <x v="1"/>
    <x v="1"/>
    <x v="3"/>
    <x v="3"/>
    <s v="CC-200"/>
    <n v="9289.4599999999991"/>
    <n v="7952.68"/>
    <n v="-1336.7799999999988"/>
    <n v="-0.14390287487109035"/>
    <s v="Underspend"/>
  </r>
  <r>
    <d v="2024-08-01T00:00:00"/>
    <x v="7"/>
    <x v="7"/>
    <s v="Aug-2024"/>
    <x v="1"/>
    <x v="1"/>
    <x v="4"/>
    <x v="0"/>
    <s v="CC-200"/>
    <n v="7335.54"/>
    <n v="6547.41"/>
    <n v="-788.13000000000011"/>
    <n v="-0.10743994307167572"/>
    <s v="Underspend"/>
  </r>
  <r>
    <d v="2024-08-01T00:00:00"/>
    <x v="7"/>
    <x v="7"/>
    <s v="Aug-2024"/>
    <x v="1"/>
    <x v="1"/>
    <x v="4"/>
    <x v="1"/>
    <s v="CC-200"/>
    <n v="6955.67"/>
    <n v="6143.48"/>
    <n v="-812.19000000000051"/>
    <n v="-0.11676660911170318"/>
    <s v="Underspend"/>
  </r>
  <r>
    <d v="2024-08-01T00:00:00"/>
    <x v="7"/>
    <x v="7"/>
    <s v="Aug-2024"/>
    <x v="1"/>
    <x v="1"/>
    <x v="4"/>
    <x v="2"/>
    <s v="CC-200"/>
    <n v="7131.4"/>
    <n v="6341.71"/>
    <n v="-789.6899999999996"/>
    <n v="-0.11073421768516696"/>
    <s v="Underspend"/>
  </r>
  <r>
    <d v="2024-08-01T00:00:00"/>
    <x v="7"/>
    <x v="7"/>
    <s v="Aug-2024"/>
    <x v="1"/>
    <x v="1"/>
    <x v="4"/>
    <x v="3"/>
    <s v="CC-200"/>
    <n v="7978.32"/>
    <n v="7052.44"/>
    <n v="-925.88000000000011"/>
    <n v="-0.11604949412908985"/>
    <s v="Underspend"/>
  </r>
  <r>
    <d v="2024-08-01T00:00:00"/>
    <x v="7"/>
    <x v="7"/>
    <s v="Aug-2024"/>
    <x v="1"/>
    <x v="2"/>
    <x v="0"/>
    <x v="0"/>
    <s v="CC-300"/>
    <n v="45322.41"/>
    <n v="44735.1"/>
    <n v="-587.31000000000495"/>
    <n v="-1.2958490071468064E-2"/>
    <s v="On Budget"/>
  </r>
  <r>
    <d v="2024-08-01T00:00:00"/>
    <x v="7"/>
    <x v="7"/>
    <s v="Aug-2024"/>
    <x v="1"/>
    <x v="2"/>
    <x v="0"/>
    <x v="1"/>
    <s v="CC-300"/>
    <n v="42631.21"/>
    <n v="42511.16"/>
    <n v="-120.04999999999563"/>
    <n v="-2.8160120249928547E-3"/>
    <s v="On Budget"/>
  </r>
  <r>
    <d v="2024-08-01T00:00:00"/>
    <x v="7"/>
    <x v="7"/>
    <s v="Aug-2024"/>
    <x v="1"/>
    <x v="2"/>
    <x v="0"/>
    <x v="2"/>
    <s v="CC-300"/>
    <n v="43927.23"/>
    <n v="44439.76"/>
    <n v="512.52999999999884"/>
    <n v="1.1667705885392701E-2"/>
    <s v="On Budget"/>
  </r>
  <r>
    <d v="2024-08-01T00:00:00"/>
    <x v="7"/>
    <x v="7"/>
    <s v="Aug-2024"/>
    <x v="1"/>
    <x v="2"/>
    <x v="0"/>
    <x v="3"/>
    <s v="CC-300"/>
    <n v="48469.74"/>
    <n v="49337.08"/>
    <n v="867.34000000000378"/>
    <n v="1.7894463638550646E-2"/>
    <s v="On Budget"/>
  </r>
  <r>
    <d v="2024-08-01T00:00:00"/>
    <x v="7"/>
    <x v="7"/>
    <s v="Aug-2024"/>
    <x v="1"/>
    <x v="2"/>
    <x v="1"/>
    <x v="0"/>
    <s v="CC-300"/>
    <n v="15578.31"/>
    <n v="15194.33"/>
    <n v="-383.97999999999956"/>
    <n v="-2.4648373283109631E-2"/>
    <s v="On Budget"/>
  </r>
  <r>
    <d v="2024-08-01T00:00:00"/>
    <x v="7"/>
    <x v="7"/>
    <s v="Aug-2024"/>
    <x v="1"/>
    <x v="2"/>
    <x v="1"/>
    <x v="1"/>
    <s v="CC-300"/>
    <n v="14676.45"/>
    <n v="14633.17"/>
    <n v="-43.280000000000655"/>
    <n v="-2.9489420125439498E-3"/>
    <s v="On Budget"/>
  </r>
  <r>
    <d v="2024-08-01T00:00:00"/>
    <x v="7"/>
    <x v="7"/>
    <s v="Aug-2024"/>
    <x v="1"/>
    <x v="2"/>
    <x v="1"/>
    <x v="2"/>
    <s v="CC-300"/>
    <n v="15446.16"/>
    <n v="15859.02"/>
    <n v="412.86000000000058"/>
    <n v="2.6728973414751667E-2"/>
    <s v="On Budget"/>
  </r>
  <r>
    <d v="2024-08-01T00:00:00"/>
    <x v="7"/>
    <x v="7"/>
    <s v="Aug-2024"/>
    <x v="1"/>
    <x v="2"/>
    <x v="1"/>
    <x v="3"/>
    <s v="CC-300"/>
    <n v="15774.81"/>
    <n v="16158.99"/>
    <n v="384.18000000000029"/>
    <n v="2.4354017576122964E-2"/>
    <s v="On Budget"/>
  </r>
  <r>
    <d v="2024-08-01T00:00:00"/>
    <x v="7"/>
    <x v="7"/>
    <s v="Aug-2024"/>
    <x v="1"/>
    <x v="2"/>
    <x v="2"/>
    <x v="0"/>
    <s v="CC-300"/>
    <n v="8680.44"/>
    <n v="11398.24"/>
    <n v="2717.7999999999993"/>
    <n v="0.31309472791701792"/>
    <s v="Overspend"/>
  </r>
  <r>
    <d v="2024-08-01T00:00:00"/>
    <x v="7"/>
    <x v="7"/>
    <s v="Aug-2024"/>
    <x v="1"/>
    <x v="2"/>
    <x v="2"/>
    <x v="1"/>
    <s v="CC-300"/>
    <n v="8224.16"/>
    <n v="11253.29"/>
    <n v="3029.130000000001"/>
    <n v="0.36832089842610077"/>
    <s v="Overspend"/>
  </r>
  <r>
    <d v="2024-08-01T00:00:00"/>
    <x v="7"/>
    <x v="7"/>
    <s v="Aug-2024"/>
    <x v="1"/>
    <x v="2"/>
    <x v="2"/>
    <x v="2"/>
    <s v="CC-300"/>
    <n v="8623.68"/>
    <n v="11458.98"/>
    <n v="2835.2999999999993"/>
    <n v="0.32878075253256139"/>
    <s v="Overspend"/>
  </r>
  <r>
    <d v="2024-08-01T00:00:00"/>
    <x v="7"/>
    <x v="7"/>
    <s v="Aug-2024"/>
    <x v="1"/>
    <x v="2"/>
    <x v="2"/>
    <x v="3"/>
    <s v="CC-300"/>
    <n v="8868.59"/>
    <n v="11492.65"/>
    <n v="2624.0599999999995"/>
    <n v="0.29588243452454105"/>
    <s v="Overspend"/>
  </r>
  <r>
    <d v="2024-08-01T00:00:00"/>
    <x v="7"/>
    <x v="7"/>
    <s v="Aug-2024"/>
    <x v="1"/>
    <x v="2"/>
    <x v="3"/>
    <x v="0"/>
    <s v="CC-300"/>
    <n v="6775.6"/>
    <n v="6816.49"/>
    <n v="40.889999999999418"/>
    <n v="6.0348898990494441E-3"/>
    <s v="On Budget"/>
  </r>
  <r>
    <d v="2024-08-01T00:00:00"/>
    <x v="7"/>
    <x v="7"/>
    <s v="Aug-2024"/>
    <x v="1"/>
    <x v="2"/>
    <x v="3"/>
    <x v="1"/>
    <s v="CC-300"/>
    <n v="6480.76"/>
    <n v="6405.66"/>
    <n v="-75.100000000000364"/>
    <n v="-1.1588147069170955E-2"/>
    <s v="On Budget"/>
  </r>
  <r>
    <d v="2024-08-01T00:00:00"/>
    <x v="7"/>
    <x v="7"/>
    <s v="Aug-2024"/>
    <x v="1"/>
    <x v="2"/>
    <x v="3"/>
    <x v="2"/>
    <s v="CC-300"/>
    <n v="6602.87"/>
    <n v="6664.89"/>
    <n v="62.020000000000437"/>
    <n v="9.3928852150656356E-3"/>
    <s v="On Budget"/>
  </r>
  <r>
    <d v="2024-08-01T00:00:00"/>
    <x v="7"/>
    <x v="7"/>
    <s v="Aug-2024"/>
    <x v="1"/>
    <x v="2"/>
    <x v="3"/>
    <x v="3"/>
    <s v="CC-300"/>
    <n v="6913.97"/>
    <n v="6956.99"/>
    <n v="43.019999999999527"/>
    <n v="6.2221849386097311E-3"/>
    <s v="On Budget"/>
  </r>
  <r>
    <d v="2024-08-01T00:00:00"/>
    <x v="7"/>
    <x v="7"/>
    <s v="Aug-2024"/>
    <x v="1"/>
    <x v="2"/>
    <x v="4"/>
    <x v="0"/>
    <s v="CC-300"/>
    <n v="5683.35"/>
    <n v="5565.64"/>
    <n v="-117.71000000000004"/>
    <n v="-2.0711376212972987E-2"/>
    <s v="On Budget"/>
  </r>
  <r>
    <d v="2024-08-01T00:00:00"/>
    <x v="7"/>
    <x v="7"/>
    <s v="Aug-2024"/>
    <x v="1"/>
    <x v="2"/>
    <x v="4"/>
    <x v="1"/>
    <s v="CC-300"/>
    <n v="5506.36"/>
    <n v="5541.69"/>
    <n v="35.329999999999927"/>
    <n v="6.4162168837489609E-3"/>
    <s v="On Budget"/>
  </r>
  <r>
    <d v="2024-08-01T00:00:00"/>
    <x v="7"/>
    <x v="7"/>
    <s v="Aug-2024"/>
    <x v="1"/>
    <x v="2"/>
    <x v="4"/>
    <x v="2"/>
    <s v="CC-300"/>
    <n v="5776.42"/>
    <n v="5716.2"/>
    <n v="-60.220000000000255"/>
    <n v="-1.0425142216113138E-2"/>
    <s v="On Budget"/>
  </r>
  <r>
    <d v="2024-08-01T00:00:00"/>
    <x v="7"/>
    <x v="7"/>
    <s v="Aug-2024"/>
    <x v="1"/>
    <x v="2"/>
    <x v="4"/>
    <x v="3"/>
    <s v="CC-300"/>
    <n v="6190.41"/>
    <n v="6092.18"/>
    <n v="-98.229999999999563"/>
    <n v="-1.5868092743453108E-2"/>
    <s v="On Budget"/>
  </r>
  <r>
    <d v="2024-08-01T00:00:00"/>
    <x v="7"/>
    <x v="7"/>
    <s v="Aug-2024"/>
    <x v="1"/>
    <x v="3"/>
    <x v="0"/>
    <x v="0"/>
    <s v="CC-400"/>
    <n v="55794.03"/>
    <n v="66371.759999999995"/>
    <n v="10577.729999999996"/>
    <n v="0.18958533735598587"/>
    <s v="Overspend"/>
  </r>
  <r>
    <d v="2024-08-01T00:00:00"/>
    <x v="7"/>
    <x v="7"/>
    <s v="Aug-2024"/>
    <x v="1"/>
    <x v="3"/>
    <x v="0"/>
    <x v="1"/>
    <s v="CC-400"/>
    <n v="52086.22"/>
    <n v="57211.83"/>
    <n v="5125.6100000000006"/>
    <n v="9.8406257931560409E-2"/>
    <s v="Overspend"/>
  </r>
  <r>
    <d v="2024-08-01T00:00:00"/>
    <x v="7"/>
    <x v="7"/>
    <s v="Aug-2024"/>
    <x v="1"/>
    <x v="3"/>
    <x v="0"/>
    <x v="2"/>
    <s v="CC-400"/>
    <n v="52952.18"/>
    <n v="56823.59"/>
    <n v="3871.4099999999962"/>
    <n v="7.3111437527217882E-2"/>
    <s v="Overspend"/>
  </r>
  <r>
    <d v="2024-08-01T00:00:00"/>
    <x v="7"/>
    <x v="7"/>
    <s v="Aug-2024"/>
    <x v="1"/>
    <x v="3"/>
    <x v="0"/>
    <x v="3"/>
    <s v="CC-400"/>
    <n v="57973.919999999998"/>
    <n v="64993.9"/>
    <n v="7019.9800000000032"/>
    <n v="0.12108858604006772"/>
    <s v="Overspend"/>
  </r>
  <r>
    <d v="2024-08-01T00:00:00"/>
    <x v="7"/>
    <x v="7"/>
    <s v="Aug-2024"/>
    <x v="1"/>
    <x v="3"/>
    <x v="1"/>
    <x v="0"/>
    <s v="CC-400"/>
    <n v="21422.400000000001"/>
    <n v="20742.12"/>
    <n v="-680.28000000000247"/>
    <n v="-3.175554559713209E-2"/>
    <s v="On Budget"/>
  </r>
  <r>
    <d v="2024-08-01T00:00:00"/>
    <x v="7"/>
    <x v="7"/>
    <s v="Aug-2024"/>
    <x v="1"/>
    <x v="3"/>
    <x v="1"/>
    <x v="1"/>
    <s v="CC-400"/>
    <n v="20032.46"/>
    <n v="23310.2"/>
    <n v="3277.7400000000016"/>
    <n v="0.16362144239898654"/>
    <s v="Overspend"/>
  </r>
  <r>
    <d v="2024-08-01T00:00:00"/>
    <x v="7"/>
    <x v="7"/>
    <s v="Aug-2024"/>
    <x v="1"/>
    <x v="3"/>
    <x v="1"/>
    <x v="2"/>
    <s v="CC-400"/>
    <n v="20107.96"/>
    <n v="21919.98"/>
    <n v="1812.0200000000004"/>
    <n v="9.0114561596502107E-2"/>
    <s v="Overspend"/>
  </r>
  <r>
    <d v="2024-08-01T00:00:00"/>
    <x v="7"/>
    <x v="7"/>
    <s v="Aug-2024"/>
    <x v="1"/>
    <x v="3"/>
    <x v="1"/>
    <x v="3"/>
    <s v="CC-400"/>
    <n v="22572.75"/>
    <n v="23485.74"/>
    <n v="912.9900000000016"/>
    <n v="4.0446556135163042E-2"/>
    <s v="On Budget"/>
  </r>
  <r>
    <d v="2024-08-01T00:00:00"/>
    <x v="7"/>
    <x v="7"/>
    <s v="Aug-2024"/>
    <x v="1"/>
    <x v="3"/>
    <x v="2"/>
    <x v="0"/>
    <s v="CC-400"/>
    <n v="11988.24"/>
    <n v="18184.16"/>
    <n v="6195.92"/>
    <n v="0.51683316316656991"/>
    <s v="Overspend"/>
  </r>
  <r>
    <d v="2024-08-01T00:00:00"/>
    <x v="7"/>
    <x v="7"/>
    <s v="Aug-2024"/>
    <x v="1"/>
    <x v="3"/>
    <x v="2"/>
    <x v="1"/>
    <s v="CC-400"/>
    <n v="11321.02"/>
    <n v="14109.71"/>
    <n v="2788.6899999999987"/>
    <n v="0.24632851103522463"/>
    <s v="Overspend"/>
  </r>
  <r>
    <d v="2024-08-01T00:00:00"/>
    <x v="7"/>
    <x v="7"/>
    <s v="Aug-2024"/>
    <x v="1"/>
    <x v="3"/>
    <x v="2"/>
    <x v="2"/>
    <s v="CC-400"/>
    <n v="11277.87"/>
    <n v="15731.75"/>
    <n v="4453.8799999999992"/>
    <n v="0.39492209078487328"/>
    <s v="Overspend"/>
  </r>
  <r>
    <d v="2024-08-01T00:00:00"/>
    <x v="7"/>
    <x v="7"/>
    <s v="Aug-2024"/>
    <x v="1"/>
    <x v="3"/>
    <x v="2"/>
    <x v="3"/>
    <s v="CC-400"/>
    <n v="12604.13"/>
    <n v="19113.7"/>
    <n v="6509.5700000000015"/>
    <n v="0.51646325450467445"/>
    <s v="Overspend"/>
  </r>
  <r>
    <d v="2024-08-01T00:00:00"/>
    <x v="7"/>
    <x v="7"/>
    <s v="Aug-2024"/>
    <x v="1"/>
    <x v="3"/>
    <x v="3"/>
    <x v="0"/>
    <s v="CC-400"/>
    <n v="12158.82"/>
    <n v="12794.78"/>
    <n v="635.96000000000095"/>
    <n v="5.230441769842805E-2"/>
    <s v="Overspend"/>
  </r>
  <r>
    <d v="2024-08-01T00:00:00"/>
    <x v="7"/>
    <x v="7"/>
    <s v="Aug-2024"/>
    <x v="1"/>
    <x v="3"/>
    <x v="3"/>
    <x v="1"/>
    <s v="CC-400"/>
    <n v="11603.29"/>
    <n v="10627.87"/>
    <n v="-975.42000000000007"/>
    <n v="-8.4064088719664851E-2"/>
    <s v="Underspend"/>
  </r>
  <r>
    <d v="2024-08-01T00:00:00"/>
    <x v="7"/>
    <x v="7"/>
    <s v="Aug-2024"/>
    <x v="1"/>
    <x v="3"/>
    <x v="3"/>
    <x v="2"/>
    <s v="CC-400"/>
    <n v="12340.09"/>
    <n v="14496.57"/>
    <n v="2156.4799999999996"/>
    <n v="0.17475399288011673"/>
    <s v="Overspend"/>
  </r>
  <r>
    <d v="2024-08-01T00:00:00"/>
    <x v="7"/>
    <x v="7"/>
    <s v="Aug-2024"/>
    <x v="1"/>
    <x v="3"/>
    <x v="3"/>
    <x v="3"/>
    <s v="CC-400"/>
    <n v="13320.58"/>
    <n v="12113.29"/>
    <n v="-1207.2899999999991"/>
    <n v="-9.0633440886207589E-2"/>
    <s v="Underspend"/>
  </r>
  <r>
    <d v="2024-08-01T00:00:00"/>
    <x v="7"/>
    <x v="7"/>
    <s v="Aug-2024"/>
    <x v="1"/>
    <x v="3"/>
    <x v="4"/>
    <x v="0"/>
    <s v="CC-400"/>
    <n v="8115.26"/>
    <n v="9176.85"/>
    <n v="1061.5900000000001"/>
    <n v="0.13081404662327517"/>
    <s v="Overspend"/>
  </r>
  <r>
    <d v="2024-08-01T00:00:00"/>
    <x v="7"/>
    <x v="7"/>
    <s v="Aug-2024"/>
    <x v="1"/>
    <x v="3"/>
    <x v="4"/>
    <x v="1"/>
    <s v="CC-400"/>
    <n v="7393.56"/>
    <n v="8488.4"/>
    <n v="1094.8399999999992"/>
    <n v="0.14808022116544658"/>
    <s v="Overspend"/>
  </r>
  <r>
    <d v="2024-08-01T00:00:00"/>
    <x v="7"/>
    <x v="7"/>
    <s v="Aug-2024"/>
    <x v="1"/>
    <x v="3"/>
    <x v="4"/>
    <x v="2"/>
    <s v="CC-400"/>
    <n v="7661.13"/>
    <n v="7648.56"/>
    <n v="-12.569999999999709"/>
    <n v="-1.6407501243288795E-3"/>
    <s v="On Budget"/>
  </r>
  <r>
    <d v="2024-08-01T00:00:00"/>
    <x v="7"/>
    <x v="7"/>
    <s v="Aug-2024"/>
    <x v="1"/>
    <x v="3"/>
    <x v="4"/>
    <x v="3"/>
    <s v="CC-400"/>
    <n v="8024.89"/>
    <n v="9525.41"/>
    <n v="1500.5199999999995"/>
    <n v="0.18698324836851341"/>
    <s v="Overspend"/>
  </r>
  <r>
    <d v="2024-08-01T00:00:00"/>
    <x v="7"/>
    <x v="7"/>
    <s v="Aug-2024"/>
    <x v="1"/>
    <x v="4"/>
    <x v="0"/>
    <x v="0"/>
    <s v="CC-500"/>
    <n v="45642.44"/>
    <n v="44409.13"/>
    <n v="-1233.3100000000049"/>
    <n v="-2.7021123322942528E-2"/>
    <s v="On Budget"/>
  </r>
  <r>
    <d v="2024-08-01T00:00:00"/>
    <x v="7"/>
    <x v="7"/>
    <s v="Aug-2024"/>
    <x v="1"/>
    <x v="4"/>
    <x v="0"/>
    <x v="1"/>
    <s v="CC-500"/>
    <n v="42189.84"/>
    <n v="41577.67"/>
    <n v="-612.16999999999825"/>
    <n v="-1.450989148098211E-2"/>
    <s v="On Budget"/>
  </r>
  <r>
    <d v="2024-08-01T00:00:00"/>
    <x v="7"/>
    <x v="7"/>
    <s v="Aug-2024"/>
    <x v="1"/>
    <x v="4"/>
    <x v="0"/>
    <x v="2"/>
    <s v="CC-500"/>
    <n v="43967.75"/>
    <n v="46177.97"/>
    <n v="2210.2200000000012"/>
    <n v="5.0269117705591053E-2"/>
    <s v="Overspend"/>
  </r>
  <r>
    <d v="2024-08-01T00:00:00"/>
    <x v="7"/>
    <x v="7"/>
    <s v="Aug-2024"/>
    <x v="1"/>
    <x v="4"/>
    <x v="0"/>
    <x v="3"/>
    <s v="CC-500"/>
    <n v="45960.01"/>
    <n v="45099.79"/>
    <n v="-860.22000000000116"/>
    <n v="-1.8716706110377287E-2"/>
    <s v="On Budget"/>
  </r>
  <r>
    <d v="2024-08-01T00:00:00"/>
    <x v="7"/>
    <x v="7"/>
    <s v="Aug-2024"/>
    <x v="1"/>
    <x v="4"/>
    <x v="1"/>
    <x v="0"/>
    <s v="CC-500"/>
    <n v="16729.740000000002"/>
    <n v="16710.5"/>
    <n v="-19.240000000001601"/>
    <n v="-1.1500477592599526E-3"/>
    <s v="On Budget"/>
  </r>
  <r>
    <d v="2024-08-01T00:00:00"/>
    <x v="7"/>
    <x v="7"/>
    <s v="Aug-2024"/>
    <x v="1"/>
    <x v="4"/>
    <x v="1"/>
    <x v="1"/>
    <s v="CC-500"/>
    <n v="16187.75"/>
    <n v="16660.75"/>
    <n v="473"/>
    <n v="2.9219625951722752E-2"/>
    <s v="On Budget"/>
  </r>
  <r>
    <d v="2024-08-01T00:00:00"/>
    <x v="7"/>
    <x v="7"/>
    <s v="Aug-2024"/>
    <x v="1"/>
    <x v="4"/>
    <x v="1"/>
    <x v="2"/>
    <s v="CC-500"/>
    <n v="16006.74"/>
    <n v="15155.88"/>
    <n v="-850.86000000000058"/>
    <n v="-5.31563578842413E-2"/>
    <s v="Underspend"/>
  </r>
  <r>
    <d v="2024-08-01T00:00:00"/>
    <x v="7"/>
    <x v="7"/>
    <s v="Aug-2024"/>
    <x v="1"/>
    <x v="4"/>
    <x v="1"/>
    <x v="3"/>
    <s v="CC-500"/>
    <n v="17701.3"/>
    <n v="18387.990000000002"/>
    <n v="686.69000000000233"/>
    <n v="3.879319597995641E-2"/>
    <s v="On Budget"/>
  </r>
  <r>
    <d v="2024-08-01T00:00:00"/>
    <x v="7"/>
    <x v="7"/>
    <s v="Aug-2024"/>
    <x v="1"/>
    <x v="4"/>
    <x v="2"/>
    <x v="0"/>
    <s v="CC-500"/>
    <n v="7216.32"/>
    <n v="9404.25"/>
    <n v="2187.9300000000003"/>
    <n v="0.30319193162165764"/>
    <s v="Overspend"/>
  </r>
  <r>
    <d v="2024-08-01T00:00:00"/>
    <x v="7"/>
    <x v="7"/>
    <s v="Aug-2024"/>
    <x v="1"/>
    <x v="4"/>
    <x v="2"/>
    <x v="1"/>
    <s v="CC-500"/>
    <n v="6742.32"/>
    <n v="9291.5"/>
    <n v="2549.1800000000003"/>
    <n v="0.37808647468527162"/>
    <s v="Overspend"/>
  </r>
  <r>
    <d v="2024-08-01T00:00:00"/>
    <x v="7"/>
    <x v="7"/>
    <s v="Aug-2024"/>
    <x v="1"/>
    <x v="4"/>
    <x v="2"/>
    <x v="2"/>
    <s v="CC-500"/>
    <n v="6861.73"/>
    <n v="9217.4699999999993"/>
    <n v="2355.7399999999998"/>
    <n v="0.34331575273291137"/>
    <s v="Overspend"/>
  </r>
  <r>
    <d v="2024-08-01T00:00:00"/>
    <x v="7"/>
    <x v="7"/>
    <s v="Aug-2024"/>
    <x v="1"/>
    <x v="4"/>
    <x v="2"/>
    <x v="3"/>
    <s v="CC-500"/>
    <n v="7218.93"/>
    <n v="9745.7000000000007"/>
    <n v="2526.7700000000004"/>
    <n v="0.35002001681689671"/>
    <s v="Overspend"/>
  </r>
  <r>
    <d v="2024-08-01T00:00:00"/>
    <x v="7"/>
    <x v="7"/>
    <s v="Aug-2024"/>
    <x v="1"/>
    <x v="4"/>
    <x v="3"/>
    <x v="0"/>
    <s v="CC-500"/>
    <n v="7479.47"/>
    <n v="7309.46"/>
    <n v="-170.01000000000022"/>
    <n v="-2.2730220189398475E-2"/>
    <s v="On Budget"/>
  </r>
  <r>
    <d v="2024-08-01T00:00:00"/>
    <x v="7"/>
    <x v="7"/>
    <s v="Aug-2024"/>
    <x v="1"/>
    <x v="4"/>
    <x v="3"/>
    <x v="1"/>
    <s v="CC-500"/>
    <n v="7213.99"/>
    <n v="6926.43"/>
    <n v="-287.55999999999949"/>
    <n v="-3.9861435904402345E-2"/>
    <s v="On Budget"/>
  </r>
  <r>
    <d v="2024-08-01T00:00:00"/>
    <x v="7"/>
    <x v="7"/>
    <s v="Aug-2024"/>
    <x v="1"/>
    <x v="4"/>
    <x v="3"/>
    <x v="2"/>
    <s v="CC-500"/>
    <n v="7238.64"/>
    <n v="6880.91"/>
    <n v="-357.73000000000047"/>
    <n v="-4.9419504216261678E-2"/>
    <s v="On Budget"/>
  </r>
  <r>
    <d v="2024-08-01T00:00:00"/>
    <x v="7"/>
    <x v="7"/>
    <s v="Aug-2024"/>
    <x v="1"/>
    <x v="4"/>
    <x v="3"/>
    <x v="3"/>
    <s v="CC-500"/>
    <n v="7850.69"/>
    <n v="7803.55"/>
    <n v="-47.139999999999418"/>
    <n v="-6.0045677513695514E-3"/>
    <s v="On Budget"/>
  </r>
  <r>
    <d v="2024-08-01T00:00:00"/>
    <x v="7"/>
    <x v="7"/>
    <s v="Aug-2024"/>
    <x v="1"/>
    <x v="4"/>
    <x v="4"/>
    <x v="0"/>
    <s v="CC-500"/>
    <n v="6305.14"/>
    <n v="6393.74"/>
    <n v="88.599999999999454"/>
    <n v="1.4052027393523292E-2"/>
    <s v="On Budget"/>
  </r>
  <r>
    <d v="2024-08-01T00:00:00"/>
    <x v="7"/>
    <x v="7"/>
    <s v="Aug-2024"/>
    <x v="1"/>
    <x v="4"/>
    <x v="4"/>
    <x v="1"/>
    <s v="CC-500"/>
    <n v="5914.74"/>
    <n v="5996.31"/>
    <n v="81.570000000000618"/>
    <n v="1.3790969679140693E-2"/>
    <s v="On Budget"/>
  </r>
  <r>
    <d v="2024-08-01T00:00:00"/>
    <x v="7"/>
    <x v="7"/>
    <s v="Aug-2024"/>
    <x v="1"/>
    <x v="4"/>
    <x v="4"/>
    <x v="2"/>
    <s v="CC-500"/>
    <n v="6352.72"/>
    <n v="6218.46"/>
    <n v="-134.26000000000022"/>
    <n v="-2.1134254303668384E-2"/>
    <s v="On Budget"/>
  </r>
  <r>
    <d v="2024-08-01T00:00:00"/>
    <x v="7"/>
    <x v="7"/>
    <s v="Aug-2024"/>
    <x v="1"/>
    <x v="4"/>
    <x v="4"/>
    <x v="3"/>
    <s v="CC-500"/>
    <n v="6624.92"/>
    <n v="6668.16"/>
    <n v="43.239999999999782"/>
    <n v="6.5268712678794279E-3"/>
    <s v="On Budget"/>
  </r>
  <r>
    <d v="2024-09-01T00:00:00"/>
    <x v="8"/>
    <x v="8"/>
    <s v="Sep-2024"/>
    <x v="1"/>
    <x v="0"/>
    <x v="0"/>
    <x v="0"/>
    <s v="CC-100"/>
    <n v="49673.53"/>
    <n v="56006.76"/>
    <n v="6333.2300000000032"/>
    <n v="0.12749707943043315"/>
    <s v="Overspend"/>
  </r>
  <r>
    <d v="2024-09-01T00:00:00"/>
    <x v="8"/>
    <x v="8"/>
    <s v="Sep-2024"/>
    <x v="1"/>
    <x v="0"/>
    <x v="0"/>
    <x v="1"/>
    <s v="CC-100"/>
    <n v="48060.19"/>
    <n v="55443.79"/>
    <n v="7383.5999999999985"/>
    <n v="0.15363235143265139"/>
    <s v="Overspend"/>
  </r>
  <r>
    <d v="2024-09-01T00:00:00"/>
    <x v="8"/>
    <x v="8"/>
    <s v="Sep-2024"/>
    <x v="1"/>
    <x v="0"/>
    <x v="0"/>
    <x v="2"/>
    <s v="CC-100"/>
    <n v="49458.14"/>
    <n v="54897.58"/>
    <n v="5439.4400000000023"/>
    <n v="0.10998068265405861"/>
    <s v="Overspend"/>
  </r>
  <r>
    <d v="2024-09-01T00:00:00"/>
    <x v="8"/>
    <x v="8"/>
    <s v="Sep-2024"/>
    <x v="1"/>
    <x v="0"/>
    <x v="0"/>
    <x v="3"/>
    <s v="CC-100"/>
    <n v="51749.08"/>
    <n v="57228.39"/>
    <n v="5479.3099999999977"/>
    <n v="0.10588226882487568"/>
    <s v="Overspend"/>
  </r>
  <r>
    <d v="2024-09-01T00:00:00"/>
    <x v="8"/>
    <x v="8"/>
    <s v="Sep-2024"/>
    <x v="1"/>
    <x v="0"/>
    <x v="1"/>
    <x v="0"/>
    <s v="CC-100"/>
    <n v="18593.11"/>
    <n v="22183.279999999999"/>
    <n v="3590.1699999999983"/>
    <n v="0.19309141934834992"/>
    <s v="Overspend"/>
  </r>
  <r>
    <d v="2024-09-01T00:00:00"/>
    <x v="8"/>
    <x v="8"/>
    <s v="Sep-2024"/>
    <x v="1"/>
    <x v="0"/>
    <x v="1"/>
    <x v="1"/>
    <s v="CC-100"/>
    <n v="18230.580000000002"/>
    <n v="20605.759999999998"/>
    <n v="2375.1799999999967"/>
    <n v="0.13028548735147188"/>
    <s v="Overspend"/>
  </r>
  <r>
    <d v="2024-09-01T00:00:00"/>
    <x v="8"/>
    <x v="8"/>
    <s v="Sep-2024"/>
    <x v="1"/>
    <x v="0"/>
    <x v="1"/>
    <x v="2"/>
    <s v="CC-100"/>
    <n v="18713.05"/>
    <n v="20402.310000000001"/>
    <n v="1689.260000000002"/>
    <n v="9.027176221941384E-2"/>
    <s v="Overspend"/>
  </r>
  <r>
    <d v="2024-09-01T00:00:00"/>
    <x v="8"/>
    <x v="8"/>
    <s v="Sep-2024"/>
    <x v="1"/>
    <x v="0"/>
    <x v="1"/>
    <x v="3"/>
    <s v="CC-100"/>
    <n v="19436.53"/>
    <n v="22643.360000000001"/>
    <n v="3206.8300000000017"/>
    <n v="0.16498984129368782"/>
    <s v="Overspend"/>
  </r>
  <r>
    <d v="2024-09-01T00:00:00"/>
    <x v="8"/>
    <x v="8"/>
    <s v="Sep-2024"/>
    <x v="1"/>
    <x v="0"/>
    <x v="2"/>
    <x v="0"/>
    <s v="CC-100"/>
    <n v="10334.57"/>
    <n v="14901.18"/>
    <n v="4566.6100000000006"/>
    <n v="0.44187711728693119"/>
    <s v="Overspend"/>
  </r>
  <r>
    <d v="2024-09-01T00:00:00"/>
    <x v="8"/>
    <x v="8"/>
    <s v="Sep-2024"/>
    <x v="1"/>
    <x v="0"/>
    <x v="2"/>
    <x v="1"/>
    <s v="CC-100"/>
    <n v="10116.67"/>
    <n v="14613.34"/>
    <n v="4496.67"/>
    <n v="0.44448123740321666"/>
    <s v="Overspend"/>
  </r>
  <r>
    <d v="2024-09-01T00:00:00"/>
    <x v="8"/>
    <x v="8"/>
    <s v="Sep-2024"/>
    <x v="1"/>
    <x v="0"/>
    <x v="2"/>
    <x v="2"/>
    <s v="CC-100"/>
    <n v="10440.77"/>
    <n v="15158.73"/>
    <n v="4717.9599999999991"/>
    <n v="0.45187854918746406"/>
    <s v="Overspend"/>
  </r>
  <r>
    <d v="2024-09-01T00:00:00"/>
    <x v="8"/>
    <x v="8"/>
    <s v="Sep-2024"/>
    <x v="1"/>
    <x v="0"/>
    <x v="2"/>
    <x v="3"/>
    <s v="CC-100"/>
    <n v="11324.91"/>
    <n v="16260.19"/>
    <n v="4935.2800000000007"/>
    <n v="0.43578977669579722"/>
    <s v="Overspend"/>
  </r>
  <r>
    <d v="2024-09-01T00:00:00"/>
    <x v="8"/>
    <x v="8"/>
    <s v="Sep-2024"/>
    <x v="1"/>
    <x v="0"/>
    <x v="3"/>
    <x v="0"/>
    <s v="CC-100"/>
    <n v="8098.9"/>
    <n v="8962.68"/>
    <n v="863.78000000000065"/>
    <n v="0.10665399004803131"/>
    <s v="Overspend"/>
  </r>
  <r>
    <d v="2024-09-01T00:00:00"/>
    <x v="8"/>
    <x v="8"/>
    <s v="Sep-2024"/>
    <x v="1"/>
    <x v="0"/>
    <x v="3"/>
    <x v="1"/>
    <s v="CC-100"/>
    <n v="7918.17"/>
    <n v="9222.26"/>
    <n v="1304.0900000000001"/>
    <n v="0.16469588301337307"/>
    <s v="Overspend"/>
  </r>
  <r>
    <d v="2024-09-01T00:00:00"/>
    <x v="8"/>
    <x v="8"/>
    <s v="Sep-2024"/>
    <x v="1"/>
    <x v="0"/>
    <x v="3"/>
    <x v="2"/>
    <s v="CC-100"/>
    <n v="8143.76"/>
    <n v="9301.1"/>
    <n v="1157.3400000000001"/>
    <n v="0.14211371651423912"/>
    <s v="Overspend"/>
  </r>
  <r>
    <d v="2024-09-01T00:00:00"/>
    <x v="8"/>
    <x v="8"/>
    <s v="Sep-2024"/>
    <x v="1"/>
    <x v="0"/>
    <x v="3"/>
    <x v="3"/>
    <s v="CC-100"/>
    <n v="8693.2000000000007"/>
    <n v="10307.42"/>
    <n v="1614.2199999999993"/>
    <n v="0.18568766392122568"/>
    <s v="Overspend"/>
  </r>
  <r>
    <d v="2024-09-01T00:00:00"/>
    <x v="8"/>
    <x v="8"/>
    <s v="Sep-2024"/>
    <x v="1"/>
    <x v="0"/>
    <x v="4"/>
    <x v="0"/>
    <s v="CC-100"/>
    <n v="8416.4500000000007"/>
    <n v="9481.59"/>
    <n v="1065.1399999999994"/>
    <n v="0.12655454496848426"/>
    <s v="Overspend"/>
  </r>
  <r>
    <d v="2024-09-01T00:00:00"/>
    <x v="8"/>
    <x v="8"/>
    <s v="Sep-2024"/>
    <x v="1"/>
    <x v="0"/>
    <x v="4"/>
    <x v="1"/>
    <s v="CC-100"/>
    <n v="7881.2"/>
    <n v="8942.52"/>
    <n v="1061.3200000000006"/>
    <n v="0.13466477186215306"/>
    <s v="Overspend"/>
  </r>
  <r>
    <d v="2024-09-01T00:00:00"/>
    <x v="8"/>
    <x v="8"/>
    <s v="Sep-2024"/>
    <x v="1"/>
    <x v="0"/>
    <x v="4"/>
    <x v="2"/>
    <s v="CC-100"/>
    <n v="7996.01"/>
    <n v="9576.57"/>
    <n v="1580.5599999999995"/>
    <n v="0.19766858720786987"/>
    <s v="Overspend"/>
  </r>
  <r>
    <d v="2024-09-01T00:00:00"/>
    <x v="8"/>
    <x v="8"/>
    <s v="Sep-2024"/>
    <x v="1"/>
    <x v="0"/>
    <x v="4"/>
    <x v="3"/>
    <s v="CC-100"/>
    <n v="8850.91"/>
    <n v="10052.07"/>
    <n v="1201.1599999999999"/>
    <n v="0.1357103393888312"/>
    <s v="Overspend"/>
  </r>
  <r>
    <d v="2024-09-01T00:00:00"/>
    <x v="8"/>
    <x v="8"/>
    <s v="Sep-2024"/>
    <x v="1"/>
    <x v="1"/>
    <x v="0"/>
    <x v="0"/>
    <s v="CC-200"/>
    <n v="53394.84"/>
    <n v="47223.89"/>
    <n v="-6170.9499999999971"/>
    <n v="-0.11557202905748941"/>
    <s v="Underspend"/>
  </r>
  <r>
    <d v="2024-09-01T00:00:00"/>
    <x v="8"/>
    <x v="8"/>
    <s v="Sep-2024"/>
    <x v="1"/>
    <x v="1"/>
    <x v="0"/>
    <x v="1"/>
    <s v="CC-200"/>
    <n v="49518.15"/>
    <n v="43116.88"/>
    <n v="-6401.2700000000041"/>
    <n v="-0.12927118642356397"/>
    <s v="Underspend"/>
  </r>
  <r>
    <d v="2024-09-01T00:00:00"/>
    <x v="8"/>
    <x v="8"/>
    <s v="Sep-2024"/>
    <x v="1"/>
    <x v="1"/>
    <x v="0"/>
    <x v="2"/>
    <s v="CC-200"/>
    <n v="52111.35"/>
    <n v="45303.5"/>
    <n v="-6807.8499999999985"/>
    <n v="-0.1306404458913461"/>
    <s v="Underspend"/>
  </r>
  <r>
    <d v="2024-09-01T00:00:00"/>
    <x v="8"/>
    <x v="8"/>
    <s v="Sep-2024"/>
    <x v="1"/>
    <x v="1"/>
    <x v="0"/>
    <x v="3"/>
    <s v="CC-200"/>
    <n v="53961.38"/>
    <n v="47476.66"/>
    <n v="-6484.7199999999939"/>
    <n v="-0.12017335360956288"/>
    <s v="Underspend"/>
  </r>
  <r>
    <d v="2024-09-01T00:00:00"/>
    <x v="8"/>
    <x v="8"/>
    <s v="Sep-2024"/>
    <x v="1"/>
    <x v="1"/>
    <x v="1"/>
    <x v="0"/>
    <s v="CC-200"/>
    <n v="29174.77"/>
    <n v="25257.43"/>
    <n v="-3917.34"/>
    <n v="-0.13427149554220993"/>
    <s v="Underspend"/>
  </r>
  <r>
    <d v="2024-09-01T00:00:00"/>
    <x v="8"/>
    <x v="8"/>
    <s v="Sep-2024"/>
    <x v="1"/>
    <x v="1"/>
    <x v="1"/>
    <x v="1"/>
    <s v="CC-200"/>
    <n v="27304.5"/>
    <n v="23271.88"/>
    <n v="-4032.619999999999"/>
    <n v="-0.14769067369847458"/>
    <s v="Underspend"/>
  </r>
  <r>
    <d v="2024-09-01T00:00:00"/>
    <x v="8"/>
    <x v="8"/>
    <s v="Sep-2024"/>
    <x v="1"/>
    <x v="1"/>
    <x v="1"/>
    <x v="2"/>
    <s v="CC-200"/>
    <n v="28500.61"/>
    <n v="25015.05"/>
    <n v="-3485.5600000000013"/>
    <n v="-0.12229773327658605"/>
    <s v="Underspend"/>
  </r>
  <r>
    <d v="2024-09-01T00:00:00"/>
    <x v="8"/>
    <x v="8"/>
    <s v="Sep-2024"/>
    <x v="1"/>
    <x v="1"/>
    <x v="1"/>
    <x v="3"/>
    <s v="CC-200"/>
    <n v="30345.95"/>
    <n v="26758"/>
    <n v="-3587.9500000000007"/>
    <n v="-0.11823488801635805"/>
    <s v="Underspend"/>
  </r>
  <r>
    <d v="2024-09-01T00:00:00"/>
    <x v="8"/>
    <x v="8"/>
    <s v="Sep-2024"/>
    <x v="1"/>
    <x v="1"/>
    <x v="2"/>
    <x v="0"/>
    <s v="CC-200"/>
    <n v="11261.52"/>
    <n v="14136.84"/>
    <n v="2875.3199999999997"/>
    <n v="0.25532254970909785"/>
    <s v="Overspend"/>
  </r>
  <r>
    <d v="2024-09-01T00:00:00"/>
    <x v="8"/>
    <x v="8"/>
    <s v="Sep-2024"/>
    <x v="1"/>
    <x v="1"/>
    <x v="2"/>
    <x v="1"/>
    <s v="CC-200"/>
    <n v="10441.68"/>
    <n v="12286.97"/>
    <n v="1845.2899999999991"/>
    <n v="0.1767234774480734"/>
    <s v="Overspend"/>
  </r>
  <r>
    <d v="2024-09-01T00:00:00"/>
    <x v="8"/>
    <x v="8"/>
    <s v="Sep-2024"/>
    <x v="1"/>
    <x v="1"/>
    <x v="2"/>
    <x v="2"/>
    <s v="CC-200"/>
    <n v="11041.19"/>
    <n v="13417.46"/>
    <n v="2376.2699999999986"/>
    <n v="0.21521864943905489"/>
    <s v="Overspend"/>
  </r>
  <r>
    <d v="2024-09-01T00:00:00"/>
    <x v="8"/>
    <x v="8"/>
    <s v="Sep-2024"/>
    <x v="1"/>
    <x v="1"/>
    <x v="2"/>
    <x v="3"/>
    <s v="CC-200"/>
    <n v="11617.37"/>
    <n v="14208.81"/>
    <n v="2591.4399999999987"/>
    <n v="0.22306597792787855"/>
    <s v="Overspend"/>
  </r>
  <r>
    <d v="2024-09-01T00:00:00"/>
    <x v="8"/>
    <x v="8"/>
    <s v="Sep-2024"/>
    <x v="1"/>
    <x v="1"/>
    <x v="3"/>
    <x v="0"/>
    <s v="CC-200"/>
    <n v="8510.7900000000009"/>
    <n v="7506.73"/>
    <n v="-1004.0600000000013"/>
    <n v="-0.11797494709656814"/>
    <s v="Underspend"/>
  </r>
  <r>
    <d v="2024-09-01T00:00:00"/>
    <x v="8"/>
    <x v="8"/>
    <s v="Sep-2024"/>
    <x v="1"/>
    <x v="1"/>
    <x v="3"/>
    <x v="1"/>
    <s v="CC-200"/>
    <n v="8168.49"/>
    <n v="7004.18"/>
    <n v="-1164.3099999999995"/>
    <n v="-0.14253674791791379"/>
    <s v="Underspend"/>
  </r>
  <r>
    <d v="2024-09-01T00:00:00"/>
    <x v="8"/>
    <x v="8"/>
    <s v="Sep-2024"/>
    <x v="1"/>
    <x v="1"/>
    <x v="3"/>
    <x v="2"/>
    <s v="CC-200"/>
    <n v="8204.74"/>
    <n v="7264.51"/>
    <n v="-940.22999999999956"/>
    <n v="-0.11459595307102963"/>
    <s v="Underspend"/>
  </r>
  <r>
    <d v="2024-09-01T00:00:00"/>
    <x v="8"/>
    <x v="8"/>
    <s v="Sep-2024"/>
    <x v="1"/>
    <x v="1"/>
    <x v="3"/>
    <x v="3"/>
    <s v="CC-200"/>
    <n v="9086.01"/>
    <n v="7781.63"/>
    <n v="-1304.3800000000001"/>
    <n v="-0.14355916403349767"/>
    <s v="Underspend"/>
  </r>
  <r>
    <d v="2024-09-01T00:00:00"/>
    <x v="8"/>
    <x v="8"/>
    <s v="Sep-2024"/>
    <x v="1"/>
    <x v="1"/>
    <x v="4"/>
    <x v="0"/>
    <s v="CC-200"/>
    <n v="7467.67"/>
    <n v="6567.01"/>
    <n v="-900.65999999999985"/>
    <n v="-0.12060790045623332"/>
    <s v="Underspend"/>
  </r>
  <r>
    <d v="2024-09-01T00:00:00"/>
    <x v="8"/>
    <x v="8"/>
    <s v="Sep-2024"/>
    <x v="1"/>
    <x v="1"/>
    <x v="4"/>
    <x v="1"/>
    <s v="CC-200"/>
    <n v="7063.88"/>
    <n v="6126.35"/>
    <n v="-937.52999999999975"/>
    <n v="-0.13272167703868126"/>
    <s v="Underspend"/>
  </r>
  <r>
    <d v="2024-09-01T00:00:00"/>
    <x v="8"/>
    <x v="8"/>
    <s v="Sep-2024"/>
    <x v="1"/>
    <x v="1"/>
    <x v="4"/>
    <x v="2"/>
    <s v="CC-200"/>
    <n v="7263.91"/>
    <n v="6228.54"/>
    <n v="-1035.3699999999999"/>
    <n v="-0.14253618230402082"/>
    <s v="Underspend"/>
  </r>
  <r>
    <d v="2024-09-01T00:00:00"/>
    <x v="8"/>
    <x v="8"/>
    <s v="Sep-2024"/>
    <x v="1"/>
    <x v="1"/>
    <x v="4"/>
    <x v="3"/>
    <s v="CC-200"/>
    <n v="7562.59"/>
    <n v="6586.89"/>
    <n v="-975.69999999999982"/>
    <n v="-0.12901664641346414"/>
    <s v="Underspend"/>
  </r>
  <r>
    <d v="2024-09-01T00:00:00"/>
    <x v="8"/>
    <x v="8"/>
    <s v="Sep-2024"/>
    <x v="1"/>
    <x v="2"/>
    <x v="0"/>
    <x v="0"/>
    <s v="CC-300"/>
    <n v="45424.639999999999"/>
    <n v="45613.21"/>
    <n v="188.56999999999971"/>
    <n v="4.1512712043507601E-3"/>
    <s v="On Budget"/>
  </r>
  <r>
    <d v="2024-09-01T00:00:00"/>
    <x v="8"/>
    <x v="8"/>
    <s v="Sep-2024"/>
    <x v="1"/>
    <x v="2"/>
    <x v="0"/>
    <x v="1"/>
    <s v="CC-300"/>
    <n v="43317.57"/>
    <n v="43903.14"/>
    <n v="585.56999999999971"/>
    <n v="1.3518071304553781E-2"/>
    <s v="On Budget"/>
  </r>
  <r>
    <d v="2024-09-01T00:00:00"/>
    <x v="8"/>
    <x v="8"/>
    <s v="Sep-2024"/>
    <x v="1"/>
    <x v="2"/>
    <x v="0"/>
    <x v="2"/>
    <s v="CC-300"/>
    <n v="43835.79"/>
    <n v="42650.5"/>
    <n v="-1185.2900000000009"/>
    <n v="-2.7039321066188175E-2"/>
    <s v="On Budget"/>
  </r>
  <r>
    <d v="2024-09-01T00:00:00"/>
    <x v="8"/>
    <x v="8"/>
    <s v="Sep-2024"/>
    <x v="1"/>
    <x v="2"/>
    <x v="0"/>
    <x v="3"/>
    <s v="CC-300"/>
    <n v="47803.31"/>
    <n v="48837.54"/>
    <n v="1034.2300000000032"/>
    <n v="2.1635112714998257E-2"/>
    <s v="On Budget"/>
  </r>
  <r>
    <d v="2024-09-01T00:00:00"/>
    <x v="8"/>
    <x v="8"/>
    <s v="Sep-2024"/>
    <x v="1"/>
    <x v="2"/>
    <x v="1"/>
    <x v="0"/>
    <s v="CC-300"/>
    <n v="15625.18"/>
    <n v="15180.79"/>
    <n v="-444.38999999999942"/>
    <n v="-2.8440632363915131E-2"/>
    <s v="On Budget"/>
  </r>
  <r>
    <d v="2024-09-01T00:00:00"/>
    <x v="8"/>
    <x v="8"/>
    <s v="Sep-2024"/>
    <x v="1"/>
    <x v="2"/>
    <x v="1"/>
    <x v="1"/>
    <s v="CC-300"/>
    <n v="15000.79"/>
    <n v="14580.9"/>
    <n v="-419.89000000000124"/>
    <n v="-2.799119246386365E-2"/>
    <s v="On Budget"/>
  </r>
  <r>
    <d v="2024-09-01T00:00:00"/>
    <x v="8"/>
    <x v="8"/>
    <s v="Sep-2024"/>
    <x v="1"/>
    <x v="2"/>
    <x v="1"/>
    <x v="2"/>
    <s v="CC-300"/>
    <n v="15438.6"/>
    <n v="15904.86"/>
    <n v="466.26000000000022"/>
    <n v="3.020092495433525E-2"/>
    <s v="On Budget"/>
  </r>
  <r>
    <d v="2024-09-01T00:00:00"/>
    <x v="8"/>
    <x v="8"/>
    <s v="Sep-2024"/>
    <x v="1"/>
    <x v="2"/>
    <x v="1"/>
    <x v="3"/>
    <s v="CC-300"/>
    <n v="15979.49"/>
    <n v="16202.73"/>
    <n v="223.23999999999978"/>
    <n v="1.3970408317161547E-2"/>
    <s v="On Budget"/>
  </r>
  <r>
    <d v="2024-09-01T00:00:00"/>
    <x v="8"/>
    <x v="8"/>
    <s v="Sep-2024"/>
    <x v="1"/>
    <x v="2"/>
    <x v="2"/>
    <x v="0"/>
    <s v="CC-300"/>
    <n v="8678.99"/>
    <n v="12101.11"/>
    <n v="3422.1200000000008"/>
    <n v="0.39429933667396794"/>
    <s v="Overspend"/>
  </r>
  <r>
    <d v="2024-09-01T00:00:00"/>
    <x v="8"/>
    <x v="8"/>
    <s v="Sep-2024"/>
    <x v="1"/>
    <x v="2"/>
    <x v="2"/>
    <x v="1"/>
    <s v="CC-300"/>
    <n v="8367.8799999999992"/>
    <n v="11029.83"/>
    <n v="2661.9500000000007"/>
    <n v="0.31811522153759386"/>
    <s v="Overspend"/>
  </r>
  <r>
    <d v="2024-09-01T00:00:00"/>
    <x v="8"/>
    <x v="8"/>
    <s v="Sep-2024"/>
    <x v="1"/>
    <x v="2"/>
    <x v="2"/>
    <x v="2"/>
    <s v="CC-300"/>
    <n v="8657.48"/>
    <n v="11159.35"/>
    <n v="2501.8700000000008"/>
    <n v="0.2889836303404687"/>
    <s v="Overspend"/>
  </r>
  <r>
    <d v="2024-09-01T00:00:00"/>
    <x v="8"/>
    <x v="8"/>
    <s v="Sep-2024"/>
    <x v="1"/>
    <x v="2"/>
    <x v="2"/>
    <x v="3"/>
    <s v="CC-300"/>
    <n v="9029.02"/>
    <n v="12060.6"/>
    <n v="3031.58"/>
    <n v="0.33575958409661288"/>
    <s v="Overspend"/>
  </r>
  <r>
    <d v="2024-09-01T00:00:00"/>
    <x v="8"/>
    <x v="8"/>
    <s v="Sep-2024"/>
    <x v="1"/>
    <x v="2"/>
    <x v="3"/>
    <x v="0"/>
    <s v="CC-300"/>
    <n v="6590.86"/>
    <n v="6399.28"/>
    <n v="-191.57999999999993"/>
    <n v="-2.9067526847786167E-2"/>
    <s v="On Budget"/>
  </r>
  <r>
    <d v="2024-09-01T00:00:00"/>
    <x v="8"/>
    <x v="8"/>
    <s v="Sep-2024"/>
    <x v="1"/>
    <x v="2"/>
    <x v="3"/>
    <x v="1"/>
    <s v="CC-300"/>
    <n v="6342.1"/>
    <n v="6317.28"/>
    <n v="-24.820000000000618"/>
    <n v="-3.9135302186973746E-3"/>
    <s v="On Budget"/>
  </r>
  <r>
    <d v="2024-09-01T00:00:00"/>
    <x v="8"/>
    <x v="8"/>
    <s v="Sep-2024"/>
    <x v="1"/>
    <x v="2"/>
    <x v="3"/>
    <x v="2"/>
    <s v="CC-300"/>
    <n v="6398.12"/>
    <n v="6447.73"/>
    <n v="49.609999999999673"/>
    <n v="7.7538401905559249E-3"/>
    <s v="On Budget"/>
  </r>
  <r>
    <d v="2024-09-01T00:00:00"/>
    <x v="8"/>
    <x v="8"/>
    <s v="Sep-2024"/>
    <x v="1"/>
    <x v="2"/>
    <x v="3"/>
    <x v="3"/>
    <s v="CC-300"/>
    <n v="7108.4"/>
    <n v="7151.4"/>
    <n v="43"/>
    <n v="6.0491812503516967E-3"/>
    <s v="On Budget"/>
  </r>
  <r>
    <d v="2024-09-01T00:00:00"/>
    <x v="8"/>
    <x v="8"/>
    <s v="Sep-2024"/>
    <x v="1"/>
    <x v="2"/>
    <x v="4"/>
    <x v="0"/>
    <s v="CC-300"/>
    <n v="5904.65"/>
    <n v="5809.74"/>
    <n v="-94.909999999999854"/>
    <n v="-1.6073772365847231E-2"/>
    <s v="On Budget"/>
  </r>
  <r>
    <d v="2024-09-01T00:00:00"/>
    <x v="8"/>
    <x v="8"/>
    <s v="Sep-2024"/>
    <x v="1"/>
    <x v="2"/>
    <x v="4"/>
    <x v="1"/>
    <s v="CC-300"/>
    <n v="5391.42"/>
    <n v="5507.64"/>
    <n v="116.22000000000025"/>
    <n v="2.1556473062755314E-2"/>
    <s v="On Budget"/>
  </r>
  <r>
    <d v="2024-09-01T00:00:00"/>
    <x v="8"/>
    <x v="8"/>
    <s v="Sep-2024"/>
    <x v="1"/>
    <x v="2"/>
    <x v="4"/>
    <x v="2"/>
    <s v="CC-300"/>
    <n v="5642.95"/>
    <n v="5782.39"/>
    <n v="139.44000000000051"/>
    <n v="2.4710479447806646E-2"/>
    <s v="On Budget"/>
  </r>
  <r>
    <d v="2024-09-01T00:00:00"/>
    <x v="8"/>
    <x v="8"/>
    <s v="Sep-2024"/>
    <x v="1"/>
    <x v="2"/>
    <x v="4"/>
    <x v="3"/>
    <s v="CC-300"/>
    <n v="6177.79"/>
    <n v="6312.87"/>
    <n v="135.07999999999993"/>
    <n v="2.1865424366966167E-2"/>
    <s v="On Budget"/>
  </r>
  <r>
    <d v="2024-09-01T00:00:00"/>
    <x v="8"/>
    <x v="8"/>
    <s v="Sep-2024"/>
    <x v="1"/>
    <x v="3"/>
    <x v="0"/>
    <x v="0"/>
    <s v="CC-400"/>
    <n v="56616.13"/>
    <n v="66153.58"/>
    <n v="9537.4500000000044"/>
    <n v="0.1684581761416756"/>
    <s v="Overspend"/>
  </r>
  <r>
    <d v="2024-09-01T00:00:00"/>
    <x v="8"/>
    <x v="8"/>
    <s v="Sep-2024"/>
    <x v="1"/>
    <x v="3"/>
    <x v="0"/>
    <x v="1"/>
    <s v="CC-400"/>
    <n v="53515.11"/>
    <n v="59972.5"/>
    <n v="6457.3899999999994"/>
    <n v="0.12066479915672414"/>
    <s v="Overspend"/>
  </r>
  <r>
    <d v="2024-09-01T00:00:00"/>
    <x v="8"/>
    <x v="8"/>
    <s v="Sep-2024"/>
    <x v="1"/>
    <x v="3"/>
    <x v="0"/>
    <x v="2"/>
    <s v="CC-400"/>
    <n v="52942.400000000001"/>
    <n v="61515.77"/>
    <n v="8573.3699999999953"/>
    <n v="0.1619376907733687"/>
    <s v="Overspend"/>
  </r>
  <r>
    <d v="2024-09-01T00:00:00"/>
    <x v="8"/>
    <x v="8"/>
    <s v="Sep-2024"/>
    <x v="1"/>
    <x v="3"/>
    <x v="0"/>
    <x v="3"/>
    <s v="CC-400"/>
    <n v="57408.639999999999"/>
    <n v="58552.83"/>
    <n v="1144.1900000000023"/>
    <n v="1.9930623683125089E-2"/>
    <s v="On Budget"/>
  </r>
  <r>
    <d v="2024-09-01T00:00:00"/>
    <x v="8"/>
    <x v="8"/>
    <s v="Sep-2024"/>
    <x v="1"/>
    <x v="3"/>
    <x v="1"/>
    <x v="0"/>
    <s v="CC-400"/>
    <n v="21334.02"/>
    <n v="19027.14"/>
    <n v="-2306.880000000001"/>
    <n v="-0.1081315195167156"/>
    <s v="Underspend"/>
  </r>
  <r>
    <d v="2024-09-01T00:00:00"/>
    <x v="8"/>
    <x v="8"/>
    <s v="Sep-2024"/>
    <x v="1"/>
    <x v="3"/>
    <x v="1"/>
    <x v="1"/>
    <s v="CC-400"/>
    <n v="20449.919999999998"/>
    <n v="19956.61"/>
    <n v="-493.30999999999767"/>
    <n v="-2.4122832754357851E-2"/>
    <s v="On Budget"/>
  </r>
  <r>
    <d v="2024-09-01T00:00:00"/>
    <x v="8"/>
    <x v="8"/>
    <s v="Sep-2024"/>
    <x v="1"/>
    <x v="3"/>
    <x v="1"/>
    <x v="2"/>
    <s v="CC-400"/>
    <n v="20018.810000000001"/>
    <n v="22839.98"/>
    <n v="2821.1699999999983"/>
    <n v="0.14092595913543302"/>
    <s v="Overspend"/>
  </r>
  <r>
    <d v="2024-09-01T00:00:00"/>
    <x v="8"/>
    <x v="8"/>
    <s v="Sep-2024"/>
    <x v="1"/>
    <x v="3"/>
    <x v="1"/>
    <x v="3"/>
    <s v="CC-400"/>
    <n v="21414.77"/>
    <n v="23160.53"/>
    <n v="1745.7599999999984"/>
    <n v="8.1521305155273602E-2"/>
    <s v="Overspend"/>
  </r>
  <r>
    <d v="2024-09-01T00:00:00"/>
    <x v="8"/>
    <x v="8"/>
    <s v="Sep-2024"/>
    <x v="1"/>
    <x v="3"/>
    <x v="2"/>
    <x v="0"/>
    <s v="CC-400"/>
    <n v="11864.65"/>
    <n v="17059.349999999999"/>
    <n v="5194.6999999999989"/>
    <n v="0.43783002448449798"/>
    <s v="Overspend"/>
  </r>
  <r>
    <d v="2024-09-01T00:00:00"/>
    <x v="8"/>
    <x v="8"/>
    <s v="Sep-2024"/>
    <x v="1"/>
    <x v="3"/>
    <x v="2"/>
    <x v="1"/>
    <s v="CC-400"/>
    <n v="11085.48"/>
    <n v="15042.73"/>
    <n v="3957.25"/>
    <n v="0.35697597217260779"/>
    <s v="Overspend"/>
  </r>
  <r>
    <d v="2024-09-01T00:00:00"/>
    <x v="8"/>
    <x v="8"/>
    <s v="Sep-2024"/>
    <x v="1"/>
    <x v="3"/>
    <x v="2"/>
    <x v="2"/>
    <s v="CC-400"/>
    <n v="11564.66"/>
    <n v="15099.82"/>
    <n v="3535.16"/>
    <n v="0.30568646203174155"/>
    <s v="Overspend"/>
  </r>
  <r>
    <d v="2024-09-01T00:00:00"/>
    <x v="8"/>
    <x v="8"/>
    <s v="Sep-2024"/>
    <x v="1"/>
    <x v="3"/>
    <x v="2"/>
    <x v="3"/>
    <s v="CC-400"/>
    <n v="12230.6"/>
    <n v="15843.23"/>
    <n v="3612.6299999999992"/>
    <n v="0.29537635111932359"/>
    <s v="Overspend"/>
  </r>
  <r>
    <d v="2024-09-01T00:00:00"/>
    <x v="8"/>
    <x v="8"/>
    <s v="Sep-2024"/>
    <x v="1"/>
    <x v="3"/>
    <x v="3"/>
    <x v="0"/>
    <s v="CC-400"/>
    <n v="12441.25"/>
    <n v="12630.51"/>
    <n v="189.26000000000022"/>
    <n v="1.5212297799658412E-2"/>
    <s v="On Budget"/>
  </r>
  <r>
    <d v="2024-09-01T00:00:00"/>
    <x v="8"/>
    <x v="8"/>
    <s v="Sep-2024"/>
    <x v="1"/>
    <x v="3"/>
    <x v="3"/>
    <x v="1"/>
    <s v="CC-400"/>
    <n v="11744.92"/>
    <n v="11668.87"/>
    <n v="-76.049999999999272"/>
    <n v="-6.4751398902673897E-3"/>
    <s v="On Budget"/>
  </r>
  <r>
    <d v="2024-09-01T00:00:00"/>
    <x v="8"/>
    <x v="8"/>
    <s v="Sep-2024"/>
    <x v="1"/>
    <x v="3"/>
    <x v="3"/>
    <x v="2"/>
    <s v="CC-400"/>
    <n v="11819.37"/>
    <n v="12960.4"/>
    <n v="1141.0299999999988"/>
    <n v="9.6538986426518397E-2"/>
    <s v="Overspend"/>
  </r>
  <r>
    <d v="2024-09-01T00:00:00"/>
    <x v="8"/>
    <x v="8"/>
    <s v="Sep-2024"/>
    <x v="1"/>
    <x v="3"/>
    <x v="3"/>
    <x v="3"/>
    <s v="CC-400"/>
    <n v="13231.62"/>
    <n v="15094.05"/>
    <n v="1862.4299999999985"/>
    <n v="0.14075600720093218"/>
    <s v="Overspend"/>
  </r>
  <r>
    <d v="2024-09-01T00:00:00"/>
    <x v="8"/>
    <x v="8"/>
    <s v="Sep-2024"/>
    <x v="1"/>
    <x v="3"/>
    <x v="4"/>
    <x v="0"/>
    <s v="CC-400"/>
    <n v="7792.56"/>
    <n v="8367.75"/>
    <n v="575.1899999999996"/>
    <n v="7.3812713665342269E-2"/>
    <s v="Overspend"/>
  </r>
  <r>
    <d v="2024-09-01T00:00:00"/>
    <x v="8"/>
    <x v="8"/>
    <s v="Sep-2024"/>
    <x v="1"/>
    <x v="3"/>
    <x v="4"/>
    <x v="1"/>
    <s v="CC-400"/>
    <n v="7613.93"/>
    <n v="7782.94"/>
    <n v="169.00999999999931"/>
    <n v="2.2197472264651671E-2"/>
    <s v="On Budget"/>
  </r>
  <r>
    <d v="2024-09-01T00:00:00"/>
    <x v="8"/>
    <x v="8"/>
    <s v="Sep-2024"/>
    <x v="1"/>
    <x v="3"/>
    <x v="4"/>
    <x v="2"/>
    <s v="CC-400"/>
    <n v="7790.24"/>
    <n v="9038.56"/>
    <n v="1248.3199999999997"/>
    <n v="0.16024153299513233"/>
    <s v="Overspend"/>
  </r>
  <r>
    <d v="2024-09-01T00:00:00"/>
    <x v="8"/>
    <x v="8"/>
    <s v="Sep-2024"/>
    <x v="1"/>
    <x v="3"/>
    <x v="4"/>
    <x v="3"/>
    <s v="CC-400"/>
    <n v="8168.57"/>
    <n v="7740.14"/>
    <n v="-428.42999999999938"/>
    <n v="-5.2448592593317973E-2"/>
    <s v="Underspend"/>
  </r>
  <r>
    <d v="2024-09-01T00:00:00"/>
    <x v="8"/>
    <x v="8"/>
    <s v="Sep-2024"/>
    <x v="1"/>
    <x v="4"/>
    <x v="0"/>
    <x v="0"/>
    <s v="CC-500"/>
    <n v="43755.360000000001"/>
    <n v="45699.97"/>
    <n v="1944.6100000000006"/>
    <n v="4.4442783695528974E-2"/>
    <s v="On Budget"/>
  </r>
  <r>
    <d v="2024-09-01T00:00:00"/>
    <x v="8"/>
    <x v="8"/>
    <s v="Sep-2024"/>
    <x v="1"/>
    <x v="4"/>
    <x v="0"/>
    <x v="1"/>
    <s v="CC-500"/>
    <n v="41994.44"/>
    <n v="41472.26"/>
    <n v="-522.18000000000029"/>
    <n v="-1.2434503234237681E-2"/>
    <s v="On Budget"/>
  </r>
  <r>
    <d v="2024-09-01T00:00:00"/>
    <x v="8"/>
    <x v="8"/>
    <s v="Sep-2024"/>
    <x v="1"/>
    <x v="4"/>
    <x v="0"/>
    <x v="2"/>
    <s v="CC-500"/>
    <n v="42975.08"/>
    <n v="41686.480000000003"/>
    <n v="-1288.5999999999985"/>
    <n v="-2.9984819109120878E-2"/>
    <s v="On Budget"/>
  </r>
  <r>
    <d v="2024-09-01T00:00:00"/>
    <x v="8"/>
    <x v="8"/>
    <s v="Sep-2024"/>
    <x v="1"/>
    <x v="4"/>
    <x v="0"/>
    <x v="3"/>
    <s v="CC-500"/>
    <n v="45539.56"/>
    <n v="44966.26"/>
    <n v="-573.29999999999563"/>
    <n v="-1.2589054439700244E-2"/>
    <s v="On Budget"/>
  </r>
  <r>
    <d v="2024-09-01T00:00:00"/>
    <x v="8"/>
    <x v="8"/>
    <s v="Sep-2024"/>
    <x v="1"/>
    <x v="4"/>
    <x v="1"/>
    <x v="0"/>
    <s v="CC-500"/>
    <n v="16896.3"/>
    <n v="17369.11"/>
    <n v="472.81000000000131"/>
    <n v="2.7983049543391234E-2"/>
    <s v="On Budget"/>
  </r>
  <r>
    <d v="2024-09-01T00:00:00"/>
    <x v="8"/>
    <x v="8"/>
    <s v="Sep-2024"/>
    <x v="1"/>
    <x v="4"/>
    <x v="1"/>
    <x v="1"/>
    <s v="CC-500"/>
    <n v="15593.63"/>
    <n v="16398.3"/>
    <n v="804.67000000000007"/>
    <n v="5.1602481269595352E-2"/>
    <s v="Overspend"/>
  </r>
  <r>
    <d v="2024-09-01T00:00:00"/>
    <x v="8"/>
    <x v="8"/>
    <s v="Sep-2024"/>
    <x v="1"/>
    <x v="4"/>
    <x v="1"/>
    <x v="2"/>
    <s v="CC-500"/>
    <n v="16140.16"/>
    <n v="15599.3"/>
    <n v="-540.86000000000058"/>
    <n v="-3.3510200642372853E-2"/>
    <s v="On Budget"/>
  </r>
  <r>
    <d v="2024-09-01T00:00:00"/>
    <x v="8"/>
    <x v="8"/>
    <s v="Sep-2024"/>
    <x v="1"/>
    <x v="4"/>
    <x v="1"/>
    <x v="3"/>
    <s v="CC-500"/>
    <n v="17890.84"/>
    <n v="17504.59"/>
    <n v="-386.25"/>
    <n v="-2.1589260202427612E-2"/>
    <s v="On Budget"/>
  </r>
  <r>
    <d v="2024-09-01T00:00:00"/>
    <x v="8"/>
    <x v="8"/>
    <s v="Sep-2024"/>
    <x v="1"/>
    <x v="4"/>
    <x v="2"/>
    <x v="0"/>
    <s v="CC-500"/>
    <n v="7193.07"/>
    <n v="10143.370000000001"/>
    <n v="2950.3000000000011"/>
    <n v="0.41015866660549682"/>
    <s v="Overspend"/>
  </r>
  <r>
    <d v="2024-09-01T00:00:00"/>
    <x v="8"/>
    <x v="8"/>
    <s v="Sep-2024"/>
    <x v="1"/>
    <x v="4"/>
    <x v="2"/>
    <x v="1"/>
    <s v="CC-500"/>
    <n v="6627.93"/>
    <n v="8981.94"/>
    <n v="2354.0100000000002"/>
    <n v="0.35516518732092828"/>
    <s v="Overspend"/>
  </r>
  <r>
    <d v="2024-09-01T00:00:00"/>
    <x v="8"/>
    <x v="8"/>
    <s v="Sep-2024"/>
    <x v="1"/>
    <x v="4"/>
    <x v="2"/>
    <x v="2"/>
    <s v="CC-500"/>
    <n v="7095.53"/>
    <n v="9132.41"/>
    <n v="2036.88"/>
    <n v="0.2870652368462962"/>
    <s v="Overspend"/>
  </r>
  <r>
    <d v="2024-09-01T00:00:00"/>
    <x v="8"/>
    <x v="8"/>
    <s v="Sep-2024"/>
    <x v="1"/>
    <x v="4"/>
    <x v="2"/>
    <x v="3"/>
    <s v="CC-500"/>
    <n v="7301.08"/>
    <n v="9712.64"/>
    <n v="2411.5599999999995"/>
    <n v="0.3303018183611191"/>
    <s v="Overspend"/>
  </r>
  <r>
    <d v="2024-09-01T00:00:00"/>
    <x v="8"/>
    <x v="8"/>
    <s v="Sep-2024"/>
    <x v="1"/>
    <x v="4"/>
    <x v="3"/>
    <x v="0"/>
    <s v="CC-500"/>
    <n v="7498.15"/>
    <n v="7248.08"/>
    <n v="-250.06999999999971"/>
    <n v="-3.3350893220327645E-2"/>
    <s v="On Budget"/>
  </r>
  <r>
    <d v="2024-09-01T00:00:00"/>
    <x v="8"/>
    <x v="8"/>
    <s v="Sep-2024"/>
    <x v="1"/>
    <x v="4"/>
    <x v="3"/>
    <x v="1"/>
    <s v="CC-500"/>
    <n v="7142.78"/>
    <n v="6860.36"/>
    <n v="-282.42000000000007"/>
    <n v="-3.9539227023651868E-2"/>
    <s v="On Budget"/>
  </r>
  <r>
    <d v="2024-09-01T00:00:00"/>
    <x v="8"/>
    <x v="8"/>
    <s v="Sep-2024"/>
    <x v="1"/>
    <x v="4"/>
    <x v="3"/>
    <x v="2"/>
    <s v="CC-500"/>
    <n v="6940.32"/>
    <n v="6914.93"/>
    <n v="-25.389999999999418"/>
    <n v="-3.6583327569909485E-3"/>
    <s v="On Budget"/>
  </r>
  <r>
    <d v="2024-09-01T00:00:00"/>
    <x v="8"/>
    <x v="8"/>
    <s v="Sep-2024"/>
    <x v="1"/>
    <x v="4"/>
    <x v="3"/>
    <x v="3"/>
    <s v="CC-500"/>
    <n v="7757.67"/>
    <n v="8068.96"/>
    <n v="311.28999999999996"/>
    <n v="4.0126739085318136E-2"/>
    <s v="On Budget"/>
  </r>
  <r>
    <d v="2024-09-01T00:00:00"/>
    <x v="8"/>
    <x v="8"/>
    <s v="Sep-2024"/>
    <x v="1"/>
    <x v="4"/>
    <x v="4"/>
    <x v="0"/>
    <s v="CC-500"/>
    <n v="6372.38"/>
    <n v="6129.09"/>
    <n v="-243.28999999999996"/>
    <n v="-3.8178828004607375E-2"/>
    <s v="On Budget"/>
  </r>
  <r>
    <d v="2024-09-01T00:00:00"/>
    <x v="8"/>
    <x v="8"/>
    <s v="Sep-2024"/>
    <x v="1"/>
    <x v="4"/>
    <x v="4"/>
    <x v="1"/>
    <s v="CC-500"/>
    <n v="6102.51"/>
    <n v="6116.41"/>
    <n v="13.899999999999636"/>
    <n v="2.2777512859462148E-3"/>
    <s v="On Budget"/>
  </r>
  <r>
    <d v="2024-09-01T00:00:00"/>
    <x v="8"/>
    <x v="8"/>
    <s v="Sep-2024"/>
    <x v="1"/>
    <x v="4"/>
    <x v="4"/>
    <x v="2"/>
    <s v="CC-500"/>
    <n v="6144.53"/>
    <n v="5928.11"/>
    <n v="-216.42000000000007"/>
    <n v="-3.5221571055882236E-2"/>
    <s v="On Budget"/>
  </r>
  <r>
    <d v="2024-09-01T00:00:00"/>
    <x v="8"/>
    <x v="8"/>
    <s v="Sep-2024"/>
    <x v="1"/>
    <x v="4"/>
    <x v="4"/>
    <x v="3"/>
    <s v="CC-500"/>
    <n v="6444.19"/>
    <n v="6713.33"/>
    <n v="269.14000000000033"/>
    <n v="4.1764752435915195E-2"/>
    <s v="On Budget"/>
  </r>
  <r>
    <d v="2024-10-01T00:00:00"/>
    <x v="9"/>
    <x v="9"/>
    <s v="Oct-2024"/>
    <x v="1"/>
    <x v="0"/>
    <x v="0"/>
    <x v="0"/>
    <s v="CC-100"/>
    <n v="48911.07"/>
    <n v="56574.92"/>
    <n v="7663.8499999999985"/>
    <n v="0.15668947745367254"/>
    <s v="Overspend"/>
  </r>
  <r>
    <d v="2024-10-01T00:00:00"/>
    <x v="9"/>
    <x v="9"/>
    <s v="Oct-2024"/>
    <x v="1"/>
    <x v="0"/>
    <x v="0"/>
    <x v="1"/>
    <s v="CC-100"/>
    <n v="47781.7"/>
    <n v="52437.24"/>
    <n v="4655.5400000000009"/>
    <n v="9.7433536270162033E-2"/>
    <s v="Overspend"/>
  </r>
  <r>
    <d v="2024-10-01T00:00:00"/>
    <x v="9"/>
    <x v="9"/>
    <s v="Oct-2024"/>
    <x v="1"/>
    <x v="0"/>
    <x v="0"/>
    <x v="2"/>
    <s v="CC-100"/>
    <n v="46834.11"/>
    <n v="53331.92"/>
    <n v="6497.8099999999977"/>
    <n v="0.13874097319240181"/>
    <s v="Overspend"/>
  </r>
  <r>
    <d v="2024-10-01T00:00:00"/>
    <x v="9"/>
    <x v="9"/>
    <s v="Oct-2024"/>
    <x v="1"/>
    <x v="0"/>
    <x v="0"/>
    <x v="3"/>
    <s v="CC-100"/>
    <n v="50180.24"/>
    <n v="57194.59"/>
    <n v="7014.3499999999985"/>
    <n v="0.13978310984562844"/>
    <s v="Overspend"/>
  </r>
  <r>
    <d v="2024-10-01T00:00:00"/>
    <x v="9"/>
    <x v="9"/>
    <s v="Oct-2024"/>
    <x v="1"/>
    <x v="0"/>
    <x v="1"/>
    <x v="0"/>
    <s v="CC-100"/>
    <n v="18370.759999999998"/>
    <n v="21935.22"/>
    <n v="3564.4600000000028"/>
    <n v="0.19402898954643155"/>
    <s v="Overspend"/>
  </r>
  <r>
    <d v="2024-10-01T00:00:00"/>
    <x v="9"/>
    <x v="9"/>
    <s v="Oct-2024"/>
    <x v="1"/>
    <x v="0"/>
    <x v="1"/>
    <x v="1"/>
    <s v="CC-100"/>
    <n v="17779.080000000002"/>
    <n v="20382.2"/>
    <n v="2603.119999999999"/>
    <n v="0.14641477511772255"/>
    <s v="Overspend"/>
  </r>
  <r>
    <d v="2024-10-01T00:00:00"/>
    <x v="9"/>
    <x v="9"/>
    <s v="Oct-2024"/>
    <x v="1"/>
    <x v="0"/>
    <x v="1"/>
    <x v="2"/>
    <s v="CC-100"/>
    <n v="18652.36"/>
    <n v="21587.93"/>
    <n v="2935.5699999999997"/>
    <n v="0.15738330163046391"/>
    <s v="Overspend"/>
  </r>
  <r>
    <d v="2024-10-01T00:00:00"/>
    <x v="9"/>
    <x v="9"/>
    <s v="Oct-2024"/>
    <x v="1"/>
    <x v="0"/>
    <x v="1"/>
    <x v="3"/>
    <s v="CC-100"/>
    <n v="20024.330000000002"/>
    <n v="23853.06"/>
    <n v="3828.7299999999996"/>
    <n v="0.19120390045509633"/>
    <s v="Overspend"/>
  </r>
  <r>
    <d v="2024-10-01T00:00:00"/>
    <x v="9"/>
    <x v="9"/>
    <s v="Oct-2024"/>
    <x v="1"/>
    <x v="0"/>
    <x v="2"/>
    <x v="0"/>
    <s v="CC-100"/>
    <n v="10407.530000000001"/>
    <n v="11651.78"/>
    <n v="1244.25"/>
    <n v="0.11955286220649855"/>
    <s v="Overspend"/>
  </r>
  <r>
    <d v="2024-10-01T00:00:00"/>
    <x v="9"/>
    <x v="9"/>
    <s v="Oct-2024"/>
    <x v="1"/>
    <x v="0"/>
    <x v="2"/>
    <x v="1"/>
    <s v="CC-100"/>
    <n v="10049.120000000001"/>
    <n v="11802.3"/>
    <n v="1753.1799999999985"/>
    <n v="0.17446104733548792"/>
    <s v="Overspend"/>
  </r>
  <r>
    <d v="2024-10-01T00:00:00"/>
    <x v="9"/>
    <x v="9"/>
    <s v="Oct-2024"/>
    <x v="1"/>
    <x v="0"/>
    <x v="2"/>
    <x v="2"/>
    <s v="CC-100"/>
    <n v="10147.36"/>
    <n v="11448.84"/>
    <n v="1301.4799999999996"/>
    <n v="0.12825799025559353"/>
    <s v="Overspend"/>
  </r>
  <r>
    <d v="2024-10-01T00:00:00"/>
    <x v="9"/>
    <x v="9"/>
    <s v="Oct-2024"/>
    <x v="1"/>
    <x v="0"/>
    <x v="2"/>
    <x v="3"/>
    <s v="CC-100"/>
    <n v="10843.33"/>
    <n v="12713.66"/>
    <n v="1870.33"/>
    <n v="0.17248668075213056"/>
    <s v="Overspend"/>
  </r>
  <r>
    <d v="2024-10-01T00:00:00"/>
    <x v="9"/>
    <x v="9"/>
    <s v="Oct-2024"/>
    <x v="1"/>
    <x v="0"/>
    <x v="3"/>
    <x v="0"/>
    <s v="CC-100"/>
    <n v="8627.26"/>
    <n v="10116.540000000001"/>
    <n v="1489.2800000000007"/>
    <n v="0.17262491219692006"/>
    <s v="Overspend"/>
  </r>
  <r>
    <d v="2024-10-01T00:00:00"/>
    <x v="9"/>
    <x v="9"/>
    <s v="Oct-2024"/>
    <x v="1"/>
    <x v="0"/>
    <x v="3"/>
    <x v="1"/>
    <s v="CC-100"/>
    <n v="8327.27"/>
    <n v="9391.99"/>
    <n v="1064.7199999999993"/>
    <n v="0.12785943052164747"/>
    <s v="Overspend"/>
  </r>
  <r>
    <d v="2024-10-01T00:00:00"/>
    <x v="9"/>
    <x v="9"/>
    <s v="Oct-2024"/>
    <x v="1"/>
    <x v="0"/>
    <x v="3"/>
    <x v="2"/>
    <s v="CC-100"/>
    <n v="8498.35"/>
    <n v="9585.4699999999993"/>
    <n v="1087.119999999999"/>
    <n v="0.12792130237046001"/>
    <s v="Overspend"/>
  </r>
  <r>
    <d v="2024-10-01T00:00:00"/>
    <x v="9"/>
    <x v="9"/>
    <s v="Oct-2024"/>
    <x v="1"/>
    <x v="0"/>
    <x v="3"/>
    <x v="3"/>
    <s v="CC-100"/>
    <n v="9168.74"/>
    <n v="10363.07"/>
    <n v="1194.33"/>
    <n v="0.13026108276600709"/>
    <s v="Overspend"/>
  </r>
  <r>
    <d v="2024-10-01T00:00:00"/>
    <x v="9"/>
    <x v="9"/>
    <s v="Oct-2024"/>
    <x v="1"/>
    <x v="0"/>
    <x v="4"/>
    <x v="0"/>
    <s v="CC-100"/>
    <n v="9130.77"/>
    <n v="10813.45"/>
    <n v="1682.6800000000003"/>
    <n v="0.18428675785284265"/>
    <s v="Overspend"/>
  </r>
  <r>
    <d v="2024-10-01T00:00:00"/>
    <x v="9"/>
    <x v="9"/>
    <s v="Oct-2024"/>
    <x v="1"/>
    <x v="0"/>
    <x v="4"/>
    <x v="1"/>
    <s v="CC-100"/>
    <n v="8511.58"/>
    <n v="10220.86"/>
    <n v="1709.2800000000007"/>
    <n v="0.20081817946844188"/>
    <s v="Overspend"/>
  </r>
  <r>
    <d v="2024-10-01T00:00:00"/>
    <x v="9"/>
    <x v="9"/>
    <s v="Oct-2024"/>
    <x v="1"/>
    <x v="0"/>
    <x v="4"/>
    <x v="2"/>
    <s v="CC-100"/>
    <n v="8430.44"/>
    <n v="9365.85"/>
    <n v="935.40999999999985"/>
    <n v="0.11095624902140337"/>
    <s v="Overspend"/>
  </r>
  <r>
    <d v="2024-10-01T00:00:00"/>
    <x v="9"/>
    <x v="9"/>
    <s v="Oct-2024"/>
    <x v="1"/>
    <x v="0"/>
    <x v="4"/>
    <x v="3"/>
    <s v="CC-100"/>
    <n v="9191.5400000000009"/>
    <n v="10306.06"/>
    <n v="1114.5199999999986"/>
    <n v="0.12125498012302602"/>
    <s v="Overspend"/>
  </r>
  <r>
    <d v="2024-10-01T00:00:00"/>
    <x v="9"/>
    <x v="9"/>
    <s v="Oct-2024"/>
    <x v="1"/>
    <x v="1"/>
    <x v="0"/>
    <x v="0"/>
    <s v="CC-200"/>
    <n v="52830.32"/>
    <n v="46474.74"/>
    <n v="-6355.5800000000017"/>
    <n v="-0.12030175096421906"/>
    <s v="Underspend"/>
  </r>
  <r>
    <d v="2024-10-01T00:00:00"/>
    <x v="9"/>
    <x v="9"/>
    <s v="Oct-2024"/>
    <x v="1"/>
    <x v="1"/>
    <x v="0"/>
    <x v="1"/>
    <s v="CC-200"/>
    <n v="50199.07"/>
    <n v="45464.480000000003"/>
    <n v="-4734.5899999999965"/>
    <n v="-9.4316289126471789E-2"/>
    <s v="Underspend"/>
  </r>
  <r>
    <d v="2024-10-01T00:00:00"/>
    <x v="9"/>
    <x v="9"/>
    <s v="Oct-2024"/>
    <x v="1"/>
    <x v="1"/>
    <x v="0"/>
    <x v="2"/>
    <s v="CC-200"/>
    <n v="49767.66"/>
    <n v="43521.13"/>
    <n v="-6246.5300000000061"/>
    <n v="-0.12551383770102925"/>
    <s v="Underspend"/>
  </r>
  <r>
    <d v="2024-10-01T00:00:00"/>
    <x v="9"/>
    <x v="9"/>
    <s v="Oct-2024"/>
    <x v="1"/>
    <x v="1"/>
    <x v="0"/>
    <x v="3"/>
    <s v="CC-200"/>
    <n v="55639.94"/>
    <n v="48178.34"/>
    <n v="-7461.6000000000058"/>
    <n v="-0.13410510507380141"/>
    <s v="Underspend"/>
  </r>
  <r>
    <d v="2024-10-01T00:00:00"/>
    <x v="9"/>
    <x v="9"/>
    <s v="Oct-2024"/>
    <x v="1"/>
    <x v="1"/>
    <x v="1"/>
    <x v="0"/>
    <s v="CC-200"/>
    <n v="29340.720000000001"/>
    <n v="25350.18"/>
    <n v="-3990.5400000000009"/>
    <n v="-0.13600688735654751"/>
    <s v="Underspend"/>
  </r>
  <r>
    <d v="2024-10-01T00:00:00"/>
    <x v="9"/>
    <x v="9"/>
    <s v="Oct-2024"/>
    <x v="1"/>
    <x v="1"/>
    <x v="1"/>
    <x v="1"/>
    <s v="CC-200"/>
    <n v="26543.37"/>
    <n v="23135.5"/>
    <n v="-3407.869999999999"/>
    <n v="-0.1283887464176553"/>
    <s v="Underspend"/>
  </r>
  <r>
    <d v="2024-10-01T00:00:00"/>
    <x v="9"/>
    <x v="9"/>
    <s v="Oct-2024"/>
    <x v="1"/>
    <x v="1"/>
    <x v="1"/>
    <x v="2"/>
    <s v="CC-200"/>
    <n v="27690.83"/>
    <n v="24551.1"/>
    <n v="-3139.7300000000032"/>
    <n v="-0.11338518924857084"/>
    <s v="Underspend"/>
  </r>
  <r>
    <d v="2024-10-01T00:00:00"/>
    <x v="9"/>
    <x v="9"/>
    <s v="Oct-2024"/>
    <x v="1"/>
    <x v="1"/>
    <x v="1"/>
    <x v="3"/>
    <s v="CC-200"/>
    <n v="29544.82"/>
    <n v="26164.85"/>
    <n v="-3379.9700000000012"/>
    <n v="-0.11440144160634592"/>
    <s v="Underspend"/>
  </r>
  <r>
    <d v="2024-10-01T00:00:00"/>
    <x v="9"/>
    <x v="9"/>
    <s v="Oct-2024"/>
    <x v="1"/>
    <x v="1"/>
    <x v="2"/>
    <x v="0"/>
    <s v="CC-200"/>
    <n v="11331.23"/>
    <n v="9740.1200000000008"/>
    <n v="-1591.1099999999988"/>
    <n v="-0.14041811877439597"/>
    <s v="Underspend"/>
  </r>
  <r>
    <d v="2024-10-01T00:00:00"/>
    <x v="9"/>
    <x v="9"/>
    <s v="Oct-2024"/>
    <x v="1"/>
    <x v="1"/>
    <x v="2"/>
    <x v="1"/>
    <s v="CC-200"/>
    <n v="10318.89"/>
    <n v="9088.5"/>
    <n v="-1230.3899999999994"/>
    <n v="-0.11923666208284026"/>
    <s v="Underspend"/>
  </r>
  <r>
    <d v="2024-10-01T00:00:00"/>
    <x v="9"/>
    <x v="9"/>
    <s v="Oct-2024"/>
    <x v="1"/>
    <x v="1"/>
    <x v="2"/>
    <x v="2"/>
    <s v="CC-200"/>
    <n v="11009.9"/>
    <n v="9379.6"/>
    <n v="-1630.2999999999993"/>
    <n v="-0.14807582266868902"/>
    <s v="Underspend"/>
  </r>
  <r>
    <d v="2024-10-01T00:00:00"/>
    <x v="9"/>
    <x v="9"/>
    <s v="Oct-2024"/>
    <x v="1"/>
    <x v="1"/>
    <x v="2"/>
    <x v="3"/>
    <s v="CC-200"/>
    <n v="11756.77"/>
    <n v="10074.98"/>
    <n v="-1681.7900000000009"/>
    <n v="-0.14304864346244767"/>
    <s v="Underspend"/>
  </r>
  <r>
    <d v="2024-10-01T00:00:00"/>
    <x v="9"/>
    <x v="9"/>
    <s v="Oct-2024"/>
    <x v="1"/>
    <x v="1"/>
    <x v="3"/>
    <x v="0"/>
    <s v="CC-200"/>
    <n v="9231.25"/>
    <n v="8100"/>
    <n v="-1131.25"/>
    <n v="-0.12254570074475288"/>
    <s v="Underspend"/>
  </r>
  <r>
    <d v="2024-10-01T00:00:00"/>
    <x v="9"/>
    <x v="9"/>
    <s v="Oct-2024"/>
    <x v="1"/>
    <x v="1"/>
    <x v="3"/>
    <x v="1"/>
    <s v="CC-200"/>
    <n v="8560.84"/>
    <n v="7683.58"/>
    <n v="-877.26000000000022"/>
    <n v="-0.10247358904032784"/>
    <s v="Underspend"/>
  </r>
  <r>
    <d v="2024-10-01T00:00:00"/>
    <x v="9"/>
    <x v="9"/>
    <s v="Oct-2024"/>
    <x v="1"/>
    <x v="1"/>
    <x v="3"/>
    <x v="2"/>
    <s v="CC-200"/>
    <n v="8597.91"/>
    <n v="7379.29"/>
    <n v="-1218.6199999999999"/>
    <n v="-0.14173444476622807"/>
    <s v="Underspend"/>
  </r>
  <r>
    <d v="2024-10-01T00:00:00"/>
    <x v="9"/>
    <x v="9"/>
    <s v="Oct-2024"/>
    <x v="1"/>
    <x v="1"/>
    <x v="3"/>
    <x v="3"/>
    <s v="CC-200"/>
    <n v="9741.75"/>
    <n v="8348.09"/>
    <n v="-1393.6599999999999"/>
    <n v="-0.14306053840429078"/>
    <s v="Underspend"/>
  </r>
  <r>
    <d v="2024-10-01T00:00:00"/>
    <x v="9"/>
    <x v="9"/>
    <s v="Oct-2024"/>
    <x v="1"/>
    <x v="1"/>
    <x v="4"/>
    <x v="0"/>
    <s v="CC-200"/>
    <n v="7810.09"/>
    <n v="6641.08"/>
    <n v="-1169.0100000000002"/>
    <n v="-0.14967945311769779"/>
    <s v="Underspend"/>
  </r>
  <r>
    <d v="2024-10-01T00:00:00"/>
    <x v="9"/>
    <x v="9"/>
    <s v="Oct-2024"/>
    <x v="1"/>
    <x v="1"/>
    <x v="4"/>
    <x v="1"/>
    <s v="CC-200"/>
    <n v="7644.56"/>
    <n v="6706.39"/>
    <n v="-938.17000000000007"/>
    <n v="-0.12272387161589418"/>
    <s v="Underspend"/>
  </r>
  <r>
    <d v="2024-10-01T00:00:00"/>
    <x v="9"/>
    <x v="9"/>
    <s v="Oct-2024"/>
    <x v="1"/>
    <x v="1"/>
    <x v="4"/>
    <x v="2"/>
    <s v="CC-200"/>
    <n v="7553.41"/>
    <n v="6436.32"/>
    <n v="-1117.0900000000001"/>
    <n v="-0.14789214407797274"/>
    <s v="Underspend"/>
  </r>
  <r>
    <d v="2024-10-01T00:00:00"/>
    <x v="9"/>
    <x v="9"/>
    <s v="Oct-2024"/>
    <x v="1"/>
    <x v="1"/>
    <x v="4"/>
    <x v="3"/>
    <s v="CC-200"/>
    <n v="8149.45"/>
    <n v="7167.72"/>
    <n v="-981.72999999999956"/>
    <n v="-0.12046579830540706"/>
    <s v="Underspend"/>
  </r>
  <r>
    <d v="2024-10-01T00:00:00"/>
    <x v="9"/>
    <x v="9"/>
    <s v="Oct-2024"/>
    <x v="1"/>
    <x v="2"/>
    <x v="0"/>
    <x v="0"/>
    <s v="CC-300"/>
    <n v="46500.32"/>
    <n v="46180.959999999999"/>
    <n v="-319.36000000000058"/>
    <n v="-6.8679097262126492E-3"/>
    <s v="On Budget"/>
  </r>
  <r>
    <d v="2024-10-01T00:00:00"/>
    <x v="9"/>
    <x v="9"/>
    <s v="Oct-2024"/>
    <x v="1"/>
    <x v="2"/>
    <x v="0"/>
    <x v="1"/>
    <s v="CC-300"/>
    <n v="43272.22"/>
    <n v="42941"/>
    <n v="-331.22000000000116"/>
    <n v="-7.6543334268498629E-3"/>
    <s v="On Budget"/>
  </r>
  <r>
    <d v="2024-10-01T00:00:00"/>
    <x v="9"/>
    <x v="9"/>
    <s v="Oct-2024"/>
    <x v="1"/>
    <x v="2"/>
    <x v="0"/>
    <x v="2"/>
    <s v="CC-300"/>
    <n v="42878.51"/>
    <n v="43222.35"/>
    <n v="343.83999999999651"/>
    <n v="8.0189353594608704E-3"/>
    <s v="On Budget"/>
  </r>
  <r>
    <d v="2024-10-01T00:00:00"/>
    <x v="9"/>
    <x v="9"/>
    <s v="Oct-2024"/>
    <x v="1"/>
    <x v="2"/>
    <x v="0"/>
    <x v="3"/>
    <s v="CC-300"/>
    <n v="46572.21"/>
    <n v="47340.74"/>
    <n v="768.52999999999884"/>
    <n v="1.6501901026384595E-2"/>
    <s v="On Budget"/>
  </r>
  <r>
    <d v="2024-10-01T00:00:00"/>
    <x v="9"/>
    <x v="9"/>
    <s v="Oct-2024"/>
    <x v="1"/>
    <x v="2"/>
    <x v="1"/>
    <x v="0"/>
    <s v="CC-300"/>
    <n v="15767.82"/>
    <n v="15264.56"/>
    <n v="-503.26000000000022"/>
    <n v="-3.1916904175719928E-2"/>
    <s v="On Budget"/>
  </r>
  <r>
    <d v="2024-10-01T00:00:00"/>
    <x v="9"/>
    <x v="9"/>
    <s v="Oct-2024"/>
    <x v="1"/>
    <x v="2"/>
    <x v="1"/>
    <x v="1"/>
    <s v="CC-300"/>
    <n v="14597.58"/>
    <n v="14801.71"/>
    <n v="204.1299999999992"/>
    <n v="1.3983824716151526E-2"/>
    <s v="On Budget"/>
  </r>
  <r>
    <d v="2024-10-01T00:00:00"/>
    <x v="9"/>
    <x v="9"/>
    <s v="Oct-2024"/>
    <x v="1"/>
    <x v="2"/>
    <x v="1"/>
    <x v="2"/>
    <s v="CC-300"/>
    <n v="15340.58"/>
    <n v="15077.48"/>
    <n v="-263.10000000000036"/>
    <n v="-1.7150590134140976E-2"/>
    <s v="On Budget"/>
  </r>
  <r>
    <d v="2024-10-01T00:00:00"/>
    <x v="9"/>
    <x v="9"/>
    <s v="Oct-2024"/>
    <x v="1"/>
    <x v="2"/>
    <x v="1"/>
    <x v="3"/>
    <s v="CC-300"/>
    <n v="15910.97"/>
    <n v="15684.56"/>
    <n v="-226.40999999999985"/>
    <n v="-1.4229804971035698E-2"/>
    <s v="On Budget"/>
  </r>
  <r>
    <d v="2024-10-01T00:00:00"/>
    <x v="9"/>
    <x v="9"/>
    <s v="Oct-2024"/>
    <x v="1"/>
    <x v="2"/>
    <x v="2"/>
    <x v="0"/>
    <s v="CC-300"/>
    <n v="8659.9"/>
    <n v="8771.98"/>
    <n v="112.07999999999993"/>
    <n v="1.2942412729939137E-2"/>
    <s v="On Budget"/>
  </r>
  <r>
    <d v="2024-10-01T00:00:00"/>
    <x v="9"/>
    <x v="9"/>
    <s v="Oct-2024"/>
    <x v="1"/>
    <x v="2"/>
    <x v="2"/>
    <x v="1"/>
    <s v="CC-300"/>
    <n v="8271.0499999999993"/>
    <n v="8395.26"/>
    <n v="124.21000000000095"/>
    <n v="1.5017440349169809E-2"/>
    <s v="On Budget"/>
  </r>
  <r>
    <d v="2024-10-01T00:00:00"/>
    <x v="9"/>
    <x v="9"/>
    <s v="Oct-2024"/>
    <x v="1"/>
    <x v="2"/>
    <x v="2"/>
    <x v="2"/>
    <s v="CC-300"/>
    <n v="8539.9"/>
    <n v="8581.39"/>
    <n v="41.489999999999782"/>
    <n v="4.8583707069169172E-3"/>
    <s v="On Budget"/>
  </r>
  <r>
    <d v="2024-10-01T00:00:00"/>
    <x v="9"/>
    <x v="9"/>
    <s v="Oct-2024"/>
    <x v="1"/>
    <x v="2"/>
    <x v="2"/>
    <x v="3"/>
    <s v="CC-300"/>
    <n v="9087.35"/>
    <n v="9073.4699999999993"/>
    <n v="-13.880000000001019"/>
    <n v="-1.5273979763078364E-3"/>
    <s v="On Budget"/>
  </r>
  <r>
    <d v="2024-10-01T00:00:00"/>
    <x v="9"/>
    <x v="9"/>
    <s v="Oct-2024"/>
    <x v="1"/>
    <x v="2"/>
    <x v="3"/>
    <x v="0"/>
    <s v="CC-300"/>
    <n v="7074.55"/>
    <n v="7251.27"/>
    <n v="176.72000000000025"/>
    <n v="2.4979680686404118E-2"/>
    <s v="On Budget"/>
  </r>
  <r>
    <d v="2024-10-01T00:00:00"/>
    <x v="9"/>
    <x v="9"/>
    <s v="Oct-2024"/>
    <x v="1"/>
    <x v="2"/>
    <x v="3"/>
    <x v="1"/>
    <s v="CC-300"/>
    <n v="6940.35"/>
    <n v="7088.31"/>
    <n v="147.96000000000004"/>
    <n v="2.1318809570122547E-2"/>
    <s v="On Budget"/>
  </r>
  <r>
    <d v="2024-10-01T00:00:00"/>
    <x v="9"/>
    <x v="9"/>
    <s v="Oct-2024"/>
    <x v="1"/>
    <x v="2"/>
    <x v="3"/>
    <x v="2"/>
    <s v="CC-300"/>
    <n v="6994.93"/>
    <n v="6856.93"/>
    <n v="-138"/>
    <n v="-1.9728574839204965E-2"/>
    <s v="On Budget"/>
  </r>
  <r>
    <d v="2024-10-01T00:00:00"/>
    <x v="9"/>
    <x v="9"/>
    <s v="Oct-2024"/>
    <x v="1"/>
    <x v="2"/>
    <x v="3"/>
    <x v="3"/>
    <s v="CC-300"/>
    <n v="7266.88"/>
    <n v="7116.21"/>
    <n v="-150.67000000000007"/>
    <n v="-2.0733794971156821E-2"/>
    <s v="On Budget"/>
  </r>
  <r>
    <d v="2024-10-01T00:00:00"/>
    <x v="9"/>
    <x v="9"/>
    <s v="Oct-2024"/>
    <x v="1"/>
    <x v="2"/>
    <x v="4"/>
    <x v="0"/>
    <s v="CC-300"/>
    <n v="6217.33"/>
    <n v="6191.84"/>
    <n v="-25.489999999999782"/>
    <n v="-4.0998306346936358E-3"/>
    <s v="On Budget"/>
  </r>
  <r>
    <d v="2024-10-01T00:00:00"/>
    <x v="9"/>
    <x v="9"/>
    <s v="Oct-2024"/>
    <x v="1"/>
    <x v="2"/>
    <x v="4"/>
    <x v="1"/>
    <s v="CC-300"/>
    <n v="5856.17"/>
    <n v="5868.65"/>
    <n v="12.479999999999563"/>
    <n v="2.1310856754499208E-3"/>
    <s v="On Budget"/>
  </r>
  <r>
    <d v="2024-10-01T00:00:00"/>
    <x v="9"/>
    <x v="9"/>
    <s v="Oct-2024"/>
    <x v="1"/>
    <x v="2"/>
    <x v="4"/>
    <x v="2"/>
    <s v="CC-300"/>
    <n v="6084.33"/>
    <n v="5998.42"/>
    <n v="-85.909999999999854"/>
    <n v="-1.4119878441833341E-2"/>
    <s v="On Budget"/>
  </r>
  <r>
    <d v="2024-10-01T00:00:00"/>
    <x v="9"/>
    <x v="9"/>
    <s v="Oct-2024"/>
    <x v="1"/>
    <x v="2"/>
    <x v="4"/>
    <x v="3"/>
    <s v="CC-300"/>
    <n v="6232.57"/>
    <n v="6067.62"/>
    <n v="-164.94999999999982"/>
    <n v="-2.646580784491788E-2"/>
    <s v="On Budget"/>
  </r>
  <r>
    <d v="2024-10-01T00:00:00"/>
    <x v="9"/>
    <x v="9"/>
    <s v="Oct-2024"/>
    <x v="1"/>
    <x v="3"/>
    <x v="0"/>
    <x v="0"/>
    <s v="CC-400"/>
    <n v="53517.46"/>
    <n v="47765.01"/>
    <n v="-5752.4499999999971"/>
    <n v="-0.10748735085708472"/>
    <s v="Underspend"/>
  </r>
  <r>
    <d v="2024-10-01T00:00:00"/>
    <x v="9"/>
    <x v="9"/>
    <s v="Oct-2024"/>
    <x v="1"/>
    <x v="3"/>
    <x v="0"/>
    <x v="1"/>
    <s v="CC-400"/>
    <n v="51367.68"/>
    <n v="55767.8"/>
    <n v="4400.1200000000026"/>
    <n v="8.5659309511350382E-2"/>
    <s v="Overspend"/>
  </r>
  <r>
    <d v="2024-10-01T00:00:00"/>
    <x v="9"/>
    <x v="9"/>
    <s v="Oct-2024"/>
    <x v="1"/>
    <x v="3"/>
    <x v="0"/>
    <x v="2"/>
    <s v="CC-400"/>
    <n v="54683.02"/>
    <n v="50498.16"/>
    <n v="-4184.8599999999933"/>
    <n v="-7.6529423576093519E-2"/>
    <s v="Underspend"/>
  </r>
  <r>
    <d v="2024-10-01T00:00:00"/>
    <x v="9"/>
    <x v="9"/>
    <s v="Oct-2024"/>
    <x v="1"/>
    <x v="3"/>
    <x v="0"/>
    <x v="3"/>
    <s v="CC-400"/>
    <n v="55570.67"/>
    <n v="60214.45"/>
    <n v="4643.7799999999988"/>
    <n v="8.3565305223060993E-2"/>
    <s v="Overspend"/>
  </r>
  <r>
    <d v="2024-10-01T00:00:00"/>
    <x v="9"/>
    <x v="9"/>
    <s v="Oct-2024"/>
    <x v="1"/>
    <x v="3"/>
    <x v="1"/>
    <x v="0"/>
    <s v="CC-400"/>
    <n v="21007.49"/>
    <n v="18999.400000000001"/>
    <n v="-2008.0900000000001"/>
    <n v="-9.558923983779119E-2"/>
    <s v="Underspend"/>
  </r>
  <r>
    <d v="2024-10-01T00:00:00"/>
    <x v="9"/>
    <x v="9"/>
    <s v="Oct-2024"/>
    <x v="1"/>
    <x v="3"/>
    <x v="1"/>
    <x v="1"/>
    <s v="CC-400"/>
    <n v="19527.310000000001"/>
    <n v="19503.72"/>
    <n v="-23.590000000000146"/>
    <n v="-1.2080516978529119E-3"/>
    <s v="On Budget"/>
  </r>
  <r>
    <d v="2024-10-01T00:00:00"/>
    <x v="9"/>
    <x v="9"/>
    <s v="Oct-2024"/>
    <x v="1"/>
    <x v="3"/>
    <x v="1"/>
    <x v="2"/>
    <s v="CC-400"/>
    <n v="20071.990000000002"/>
    <n v="19093.77"/>
    <n v="-978.22000000000116"/>
    <n v="-4.8735576293132923E-2"/>
    <s v="On Budget"/>
  </r>
  <r>
    <d v="2024-10-01T00:00:00"/>
    <x v="9"/>
    <x v="9"/>
    <s v="Oct-2024"/>
    <x v="1"/>
    <x v="3"/>
    <x v="1"/>
    <x v="3"/>
    <s v="CC-400"/>
    <n v="21514.26"/>
    <n v="18495.330000000002"/>
    <n v="-3018.9299999999967"/>
    <n v="-0.14032227926965635"/>
    <s v="Underspend"/>
  </r>
  <r>
    <d v="2024-10-01T00:00:00"/>
    <x v="9"/>
    <x v="9"/>
    <s v="Oct-2024"/>
    <x v="1"/>
    <x v="3"/>
    <x v="2"/>
    <x v="0"/>
    <s v="CC-400"/>
    <n v="11464.56"/>
    <n v="13234.67"/>
    <n v="1770.1100000000006"/>
    <n v="0.1543984243616851"/>
    <s v="Overspend"/>
  </r>
  <r>
    <d v="2024-10-01T00:00:00"/>
    <x v="9"/>
    <x v="9"/>
    <s v="Oct-2024"/>
    <x v="1"/>
    <x v="3"/>
    <x v="2"/>
    <x v="1"/>
    <s v="CC-400"/>
    <n v="11292.65"/>
    <n v="10481.9"/>
    <n v="-810.75"/>
    <n v="-7.1794485793857069E-2"/>
    <s v="Underspend"/>
  </r>
  <r>
    <d v="2024-10-01T00:00:00"/>
    <x v="9"/>
    <x v="9"/>
    <s v="Oct-2024"/>
    <x v="1"/>
    <x v="3"/>
    <x v="2"/>
    <x v="2"/>
    <s v="CC-400"/>
    <n v="11587.94"/>
    <n v="10267.450000000001"/>
    <n v="-1320.4899999999998"/>
    <n v="-0.11395381750336986"/>
    <s v="Underspend"/>
  </r>
  <r>
    <d v="2024-10-01T00:00:00"/>
    <x v="9"/>
    <x v="9"/>
    <s v="Oct-2024"/>
    <x v="1"/>
    <x v="3"/>
    <x v="2"/>
    <x v="3"/>
    <s v="CC-400"/>
    <n v="12327.08"/>
    <n v="13662.21"/>
    <n v="1335.1299999999992"/>
    <n v="0.10830869922155119"/>
    <s v="Overspend"/>
  </r>
  <r>
    <d v="2024-10-01T00:00:00"/>
    <x v="9"/>
    <x v="9"/>
    <s v="Oct-2024"/>
    <x v="1"/>
    <x v="3"/>
    <x v="3"/>
    <x v="0"/>
    <s v="CC-400"/>
    <n v="12725.24"/>
    <n v="13885.27"/>
    <n v="1160.0300000000007"/>
    <n v="9.1159773803873301E-2"/>
    <s v="Overspend"/>
  </r>
  <r>
    <d v="2024-10-01T00:00:00"/>
    <x v="9"/>
    <x v="9"/>
    <s v="Oct-2024"/>
    <x v="1"/>
    <x v="3"/>
    <x v="3"/>
    <x v="1"/>
    <s v="CC-400"/>
    <n v="12303.73"/>
    <n v="10742.43"/>
    <n v="-1561.2999999999993"/>
    <n v="-0.1268964777348007"/>
    <s v="Underspend"/>
  </r>
  <r>
    <d v="2024-10-01T00:00:00"/>
    <x v="9"/>
    <x v="9"/>
    <s v="Oct-2024"/>
    <x v="1"/>
    <x v="3"/>
    <x v="3"/>
    <x v="2"/>
    <s v="CC-400"/>
    <n v="12418.34"/>
    <n v="12057.89"/>
    <n v="-360.45000000000073"/>
    <n v="-2.9025618560934933E-2"/>
    <s v="On Budget"/>
  </r>
  <r>
    <d v="2024-10-01T00:00:00"/>
    <x v="9"/>
    <x v="9"/>
    <s v="Oct-2024"/>
    <x v="1"/>
    <x v="3"/>
    <x v="3"/>
    <x v="3"/>
    <s v="CC-400"/>
    <n v="13201.49"/>
    <n v="11546.84"/>
    <n v="-1654.6499999999996"/>
    <n v="-0.12533812471168024"/>
    <s v="Underspend"/>
  </r>
  <r>
    <d v="2024-10-01T00:00:00"/>
    <x v="9"/>
    <x v="9"/>
    <s v="Oct-2024"/>
    <x v="1"/>
    <x v="3"/>
    <x v="4"/>
    <x v="0"/>
    <s v="CC-400"/>
    <n v="8473.65"/>
    <n v="8157.8"/>
    <n v="-315.84999999999945"/>
    <n v="-3.7274374089087875E-2"/>
    <s v="On Budget"/>
  </r>
  <r>
    <d v="2024-10-01T00:00:00"/>
    <x v="9"/>
    <x v="9"/>
    <s v="Oct-2024"/>
    <x v="1"/>
    <x v="3"/>
    <x v="4"/>
    <x v="1"/>
    <s v="CC-400"/>
    <n v="8096.57"/>
    <n v="8701.9"/>
    <n v="605.32999999999993"/>
    <n v="7.4763757986406582E-2"/>
    <s v="Overspend"/>
  </r>
  <r>
    <d v="2024-10-01T00:00:00"/>
    <x v="9"/>
    <x v="9"/>
    <s v="Oct-2024"/>
    <x v="1"/>
    <x v="3"/>
    <x v="4"/>
    <x v="2"/>
    <s v="CC-400"/>
    <n v="8036.27"/>
    <n v="7896.2"/>
    <n v="-140.07000000000062"/>
    <n v="-1.7429727970812405E-2"/>
    <s v="On Budget"/>
  </r>
  <r>
    <d v="2024-10-01T00:00:00"/>
    <x v="9"/>
    <x v="9"/>
    <s v="Oct-2024"/>
    <x v="1"/>
    <x v="3"/>
    <x v="4"/>
    <x v="3"/>
    <s v="CC-400"/>
    <n v="8824.44"/>
    <n v="9799.44"/>
    <n v="975"/>
    <n v="0.11048859757673007"/>
    <s v="Overspend"/>
  </r>
  <r>
    <d v="2024-10-01T00:00:00"/>
    <x v="9"/>
    <x v="9"/>
    <s v="Oct-2024"/>
    <x v="1"/>
    <x v="4"/>
    <x v="0"/>
    <x v="0"/>
    <s v="CC-500"/>
    <n v="43647.34"/>
    <n v="44991.22"/>
    <n v="1343.8800000000047"/>
    <n v="3.0789505156557186E-2"/>
    <s v="On Budget"/>
  </r>
  <r>
    <d v="2024-10-01T00:00:00"/>
    <x v="9"/>
    <x v="9"/>
    <s v="Oct-2024"/>
    <x v="1"/>
    <x v="4"/>
    <x v="0"/>
    <x v="1"/>
    <s v="CC-500"/>
    <n v="42830.18"/>
    <n v="41961.35"/>
    <n v="-868.83000000000175"/>
    <n v="-2.0285462260490189E-2"/>
    <s v="On Budget"/>
  </r>
  <r>
    <d v="2024-10-01T00:00:00"/>
    <x v="9"/>
    <x v="9"/>
    <s v="Oct-2024"/>
    <x v="1"/>
    <x v="4"/>
    <x v="0"/>
    <x v="2"/>
    <s v="CC-500"/>
    <n v="43592.89"/>
    <n v="43224.94"/>
    <n v="-367.94999999999709"/>
    <n v="-8.4405966202285992E-3"/>
    <s v="On Budget"/>
  </r>
  <r>
    <d v="2024-10-01T00:00:00"/>
    <x v="9"/>
    <x v="9"/>
    <s v="Oct-2024"/>
    <x v="1"/>
    <x v="4"/>
    <x v="0"/>
    <x v="3"/>
    <s v="CC-500"/>
    <n v="46750.33"/>
    <n v="45965.48"/>
    <n v="-784.84999999999854"/>
    <n v="-1.6788116789763805E-2"/>
    <s v="On Budget"/>
  </r>
  <r>
    <d v="2024-10-01T00:00:00"/>
    <x v="9"/>
    <x v="9"/>
    <s v="Oct-2024"/>
    <x v="1"/>
    <x v="4"/>
    <x v="1"/>
    <x v="0"/>
    <s v="CC-500"/>
    <n v="16806.509999999998"/>
    <n v="16758.54"/>
    <n v="-47.969999999997526"/>
    <n v="-2.8542511205477835E-3"/>
    <s v="On Budget"/>
  </r>
  <r>
    <d v="2024-10-01T00:00:00"/>
    <x v="9"/>
    <x v="9"/>
    <s v="Oct-2024"/>
    <x v="1"/>
    <x v="4"/>
    <x v="1"/>
    <x v="1"/>
    <s v="CC-500"/>
    <n v="15633.18"/>
    <n v="15654.33"/>
    <n v="21.149999999999636"/>
    <n v="1.3528917341193306E-3"/>
    <s v="On Budget"/>
  </r>
  <r>
    <d v="2024-10-01T00:00:00"/>
    <x v="9"/>
    <x v="9"/>
    <s v="Oct-2024"/>
    <x v="1"/>
    <x v="4"/>
    <x v="1"/>
    <x v="2"/>
    <s v="CC-500"/>
    <n v="15853.27"/>
    <n v="15836.32"/>
    <n v="-16.950000000000728"/>
    <n v="-1.0691800492895615E-3"/>
    <s v="On Budget"/>
  </r>
  <r>
    <d v="2024-10-01T00:00:00"/>
    <x v="9"/>
    <x v="9"/>
    <s v="Oct-2024"/>
    <x v="1"/>
    <x v="4"/>
    <x v="1"/>
    <x v="3"/>
    <s v="CC-500"/>
    <n v="17854.61"/>
    <n v="18139.02"/>
    <n v="284.40999999999985"/>
    <n v="1.5929219400479755E-2"/>
    <s v="On Budget"/>
  </r>
  <r>
    <d v="2024-10-01T00:00:00"/>
    <x v="9"/>
    <x v="9"/>
    <s v="Oct-2024"/>
    <x v="1"/>
    <x v="4"/>
    <x v="2"/>
    <x v="0"/>
    <s v="CC-500"/>
    <n v="6968.09"/>
    <n v="6926.24"/>
    <n v="-41.850000000000364"/>
    <n v="-6.0059499805542645E-3"/>
    <s v="On Budget"/>
  </r>
  <r>
    <d v="2024-10-01T00:00:00"/>
    <x v="9"/>
    <x v="9"/>
    <s v="Oct-2024"/>
    <x v="1"/>
    <x v="4"/>
    <x v="2"/>
    <x v="1"/>
    <s v="CC-500"/>
    <n v="6898.14"/>
    <n v="6934.72"/>
    <n v="36.579999999999927"/>
    <n v="5.3028787470245494E-3"/>
    <s v="On Budget"/>
  </r>
  <r>
    <d v="2024-10-01T00:00:00"/>
    <x v="9"/>
    <x v="9"/>
    <s v="Oct-2024"/>
    <x v="1"/>
    <x v="4"/>
    <x v="2"/>
    <x v="2"/>
    <s v="CC-500"/>
    <n v="6859.4"/>
    <n v="6608.21"/>
    <n v="-251.1899999999996"/>
    <n v="-3.6619820975595477E-2"/>
    <s v="On Budget"/>
  </r>
  <r>
    <d v="2024-10-01T00:00:00"/>
    <x v="9"/>
    <x v="9"/>
    <s v="Oct-2024"/>
    <x v="1"/>
    <x v="4"/>
    <x v="2"/>
    <x v="3"/>
    <s v="CC-500"/>
    <n v="7501.69"/>
    <n v="7435.92"/>
    <n v="-65.769999999999527"/>
    <n v="-8.7673577553857244E-3"/>
    <s v="On Budget"/>
  </r>
  <r>
    <d v="2024-10-01T00:00:00"/>
    <x v="9"/>
    <x v="9"/>
    <s v="Oct-2024"/>
    <x v="1"/>
    <x v="4"/>
    <x v="3"/>
    <x v="0"/>
    <s v="CC-500"/>
    <n v="7643.13"/>
    <n v="7387.73"/>
    <n v="-255.40000000000055"/>
    <n v="-3.3415629460705303E-2"/>
    <s v="On Budget"/>
  </r>
  <r>
    <d v="2024-10-01T00:00:00"/>
    <x v="9"/>
    <x v="9"/>
    <s v="Oct-2024"/>
    <x v="1"/>
    <x v="4"/>
    <x v="3"/>
    <x v="1"/>
    <s v="CC-500"/>
    <n v="7366.26"/>
    <n v="7188.03"/>
    <n v="-178.23000000000047"/>
    <n v="-2.4195453323667706E-2"/>
    <s v="On Budget"/>
  </r>
  <r>
    <d v="2024-10-01T00:00:00"/>
    <x v="9"/>
    <x v="9"/>
    <s v="Oct-2024"/>
    <x v="1"/>
    <x v="4"/>
    <x v="3"/>
    <x v="2"/>
    <s v="CC-500"/>
    <n v="7706.52"/>
    <n v="7409.36"/>
    <n v="-297.16000000000076"/>
    <n v="-3.8559557361818403E-2"/>
    <s v="On Budget"/>
  </r>
  <r>
    <d v="2024-10-01T00:00:00"/>
    <x v="9"/>
    <x v="9"/>
    <s v="Oct-2024"/>
    <x v="1"/>
    <x v="4"/>
    <x v="3"/>
    <x v="3"/>
    <s v="CC-500"/>
    <n v="8012.69"/>
    <n v="7750.6"/>
    <n v="-262.08999999999924"/>
    <n v="-3.2709364770133281E-2"/>
    <s v="On Budget"/>
  </r>
  <r>
    <d v="2024-10-01T00:00:00"/>
    <x v="9"/>
    <x v="9"/>
    <s v="Oct-2024"/>
    <x v="1"/>
    <x v="4"/>
    <x v="4"/>
    <x v="0"/>
    <s v="CC-500"/>
    <n v="6655.64"/>
    <n v="6383.2"/>
    <n v="-272.44000000000051"/>
    <n v="-4.0933704346989994E-2"/>
    <s v="On Budget"/>
  </r>
  <r>
    <d v="2024-10-01T00:00:00"/>
    <x v="9"/>
    <x v="9"/>
    <s v="Oct-2024"/>
    <x v="1"/>
    <x v="4"/>
    <x v="4"/>
    <x v="1"/>
    <s v="CC-500"/>
    <n v="6427.08"/>
    <n v="6322.29"/>
    <n v="-104.78999999999996"/>
    <n v="-1.6304449298904008E-2"/>
    <s v="On Budget"/>
  </r>
  <r>
    <d v="2024-10-01T00:00:00"/>
    <x v="9"/>
    <x v="9"/>
    <s v="Oct-2024"/>
    <x v="1"/>
    <x v="4"/>
    <x v="4"/>
    <x v="2"/>
    <s v="CC-500"/>
    <n v="6469.8"/>
    <n v="6721.33"/>
    <n v="251.52999999999975"/>
    <n v="3.8877554174781254E-2"/>
    <s v="On Budget"/>
  </r>
  <r>
    <d v="2024-10-01T00:00:00"/>
    <x v="9"/>
    <x v="9"/>
    <s v="Oct-2024"/>
    <x v="1"/>
    <x v="4"/>
    <x v="4"/>
    <x v="3"/>
    <s v="CC-500"/>
    <n v="7010.82"/>
    <n v="7091.43"/>
    <n v="80.610000000000582"/>
    <n v="1.1497941752890616E-2"/>
    <s v="On Budget"/>
  </r>
  <r>
    <d v="2024-11-01T00:00:00"/>
    <x v="10"/>
    <x v="10"/>
    <s v="Nov-2024"/>
    <x v="1"/>
    <x v="0"/>
    <x v="0"/>
    <x v="0"/>
    <s v="CC-100"/>
    <n v="49200.27"/>
    <n v="55893.760000000002"/>
    <n v="6693.4900000000052"/>
    <n v="0.13604579812265269"/>
    <s v="Overspend"/>
  </r>
  <r>
    <d v="2024-11-01T00:00:00"/>
    <x v="10"/>
    <x v="10"/>
    <s v="Nov-2024"/>
    <x v="1"/>
    <x v="0"/>
    <x v="0"/>
    <x v="1"/>
    <s v="CC-100"/>
    <n v="46064.91"/>
    <n v="52508"/>
    <n v="6443.0899999999965"/>
    <n v="0.13986980545495467"/>
    <s v="Overspend"/>
  </r>
  <r>
    <d v="2024-11-01T00:00:00"/>
    <x v="10"/>
    <x v="10"/>
    <s v="Nov-2024"/>
    <x v="1"/>
    <x v="0"/>
    <x v="0"/>
    <x v="2"/>
    <s v="CC-100"/>
    <n v="46731.75"/>
    <n v="52956.12"/>
    <n v="6224.3700000000026"/>
    <n v="0.13319359964050143"/>
    <s v="Overspend"/>
  </r>
  <r>
    <d v="2024-11-01T00:00:00"/>
    <x v="10"/>
    <x v="10"/>
    <s v="Nov-2024"/>
    <x v="1"/>
    <x v="0"/>
    <x v="0"/>
    <x v="3"/>
    <s v="CC-100"/>
    <n v="51680.02"/>
    <n v="61066.39"/>
    <n v="9386.3700000000026"/>
    <n v="0.18162473621333744"/>
    <s v="Overspend"/>
  </r>
  <r>
    <d v="2024-11-01T00:00:00"/>
    <x v="10"/>
    <x v="10"/>
    <s v="Nov-2024"/>
    <x v="1"/>
    <x v="0"/>
    <x v="1"/>
    <x v="0"/>
    <s v="CC-100"/>
    <n v="19264.18"/>
    <n v="22541.58"/>
    <n v="3277.4000000000015"/>
    <n v="0.17012922429088606"/>
    <s v="Overspend"/>
  </r>
  <r>
    <d v="2024-11-01T00:00:00"/>
    <x v="10"/>
    <x v="10"/>
    <s v="Nov-2024"/>
    <x v="1"/>
    <x v="0"/>
    <x v="1"/>
    <x v="1"/>
    <s v="CC-100"/>
    <n v="18461.39"/>
    <n v="20374.14"/>
    <n v="1912.75"/>
    <n v="0.10360812484867066"/>
    <s v="Overspend"/>
  </r>
  <r>
    <d v="2024-11-01T00:00:00"/>
    <x v="10"/>
    <x v="10"/>
    <s v="Nov-2024"/>
    <x v="1"/>
    <x v="0"/>
    <x v="1"/>
    <x v="2"/>
    <s v="CC-100"/>
    <n v="18635.419999999998"/>
    <n v="21159.09"/>
    <n v="2523.6700000000019"/>
    <n v="0.13542329606738149"/>
    <s v="Overspend"/>
  </r>
  <r>
    <d v="2024-11-01T00:00:00"/>
    <x v="10"/>
    <x v="10"/>
    <s v="Nov-2024"/>
    <x v="1"/>
    <x v="0"/>
    <x v="1"/>
    <x v="3"/>
    <s v="CC-100"/>
    <n v="19433.87"/>
    <n v="21283.74"/>
    <n v="1849.8700000000026"/>
    <n v="9.5187937348557072E-2"/>
    <s v="Overspend"/>
  </r>
  <r>
    <d v="2024-11-01T00:00:00"/>
    <x v="10"/>
    <x v="10"/>
    <s v="Nov-2024"/>
    <x v="1"/>
    <x v="0"/>
    <x v="2"/>
    <x v="0"/>
    <s v="CC-100"/>
    <n v="10352.75"/>
    <n v="11515.39"/>
    <n v="1162.6399999999994"/>
    <n v="0.11230252831373301"/>
    <s v="Overspend"/>
  </r>
  <r>
    <d v="2024-11-01T00:00:00"/>
    <x v="10"/>
    <x v="10"/>
    <s v="Nov-2024"/>
    <x v="1"/>
    <x v="0"/>
    <x v="2"/>
    <x v="1"/>
    <s v="CC-100"/>
    <n v="10111.26"/>
    <n v="11627.38"/>
    <n v="1516.119999999999"/>
    <n v="0.14994372610337375"/>
    <s v="Overspend"/>
  </r>
  <r>
    <d v="2024-11-01T00:00:00"/>
    <x v="10"/>
    <x v="10"/>
    <s v="Nov-2024"/>
    <x v="1"/>
    <x v="0"/>
    <x v="2"/>
    <x v="2"/>
    <s v="CC-100"/>
    <n v="10002.98"/>
    <n v="11336.89"/>
    <n v="1333.9099999999999"/>
    <n v="0.13335126132412539"/>
    <s v="Overspend"/>
  </r>
  <r>
    <d v="2024-11-01T00:00:00"/>
    <x v="10"/>
    <x v="10"/>
    <s v="Nov-2024"/>
    <x v="1"/>
    <x v="0"/>
    <x v="2"/>
    <x v="3"/>
    <s v="CC-100"/>
    <n v="11293.88"/>
    <n v="12810.19"/>
    <n v="1516.3100000000013"/>
    <n v="0.13425943962570891"/>
    <s v="Overspend"/>
  </r>
  <r>
    <d v="2024-11-01T00:00:00"/>
    <x v="10"/>
    <x v="10"/>
    <s v="Nov-2024"/>
    <x v="1"/>
    <x v="0"/>
    <x v="3"/>
    <x v="0"/>
    <s v="CC-100"/>
    <n v="8820.7000000000007"/>
    <n v="10465.450000000001"/>
    <n v="1644.75"/>
    <n v="0.18646479304363597"/>
    <s v="Overspend"/>
  </r>
  <r>
    <d v="2024-11-01T00:00:00"/>
    <x v="10"/>
    <x v="10"/>
    <s v="Nov-2024"/>
    <x v="1"/>
    <x v="0"/>
    <x v="3"/>
    <x v="1"/>
    <s v="CC-100"/>
    <n v="8117.78"/>
    <n v="8981.58"/>
    <n v="863.80000000000018"/>
    <n v="0.10640840229717979"/>
    <s v="Overspend"/>
  </r>
  <r>
    <d v="2024-11-01T00:00:00"/>
    <x v="10"/>
    <x v="10"/>
    <s v="Nov-2024"/>
    <x v="1"/>
    <x v="0"/>
    <x v="3"/>
    <x v="2"/>
    <s v="CC-100"/>
    <n v="8619.89"/>
    <n v="10029.42"/>
    <n v="1409.5300000000007"/>
    <n v="0.16352064817532483"/>
    <s v="Overspend"/>
  </r>
  <r>
    <d v="2024-11-01T00:00:00"/>
    <x v="10"/>
    <x v="10"/>
    <s v="Nov-2024"/>
    <x v="1"/>
    <x v="0"/>
    <x v="3"/>
    <x v="3"/>
    <s v="CC-100"/>
    <n v="9079.08"/>
    <n v="10737.24"/>
    <n v="1658.1599999999999"/>
    <n v="0.18263524498076897"/>
    <s v="Overspend"/>
  </r>
  <r>
    <d v="2024-11-01T00:00:00"/>
    <x v="10"/>
    <x v="10"/>
    <s v="Nov-2024"/>
    <x v="1"/>
    <x v="0"/>
    <x v="4"/>
    <x v="0"/>
    <s v="CC-100"/>
    <n v="9083.9599999999991"/>
    <n v="10317.01"/>
    <n v="1233.0500000000011"/>
    <n v="0.13573925908964826"/>
    <s v="Overspend"/>
  </r>
  <r>
    <d v="2024-11-01T00:00:00"/>
    <x v="10"/>
    <x v="10"/>
    <s v="Nov-2024"/>
    <x v="1"/>
    <x v="0"/>
    <x v="4"/>
    <x v="1"/>
    <s v="CC-100"/>
    <n v="8522.52"/>
    <n v="9864.0400000000009"/>
    <n v="1341.5200000000004"/>
    <n v="0.15740884151635906"/>
    <s v="Overspend"/>
  </r>
  <r>
    <d v="2024-11-01T00:00:00"/>
    <x v="10"/>
    <x v="10"/>
    <s v="Nov-2024"/>
    <x v="1"/>
    <x v="0"/>
    <x v="4"/>
    <x v="2"/>
    <s v="CC-100"/>
    <n v="8661.8700000000008"/>
    <n v="9840.9699999999993"/>
    <n v="1179.0999999999985"/>
    <n v="0.13612534014017741"/>
    <s v="Overspend"/>
  </r>
  <r>
    <d v="2024-11-01T00:00:00"/>
    <x v="10"/>
    <x v="10"/>
    <s v="Nov-2024"/>
    <x v="1"/>
    <x v="0"/>
    <x v="4"/>
    <x v="3"/>
    <s v="CC-100"/>
    <n v="9285.73"/>
    <n v="10590.87"/>
    <n v="1305.1400000000012"/>
    <n v="0.1405533006021068"/>
    <s v="Overspend"/>
  </r>
  <r>
    <d v="2024-11-01T00:00:00"/>
    <x v="10"/>
    <x v="10"/>
    <s v="Nov-2024"/>
    <x v="1"/>
    <x v="1"/>
    <x v="0"/>
    <x v="0"/>
    <s v="CC-200"/>
    <n v="51795.61"/>
    <n v="45126.44"/>
    <n v="-6669.1699999999983"/>
    <n v="-0.12875936783059411"/>
    <s v="Underspend"/>
  </r>
  <r>
    <d v="2024-11-01T00:00:00"/>
    <x v="10"/>
    <x v="10"/>
    <s v="Nov-2024"/>
    <x v="1"/>
    <x v="1"/>
    <x v="0"/>
    <x v="1"/>
    <s v="CC-200"/>
    <n v="48328.78"/>
    <n v="42667.33"/>
    <n v="-5661.4499999999971"/>
    <n v="-0.11714448409415668"/>
    <s v="Underspend"/>
  </r>
  <r>
    <d v="2024-11-01T00:00:00"/>
    <x v="10"/>
    <x v="10"/>
    <s v="Nov-2024"/>
    <x v="1"/>
    <x v="1"/>
    <x v="0"/>
    <x v="2"/>
    <s v="CC-200"/>
    <n v="50506.91"/>
    <n v="44978.36"/>
    <n v="-5528.5500000000029"/>
    <n v="-0.1094612598553347"/>
    <s v="Underspend"/>
  </r>
  <r>
    <d v="2024-11-01T00:00:00"/>
    <x v="10"/>
    <x v="10"/>
    <s v="Nov-2024"/>
    <x v="1"/>
    <x v="1"/>
    <x v="0"/>
    <x v="3"/>
    <s v="CC-200"/>
    <n v="55321.07"/>
    <n v="47893.38"/>
    <n v="-7427.6900000000023"/>
    <n v="-0.13426511815480074"/>
    <s v="Underspend"/>
  </r>
  <r>
    <d v="2024-11-01T00:00:00"/>
    <x v="10"/>
    <x v="10"/>
    <s v="Nov-2024"/>
    <x v="1"/>
    <x v="1"/>
    <x v="1"/>
    <x v="0"/>
    <s v="CC-200"/>
    <n v="29187.85"/>
    <n v="25726.39"/>
    <n v="-3461.4599999999991"/>
    <n v="-0.11859249653537343"/>
    <s v="Underspend"/>
  </r>
  <r>
    <d v="2024-11-01T00:00:00"/>
    <x v="10"/>
    <x v="10"/>
    <s v="Nov-2024"/>
    <x v="1"/>
    <x v="1"/>
    <x v="1"/>
    <x v="1"/>
    <s v="CC-200"/>
    <n v="27509.69"/>
    <n v="24294.52"/>
    <n v="-3215.1699999999983"/>
    <n v="-0.11687409054773058"/>
    <s v="Underspend"/>
  </r>
  <r>
    <d v="2024-11-01T00:00:00"/>
    <x v="10"/>
    <x v="10"/>
    <s v="Nov-2024"/>
    <x v="1"/>
    <x v="1"/>
    <x v="1"/>
    <x v="2"/>
    <s v="CC-200"/>
    <n v="28071.43"/>
    <n v="24037.95"/>
    <n v="-4033.4799999999996"/>
    <n v="-0.1436863031202899"/>
    <s v="Underspend"/>
  </r>
  <r>
    <d v="2024-11-01T00:00:00"/>
    <x v="10"/>
    <x v="10"/>
    <s v="Nov-2024"/>
    <x v="1"/>
    <x v="1"/>
    <x v="1"/>
    <x v="3"/>
    <s v="CC-200"/>
    <n v="30230.92"/>
    <n v="26377.91"/>
    <n v="-3853.0099999999984"/>
    <n v="-0.12745262135588326"/>
    <s v="Underspend"/>
  </r>
  <r>
    <d v="2024-11-01T00:00:00"/>
    <x v="10"/>
    <x v="10"/>
    <s v="Nov-2024"/>
    <x v="1"/>
    <x v="1"/>
    <x v="2"/>
    <x v="0"/>
    <s v="CC-200"/>
    <n v="11437.32"/>
    <n v="10169.02"/>
    <n v="-1268.2999999999993"/>
    <n v="-0.11089136266188226"/>
    <s v="Underspend"/>
  </r>
  <r>
    <d v="2024-11-01T00:00:00"/>
    <x v="10"/>
    <x v="10"/>
    <s v="Nov-2024"/>
    <x v="1"/>
    <x v="1"/>
    <x v="2"/>
    <x v="1"/>
    <s v="CC-200"/>
    <n v="10923.65"/>
    <n v="9571.7099999999991"/>
    <n v="-1351.9400000000005"/>
    <n v="-0.12376266174767596"/>
    <s v="Underspend"/>
  </r>
  <r>
    <d v="2024-11-01T00:00:00"/>
    <x v="10"/>
    <x v="10"/>
    <s v="Nov-2024"/>
    <x v="1"/>
    <x v="1"/>
    <x v="2"/>
    <x v="2"/>
    <s v="CC-200"/>
    <n v="10637.26"/>
    <n v="9163.9"/>
    <n v="-1473.3600000000006"/>
    <n v="-0.13850935297247605"/>
    <s v="Underspend"/>
  </r>
  <r>
    <d v="2024-11-01T00:00:00"/>
    <x v="10"/>
    <x v="10"/>
    <s v="Nov-2024"/>
    <x v="1"/>
    <x v="1"/>
    <x v="2"/>
    <x v="3"/>
    <s v="CC-200"/>
    <n v="11338.58"/>
    <n v="9861.2099999999991"/>
    <n v="-1477.3700000000008"/>
    <n v="-0.13029585715318856"/>
    <s v="Underspend"/>
  </r>
  <r>
    <d v="2024-11-01T00:00:00"/>
    <x v="10"/>
    <x v="10"/>
    <s v="Nov-2024"/>
    <x v="1"/>
    <x v="1"/>
    <x v="3"/>
    <x v="0"/>
    <s v="CC-200"/>
    <n v="9203.1"/>
    <n v="7850.54"/>
    <n v="-1352.5600000000004"/>
    <n v="-0.14696786952222624"/>
    <s v="Underspend"/>
  </r>
  <r>
    <d v="2024-11-01T00:00:00"/>
    <x v="10"/>
    <x v="10"/>
    <s v="Nov-2024"/>
    <x v="1"/>
    <x v="1"/>
    <x v="3"/>
    <x v="1"/>
    <s v="CC-200"/>
    <n v="8930.9"/>
    <n v="7954.03"/>
    <n v="-976.86999999999989"/>
    <n v="-0.10938091345777021"/>
    <s v="Underspend"/>
  </r>
  <r>
    <d v="2024-11-01T00:00:00"/>
    <x v="10"/>
    <x v="10"/>
    <s v="Nov-2024"/>
    <x v="1"/>
    <x v="1"/>
    <x v="3"/>
    <x v="2"/>
    <s v="CC-200"/>
    <n v="8858.31"/>
    <n v="7555.58"/>
    <n v="-1302.7299999999996"/>
    <n v="-0.14706304024131009"/>
    <s v="Underspend"/>
  </r>
  <r>
    <d v="2024-11-01T00:00:00"/>
    <x v="10"/>
    <x v="10"/>
    <s v="Nov-2024"/>
    <x v="1"/>
    <x v="1"/>
    <x v="3"/>
    <x v="3"/>
    <s v="CC-200"/>
    <n v="9517.34"/>
    <n v="8155.36"/>
    <n v="-1361.9800000000005"/>
    <n v="-0.14310511130210757"/>
    <s v="Underspend"/>
  </r>
  <r>
    <d v="2024-11-01T00:00:00"/>
    <x v="10"/>
    <x v="10"/>
    <s v="Nov-2024"/>
    <x v="1"/>
    <x v="1"/>
    <x v="4"/>
    <x v="0"/>
    <s v="CC-200"/>
    <n v="7881.7"/>
    <n v="6992.07"/>
    <n v="-889.63000000000011"/>
    <n v="-0.11287285737848435"/>
    <s v="Underspend"/>
  </r>
  <r>
    <d v="2024-11-01T00:00:00"/>
    <x v="10"/>
    <x v="10"/>
    <s v="Nov-2024"/>
    <x v="1"/>
    <x v="1"/>
    <x v="4"/>
    <x v="1"/>
    <s v="CC-200"/>
    <n v="7498.39"/>
    <n v="6531.47"/>
    <n v="-966.92000000000007"/>
    <n v="-0.12895034800803906"/>
    <s v="Underspend"/>
  </r>
  <r>
    <d v="2024-11-01T00:00:00"/>
    <x v="10"/>
    <x v="10"/>
    <s v="Nov-2024"/>
    <x v="1"/>
    <x v="1"/>
    <x v="4"/>
    <x v="2"/>
    <s v="CC-200"/>
    <n v="7552.19"/>
    <n v="6423.1"/>
    <n v="-1129.0899999999992"/>
    <n v="-0.1495049780262413"/>
    <s v="Underspend"/>
  </r>
  <r>
    <d v="2024-11-01T00:00:00"/>
    <x v="10"/>
    <x v="10"/>
    <s v="Nov-2024"/>
    <x v="1"/>
    <x v="1"/>
    <x v="4"/>
    <x v="3"/>
    <s v="CC-200"/>
    <n v="8195.69"/>
    <n v="7427.64"/>
    <n v="-768.05000000000018"/>
    <n v="-9.3713891081775927E-2"/>
    <s v="Underspend"/>
  </r>
  <r>
    <d v="2024-11-01T00:00:00"/>
    <x v="10"/>
    <x v="10"/>
    <s v="Nov-2024"/>
    <x v="1"/>
    <x v="2"/>
    <x v="0"/>
    <x v="0"/>
    <s v="CC-300"/>
    <n v="46107.58"/>
    <n v="47676.33"/>
    <n v="1568.75"/>
    <n v="3.4023689814126006E-2"/>
    <s v="On Budget"/>
  </r>
  <r>
    <d v="2024-11-01T00:00:00"/>
    <x v="10"/>
    <x v="10"/>
    <s v="Nov-2024"/>
    <x v="1"/>
    <x v="2"/>
    <x v="0"/>
    <x v="1"/>
    <s v="CC-300"/>
    <n v="42925.7"/>
    <n v="42823.42"/>
    <n v="-102.27999999999884"/>
    <n v="-2.3827217727375172E-3"/>
    <s v="On Budget"/>
  </r>
  <r>
    <d v="2024-11-01T00:00:00"/>
    <x v="10"/>
    <x v="10"/>
    <s v="Nov-2024"/>
    <x v="1"/>
    <x v="2"/>
    <x v="0"/>
    <x v="2"/>
    <s v="CC-300"/>
    <n v="43489.74"/>
    <n v="43016.5"/>
    <n v="-473.23999999999796"/>
    <n v="-1.088164702755174E-2"/>
    <s v="On Budget"/>
  </r>
  <r>
    <d v="2024-11-01T00:00:00"/>
    <x v="10"/>
    <x v="10"/>
    <s v="Nov-2024"/>
    <x v="1"/>
    <x v="2"/>
    <x v="0"/>
    <x v="3"/>
    <s v="CC-300"/>
    <n v="48611.99"/>
    <n v="49928.3"/>
    <n v="1316.3100000000049"/>
    <n v="2.7077887574649896E-2"/>
    <s v="On Budget"/>
  </r>
  <r>
    <d v="2024-11-01T00:00:00"/>
    <x v="10"/>
    <x v="10"/>
    <s v="Nov-2024"/>
    <x v="1"/>
    <x v="2"/>
    <x v="1"/>
    <x v="0"/>
    <s v="CC-300"/>
    <n v="15689.47"/>
    <n v="15490.16"/>
    <n v="-199.30999999999949"/>
    <n v="-1.270342465360522E-2"/>
    <s v="On Budget"/>
  </r>
  <r>
    <d v="2024-11-01T00:00:00"/>
    <x v="10"/>
    <x v="10"/>
    <s v="Nov-2024"/>
    <x v="1"/>
    <x v="2"/>
    <x v="1"/>
    <x v="1"/>
    <s v="CC-300"/>
    <n v="14598.52"/>
    <n v="14315.58"/>
    <n v="-282.94000000000051"/>
    <n v="-1.9381416746355143E-2"/>
    <s v="On Budget"/>
  </r>
  <r>
    <d v="2024-11-01T00:00:00"/>
    <x v="10"/>
    <x v="10"/>
    <s v="Nov-2024"/>
    <x v="1"/>
    <x v="2"/>
    <x v="1"/>
    <x v="2"/>
    <s v="CC-300"/>
    <n v="14786.42"/>
    <n v="14360.88"/>
    <n v="-425.54000000000087"/>
    <n v="-2.8779109480185257E-2"/>
    <s v="On Budget"/>
  </r>
  <r>
    <d v="2024-11-01T00:00:00"/>
    <x v="10"/>
    <x v="10"/>
    <s v="Nov-2024"/>
    <x v="1"/>
    <x v="2"/>
    <x v="1"/>
    <x v="3"/>
    <s v="CC-300"/>
    <n v="16488.580000000002"/>
    <n v="16021.88"/>
    <n v="-466.70000000000255"/>
    <n v="-2.8304438587192015E-2"/>
    <s v="On Budget"/>
  </r>
  <r>
    <d v="2024-11-01T00:00:00"/>
    <x v="10"/>
    <x v="10"/>
    <s v="Nov-2024"/>
    <x v="1"/>
    <x v="2"/>
    <x v="2"/>
    <x v="0"/>
    <s v="CC-300"/>
    <n v="8730.7900000000009"/>
    <n v="8657.6200000000008"/>
    <n v="-73.170000000000073"/>
    <n v="-8.3806849093839234E-3"/>
    <s v="On Budget"/>
  </r>
  <r>
    <d v="2024-11-01T00:00:00"/>
    <x v="10"/>
    <x v="10"/>
    <s v="Nov-2024"/>
    <x v="1"/>
    <x v="2"/>
    <x v="2"/>
    <x v="1"/>
    <s v="CC-300"/>
    <n v="8065.63"/>
    <n v="8147.86"/>
    <n v="82.229999999999563"/>
    <n v="1.0195111851151064E-2"/>
    <s v="On Budget"/>
  </r>
  <r>
    <d v="2024-11-01T00:00:00"/>
    <x v="10"/>
    <x v="10"/>
    <s v="Nov-2024"/>
    <x v="1"/>
    <x v="2"/>
    <x v="2"/>
    <x v="2"/>
    <s v="CC-300"/>
    <n v="8553.93"/>
    <n v="8577.7800000000007"/>
    <n v="23.850000000000364"/>
    <n v="2.7881920941602704E-3"/>
    <s v="On Budget"/>
  </r>
  <r>
    <d v="2024-11-01T00:00:00"/>
    <x v="10"/>
    <x v="10"/>
    <s v="Nov-2024"/>
    <x v="1"/>
    <x v="2"/>
    <x v="2"/>
    <x v="3"/>
    <s v="CC-300"/>
    <n v="8972.98"/>
    <n v="8825.7099999999991"/>
    <n v="-147.27000000000044"/>
    <n v="-1.6412607628680822E-2"/>
    <s v="On Budget"/>
  </r>
  <r>
    <d v="2024-11-01T00:00:00"/>
    <x v="10"/>
    <x v="10"/>
    <s v="Nov-2024"/>
    <x v="1"/>
    <x v="2"/>
    <x v="3"/>
    <x v="0"/>
    <s v="CC-300"/>
    <n v="6915.58"/>
    <n v="6868.66"/>
    <n v="-46.920000000000073"/>
    <n v="-6.7846803883405398E-3"/>
    <s v="On Budget"/>
  </r>
  <r>
    <d v="2024-11-01T00:00:00"/>
    <x v="10"/>
    <x v="10"/>
    <s v="Nov-2024"/>
    <x v="1"/>
    <x v="2"/>
    <x v="3"/>
    <x v="1"/>
    <s v="CC-300"/>
    <n v="6613.46"/>
    <n v="6459.61"/>
    <n v="-153.85000000000036"/>
    <n v="-2.3263163306348016E-2"/>
    <s v="On Budget"/>
  </r>
  <r>
    <d v="2024-11-01T00:00:00"/>
    <x v="10"/>
    <x v="10"/>
    <s v="Nov-2024"/>
    <x v="1"/>
    <x v="2"/>
    <x v="3"/>
    <x v="2"/>
    <s v="CC-300"/>
    <n v="6868.29"/>
    <n v="7053.83"/>
    <n v="185.53999999999996"/>
    <n v="2.7014002029617266E-2"/>
    <s v="On Budget"/>
  </r>
  <r>
    <d v="2024-11-01T00:00:00"/>
    <x v="10"/>
    <x v="10"/>
    <s v="Nov-2024"/>
    <x v="1"/>
    <x v="2"/>
    <x v="3"/>
    <x v="3"/>
    <s v="CC-300"/>
    <n v="7597.19"/>
    <n v="7527.62"/>
    <n v="-69.569999999999709"/>
    <n v="-9.1573331718700877E-3"/>
    <s v="On Budget"/>
  </r>
  <r>
    <d v="2024-11-01T00:00:00"/>
    <x v="10"/>
    <x v="10"/>
    <s v="Nov-2024"/>
    <x v="1"/>
    <x v="2"/>
    <x v="4"/>
    <x v="0"/>
    <s v="CC-300"/>
    <n v="6140.9"/>
    <n v="6203.27"/>
    <n v="62.3700000000008"/>
    <n v="1.0156491719454933E-2"/>
    <s v="On Budget"/>
  </r>
  <r>
    <d v="2024-11-01T00:00:00"/>
    <x v="10"/>
    <x v="10"/>
    <s v="Nov-2024"/>
    <x v="1"/>
    <x v="2"/>
    <x v="4"/>
    <x v="1"/>
    <s v="CC-300"/>
    <n v="5742.89"/>
    <n v="5560.13"/>
    <n v="-182.76000000000022"/>
    <n v="-3.1823698521127902E-2"/>
    <s v="On Budget"/>
  </r>
  <r>
    <d v="2024-11-01T00:00:00"/>
    <x v="10"/>
    <x v="10"/>
    <s v="Nov-2024"/>
    <x v="1"/>
    <x v="2"/>
    <x v="4"/>
    <x v="2"/>
    <s v="CC-300"/>
    <n v="5800.61"/>
    <n v="5718.05"/>
    <n v="-82.559999999999491"/>
    <n v="-1.4232985841144206E-2"/>
    <s v="On Budget"/>
  </r>
  <r>
    <d v="2024-11-01T00:00:00"/>
    <x v="10"/>
    <x v="10"/>
    <s v="Nov-2024"/>
    <x v="1"/>
    <x v="2"/>
    <x v="4"/>
    <x v="3"/>
    <s v="CC-300"/>
    <n v="6153.2"/>
    <n v="6246.21"/>
    <n v="93.010000000000218"/>
    <n v="1.5115712149775763E-2"/>
    <s v="On Budget"/>
  </r>
  <r>
    <d v="2024-11-01T00:00:00"/>
    <x v="10"/>
    <x v="10"/>
    <s v="Nov-2024"/>
    <x v="1"/>
    <x v="3"/>
    <x v="0"/>
    <x v="0"/>
    <s v="CC-400"/>
    <n v="54799.89"/>
    <n v="56591.81"/>
    <n v="1791.9199999999983"/>
    <n v="3.2699335710345376E-2"/>
    <s v="On Budget"/>
  </r>
  <r>
    <d v="2024-11-01T00:00:00"/>
    <x v="10"/>
    <x v="10"/>
    <s v="Nov-2024"/>
    <x v="1"/>
    <x v="3"/>
    <x v="0"/>
    <x v="1"/>
    <s v="CC-400"/>
    <n v="52004.41"/>
    <n v="53006.65"/>
    <n v="1002.239999999998"/>
    <n v="1.92722117220443E-2"/>
    <s v="On Budget"/>
  </r>
  <r>
    <d v="2024-11-01T00:00:00"/>
    <x v="10"/>
    <x v="10"/>
    <s v="Nov-2024"/>
    <x v="1"/>
    <x v="3"/>
    <x v="0"/>
    <x v="2"/>
    <s v="CC-400"/>
    <n v="54444.160000000003"/>
    <n v="61500.54"/>
    <n v="7056.3799999999974"/>
    <n v="0.12960765672571672"/>
    <s v="Overspend"/>
  </r>
  <r>
    <d v="2024-11-01T00:00:00"/>
    <x v="10"/>
    <x v="10"/>
    <s v="Nov-2024"/>
    <x v="1"/>
    <x v="3"/>
    <x v="0"/>
    <x v="3"/>
    <s v="CC-400"/>
    <n v="56963.43"/>
    <n v="62735.45"/>
    <n v="5772.0199999999968"/>
    <n v="0.10132851901649878"/>
    <s v="Overspend"/>
  </r>
  <r>
    <d v="2024-11-01T00:00:00"/>
    <x v="10"/>
    <x v="10"/>
    <s v="Nov-2024"/>
    <x v="1"/>
    <x v="3"/>
    <x v="1"/>
    <x v="0"/>
    <s v="CC-400"/>
    <n v="21263.38"/>
    <n v="23437.3"/>
    <n v="2173.9199999999983"/>
    <n v="0.10223774395227843"/>
    <s v="Overspend"/>
  </r>
  <r>
    <d v="2024-11-01T00:00:00"/>
    <x v="10"/>
    <x v="10"/>
    <s v="Nov-2024"/>
    <x v="1"/>
    <x v="3"/>
    <x v="1"/>
    <x v="1"/>
    <s v="CC-400"/>
    <n v="20494.55"/>
    <n v="19977.39"/>
    <n v="-517.15999999999985"/>
    <n v="-2.5234025631204388E-2"/>
    <s v="On Budget"/>
  </r>
  <r>
    <d v="2024-11-01T00:00:00"/>
    <x v="10"/>
    <x v="10"/>
    <s v="Nov-2024"/>
    <x v="1"/>
    <x v="3"/>
    <x v="1"/>
    <x v="2"/>
    <s v="CC-400"/>
    <n v="20170.29"/>
    <n v="21290.51"/>
    <n v="1120.2199999999975"/>
    <n v="5.5538120671542027E-2"/>
    <s v="Overspend"/>
  </r>
  <r>
    <d v="2024-11-01T00:00:00"/>
    <x v="10"/>
    <x v="10"/>
    <s v="Nov-2024"/>
    <x v="1"/>
    <x v="3"/>
    <x v="1"/>
    <x v="3"/>
    <s v="CC-400"/>
    <n v="22252.38"/>
    <n v="22132.51"/>
    <n v="-119.87000000000262"/>
    <n v="-5.3868395200874072E-3"/>
    <s v="On Budget"/>
  </r>
  <r>
    <d v="2024-11-01T00:00:00"/>
    <x v="10"/>
    <x v="10"/>
    <s v="Nov-2024"/>
    <x v="1"/>
    <x v="3"/>
    <x v="2"/>
    <x v="0"/>
    <s v="CC-400"/>
    <n v="11724.21"/>
    <n v="10665.67"/>
    <n v="-1058.5399999999991"/>
    <n v="-9.0286680296582808E-2"/>
    <s v="Underspend"/>
  </r>
  <r>
    <d v="2024-11-01T00:00:00"/>
    <x v="10"/>
    <x v="10"/>
    <s v="Nov-2024"/>
    <x v="1"/>
    <x v="3"/>
    <x v="2"/>
    <x v="1"/>
    <s v="CC-400"/>
    <n v="11546.03"/>
    <n v="11176.27"/>
    <n v="-369.76000000000022"/>
    <n v="-3.2024860493173858E-2"/>
    <s v="On Budget"/>
  </r>
  <r>
    <d v="2024-11-01T00:00:00"/>
    <x v="10"/>
    <x v="10"/>
    <s v="Nov-2024"/>
    <x v="1"/>
    <x v="3"/>
    <x v="2"/>
    <x v="2"/>
    <s v="CC-400"/>
    <n v="11319.01"/>
    <n v="12371.63"/>
    <n v="1052.619999999999"/>
    <n v="9.2995765530730953E-2"/>
    <s v="Overspend"/>
  </r>
  <r>
    <d v="2024-11-01T00:00:00"/>
    <x v="10"/>
    <x v="10"/>
    <s v="Nov-2024"/>
    <x v="1"/>
    <x v="3"/>
    <x v="2"/>
    <x v="3"/>
    <s v="CC-400"/>
    <n v="12447.48"/>
    <n v="13324.71"/>
    <n v="877.22999999999956"/>
    <n v="7.047450568307799E-2"/>
    <s v="Overspend"/>
  </r>
  <r>
    <d v="2024-11-01T00:00:00"/>
    <x v="10"/>
    <x v="10"/>
    <s v="Nov-2024"/>
    <x v="1"/>
    <x v="3"/>
    <x v="3"/>
    <x v="0"/>
    <s v="CC-400"/>
    <n v="13373.8"/>
    <n v="13792.65"/>
    <n v="418.85000000000036"/>
    <n v="3.1318697752321732E-2"/>
    <s v="On Budget"/>
  </r>
  <r>
    <d v="2024-11-01T00:00:00"/>
    <x v="10"/>
    <x v="10"/>
    <s v="Nov-2024"/>
    <x v="1"/>
    <x v="3"/>
    <x v="3"/>
    <x v="1"/>
    <s v="CC-400"/>
    <n v="12251.5"/>
    <n v="13311.27"/>
    <n v="1059.7700000000004"/>
    <n v="8.6501244745541397E-2"/>
    <s v="Overspend"/>
  </r>
  <r>
    <d v="2024-11-01T00:00:00"/>
    <x v="10"/>
    <x v="10"/>
    <s v="Nov-2024"/>
    <x v="1"/>
    <x v="3"/>
    <x v="3"/>
    <x v="2"/>
    <s v="CC-400"/>
    <n v="12712.75"/>
    <n v="13328.54"/>
    <n v="615.79000000000087"/>
    <n v="4.8438772098877182E-2"/>
    <s v="On Budget"/>
  </r>
  <r>
    <d v="2024-11-01T00:00:00"/>
    <x v="10"/>
    <x v="10"/>
    <s v="Nov-2024"/>
    <x v="1"/>
    <x v="3"/>
    <x v="3"/>
    <x v="3"/>
    <s v="CC-400"/>
    <n v="13786.03"/>
    <n v="15112.38"/>
    <n v="1326.3499999999985"/>
    <n v="9.6209713746451916E-2"/>
    <s v="Overspend"/>
  </r>
  <r>
    <d v="2024-11-01T00:00:00"/>
    <x v="10"/>
    <x v="10"/>
    <s v="Nov-2024"/>
    <x v="1"/>
    <x v="3"/>
    <x v="4"/>
    <x v="0"/>
    <s v="CC-400"/>
    <n v="8396.68"/>
    <n v="9631.82"/>
    <n v="1235.1399999999994"/>
    <n v="0.14709861516694686"/>
    <s v="Overspend"/>
  </r>
  <r>
    <d v="2024-11-01T00:00:00"/>
    <x v="10"/>
    <x v="10"/>
    <s v="Nov-2024"/>
    <x v="1"/>
    <x v="3"/>
    <x v="4"/>
    <x v="1"/>
    <s v="CC-400"/>
    <n v="8108.22"/>
    <n v="7301.55"/>
    <n v="-806.67000000000007"/>
    <n v="-9.9487927066606488E-2"/>
    <s v="Underspend"/>
  </r>
  <r>
    <d v="2024-11-01T00:00:00"/>
    <x v="10"/>
    <x v="10"/>
    <s v="Nov-2024"/>
    <x v="1"/>
    <x v="3"/>
    <x v="4"/>
    <x v="2"/>
    <s v="CC-400"/>
    <n v="8152.9"/>
    <n v="8221.5499999999993"/>
    <n v="68.649999999999636"/>
    <n v="8.4203166971261317E-3"/>
    <s v="On Budget"/>
  </r>
  <r>
    <d v="2024-11-01T00:00:00"/>
    <x v="10"/>
    <x v="10"/>
    <s v="Nov-2024"/>
    <x v="1"/>
    <x v="3"/>
    <x v="4"/>
    <x v="3"/>
    <s v="CC-400"/>
    <n v="8637.3700000000008"/>
    <n v="8505.32"/>
    <n v="-132.05000000000109"/>
    <n v="-1.5288218520220978E-2"/>
    <s v="On Budget"/>
  </r>
  <r>
    <d v="2024-11-01T00:00:00"/>
    <x v="10"/>
    <x v="10"/>
    <s v="Nov-2024"/>
    <x v="1"/>
    <x v="4"/>
    <x v="0"/>
    <x v="0"/>
    <s v="CC-500"/>
    <n v="43831.26"/>
    <n v="42474.64"/>
    <n v="-1356.6200000000026"/>
    <n v="-3.0950969696057165E-2"/>
    <s v="On Budget"/>
  </r>
  <r>
    <d v="2024-11-01T00:00:00"/>
    <x v="10"/>
    <x v="10"/>
    <s v="Nov-2024"/>
    <x v="1"/>
    <x v="4"/>
    <x v="0"/>
    <x v="1"/>
    <s v="CC-500"/>
    <n v="41802.47"/>
    <n v="40165.25"/>
    <n v="-1637.2200000000012"/>
    <n v="-3.9165628251153606E-2"/>
    <s v="On Budget"/>
  </r>
  <r>
    <d v="2024-11-01T00:00:00"/>
    <x v="10"/>
    <x v="10"/>
    <s v="Nov-2024"/>
    <x v="1"/>
    <x v="4"/>
    <x v="0"/>
    <x v="2"/>
    <s v="CC-500"/>
    <n v="43020.91"/>
    <n v="41696.239999999998"/>
    <n v="-1324.6700000000055"/>
    <n v="-3.0791305902176533E-2"/>
    <s v="On Budget"/>
  </r>
  <r>
    <d v="2024-11-01T00:00:00"/>
    <x v="10"/>
    <x v="10"/>
    <s v="Nov-2024"/>
    <x v="1"/>
    <x v="4"/>
    <x v="0"/>
    <x v="3"/>
    <s v="CC-500"/>
    <n v="46113.7"/>
    <n v="47244.27"/>
    <n v="1130.5699999999997"/>
    <n v="2.4517009045034333E-2"/>
    <s v="On Budget"/>
  </r>
  <r>
    <d v="2024-11-01T00:00:00"/>
    <x v="10"/>
    <x v="10"/>
    <s v="Nov-2024"/>
    <x v="1"/>
    <x v="4"/>
    <x v="1"/>
    <x v="0"/>
    <s v="CC-500"/>
    <n v="16588.45"/>
    <n v="17358.18"/>
    <n v="769.72999999999956"/>
    <n v="4.6401562532967185E-2"/>
    <s v="On Budget"/>
  </r>
  <r>
    <d v="2024-11-01T00:00:00"/>
    <x v="10"/>
    <x v="10"/>
    <s v="Nov-2024"/>
    <x v="1"/>
    <x v="4"/>
    <x v="1"/>
    <x v="1"/>
    <s v="CC-500"/>
    <n v="15570.1"/>
    <n v="15971.99"/>
    <n v="401.88999999999942"/>
    <n v="2.5811651819834133E-2"/>
    <s v="On Budget"/>
  </r>
  <r>
    <d v="2024-11-01T00:00:00"/>
    <x v="10"/>
    <x v="10"/>
    <s v="Nov-2024"/>
    <x v="1"/>
    <x v="4"/>
    <x v="1"/>
    <x v="2"/>
    <s v="CC-500"/>
    <n v="16632.419999999998"/>
    <n v="17132.8"/>
    <n v="500.38000000000102"/>
    <n v="3.0084617872805103E-2"/>
    <s v="On Budget"/>
  </r>
  <r>
    <d v="2024-11-01T00:00:00"/>
    <x v="10"/>
    <x v="10"/>
    <s v="Nov-2024"/>
    <x v="1"/>
    <x v="4"/>
    <x v="1"/>
    <x v="3"/>
    <s v="CC-500"/>
    <n v="17985.169999999998"/>
    <n v="17673.12"/>
    <n v="-312.04999999999927"/>
    <n v="-1.735040591776443E-2"/>
    <s v="On Budget"/>
  </r>
  <r>
    <d v="2024-11-01T00:00:00"/>
    <x v="10"/>
    <x v="10"/>
    <s v="Nov-2024"/>
    <x v="1"/>
    <x v="4"/>
    <x v="2"/>
    <x v="0"/>
    <s v="CC-500"/>
    <n v="7027.28"/>
    <n v="7131.99"/>
    <n v="104.71000000000004"/>
    <n v="1.4900502043464903E-2"/>
    <s v="On Budget"/>
  </r>
  <r>
    <d v="2024-11-01T00:00:00"/>
    <x v="10"/>
    <x v="10"/>
    <s v="Nov-2024"/>
    <x v="1"/>
    <x v="4"/>
    <x v="2"/>
    <x v="1"/>
    <s v="CC-500"/>
    <n v="6579.75"/>
    <n v="6198.86"/>
    <n v="-380.89000000000033"/>
    <n v="-5.788821763744828E-2"/>
    <s v="Underspend"/>
  </r>
  <r>
    <d v="2024-11-01T00:00:00"/>
    <x v="10"/>
    <x v="10"/>
    <s v="Nov-2024"/>
    <x v="1"/>
    <x v="4"/>
    <x v="2"/>
    <x v="2"/>
    <s v="CC-500"/>
    <n v="6744.41"/>
    <n v="6634.52"/>
    <n v="-109.88999999999942"/>
    <n v="-1.6293493426407856E-2"/>
    <s v="On Budget"/>
  </r>
  <r>
    <d v="2024-11-01T00:00:00"/>
    <x v="10"/>
    <x v="10"/>
    <s v="Nov-2024"/>
    <x v="1"/>
    <x v="4"/>
    <x v="2"/>
    <x v="3"/>
    <s v="CC-500"/>
    <n v="7389.55"/>
    <n v="7660.42"/>
    <n v="270.86999999999989"/>
    <n v="3.6655818013275492E-2"/>
    <s v="On Budget"/>
  </r>
  <r>
    <d v="2024-11-01T00:00:00"/>
    <x v="10"/>
    <x v="10"/>
    <s v="Nov-2024"/>
    <x v="1"/>
    <x v="4"/>
    <x v="3"/>
    <x v="0"/>
    <s v="CC-500"/>
    <n v="7846.01"/>
    <n v="7817.27"/>
    <n v="-28.739999999999782"/>
    <n v="-3.6630083316233067E-3"/>
    <s v="On Budget"/>
  </r>
  <r>
    <d v="2024-11-01T00:00:00"/>
    <x v="10"/>
    <x v="10"/>
    <s v="Nov-2024"/>
    <x v="1"/>
    <x v="4"/>
    <x v="3"/>
    <x v="1"/>
    <s v="CC-500"/>
    <n v="7468.28"/>
    <n v="7711.31"/>
    <n v="243.03000000000065"/>
    <n v="3.2541629397933751E-2"/>
    <s v="On Budget"/>
  </r>
  <r>
    <d v="2024-11-01T00:00:00"/>
    <x v="10"/>
    <x v="10"/>
    <s v="Nov-2024"/>
    <x v="1"/>
    <x v="4"/>
    <x v="3"/>
    <x v="2"/>
    <s v="CC-500"/>
    <n v="7556.07"/>
    <n v="7636.79"/>
    <n v="80.720000000000255"/>
    <n v="1.0682802038625934E-2"/>
    <s v="On Budget"/>
  </r>
  <r>
    <d v="2024-11-01T00:00:00"/>
    <x v="10"/>
    <x v="10"/>
    <s v="Nov-2024"/>
    <x v="1"/>
    <x v="4"/>
    <x v="3"/>
    <x v="3"/>
    <s v="CC-500"/>
    <n v="8015.45"/>
    <n v="8191.44"/>
    <n v="175.98999999999978"/>
    <n v="2.1956346805232368E-2"/>
    <s v="On Budget"/>
  </r>
  <r>
    <d v="2024-11-01T00:00:00"/>
    <x v="10"/>
    <x v="10"/>
    <s v="Nov-2024"/>
    <x v="1"/>
    <x v="4"/>
    <x v="4"/>
    <x v="0"/>
    <s v="CC-500"/>
    <n v="6433.23"/>
    <n v="6396.41"/>
    <n v="-36.819999999999709"/>
    <n v="-5.7234079925635659E-3"/>
    <s v="On Budget"/>
  </r>
  <r>
    <d v="2024-11-01T00:00:00"/>
    <x v="10"/>
    <x v="10"/>
    <s v="Nov-2024"/>
    <x v="1"/>
    <x v="4"/>
    <x v="4"/>
    <x v="1"/>
    <s v="CC-500"/>
    <n v="6490.16"/>
    <n v="6196.14"/>
    <n v="-294.01999999999953"/>
    <n v="-4.5302427058808957E-2"/>
    <s v="On Budget"/>
  </r>
  <r>
    <d v="2024-11-01T00:00:00"/>
    <x v="10"/>
    <x v="10"/>
    <s v="Nov-2024"/>
    <x v="1"/>
    <x v="4"/>
    <x v="4"/>
    <x v="2"/>
    <s v="CC-500"/>
    <n v="6339.38"/>
    <n v="6620.06"/>
    <n v="280.68000000000029"/>
    <n v="4.4275623168196304E-2"/>
    <s v="On Budget"/>
  </r>
  <r>
    <d v="2024-11-01T00:00:00"/>
    <x v="10"/>
    <x v="10"/>
    <s v="Nov-2024"/>
    <x v="1"/>
    <x v="4"/>
    <x v="4"/>
    <x v="3"/>
    <s v="CC-500"/>
    <n v="6693.81"/>
    <n v="6383.96"/>
    <n v="-309.85000000000036"/>
    <n v="-4.6289034197265884E-2"/>
    <s v="On Budget"/>
  </r>
  <r>
    <d v="2024-12-01T00:00:00"/>
    <x v="11"/>
    <x v="11"/>
    <s v="Dec-2024"/>
    <x v="1"/>
    <x v="0"/>
    <x v="0"/>
    <x v="0"/>
    <s v="CC-100"/>
    <n v="51342.14"/>
    <n v="61306.54"/>
    <n v="9964.4000000000015"/>
    <n v="0.19407839252512657"/>
    <s v="Overspend"/>
  </r>
  <r>
    <d v="2024-12-01T00:00:00"/>
    <x v="11"/>
    <x v="11"/>
    <s v="Dec-2024"/>
    <x v="1"/>
    <x v="0"/>
    <x v="0"/>
    <x v="1"/>
    <s v="CC-100"/>
    <n v="47414.48"/>
    <n v="52655.58"/>
    <n v="5241.0999999999985"/>
    <n v="0.11053796224275787"/>
    <s v="Overspend"/>
  </r>
  <r>
    <d v="2024-12-01T00:00:00"/>
    <x v="11"/>
    <x v="11"/>
    <s v="Dec-2024"/>
    <x v="1"/>
    <x v="0"/>
    <x v="0"/>
    <x v="2"/>
    <s v="CC-100"/>
    <n v="48722.11"/>
    <n v="54940.46"/>
    <n v="6218.3499999999985"/>
    <n v="0.12762891426500203"/>
    <s v="Overspend"/>
  </r>
  <r>
    <d v="2024-12-01T00:00:00"/>
    <x v="11"/>
    <x v="11"/>
    <s v="Dec-2024"/>
    <x v="1"/>
    <x v="0"/>
    <x v="0"/>
    <x v="3"/>
    <s v="CC-100"/>
    <n v="53065.440000000002"/>
    <n v="58060.57"/>
    <n v="4995.1299999999974"/>
    <n v="9.4131510075107214E-2"/>
    <s v="Overspend"/>
  </r>
  <r>
    <d v="2024-12-01T00:00:00"/>
    <x v="11"/>
    <x v="11"/>
    <s v="Dec-2024"/>
    <x v="1"/>
    <x v="0"/>
    <x v="1"/>
    <x v="0"/>
    <s v="CC-100"/>
    <n v="18673.18"/>
    <n v="20633.12"/>
    <n v="1959.9399999999987"/>
    <n v="0.10496016211486199"/>
    <s v="Overspend"/>
  </r>
  <r>
    <d v="2024-12-01T00:00:00"/>
    <x v="11"/>
    <x v="11"/>
    <s v="Dec-2024"/>
    <x v="1"/>
    <x v="0"/>
    <x v="1"/>
    <x v="1"/>
    <s v="CC-100"/>
    <n v="18218.02"/>
    <n v="20323.41"/>
    <n v="2105.3899999999994"/>
    <n v="0.11556634584878046"/>
    <s v="Overspend"/>
  </r>
  <r>
    <d v="2024-12-01T00:00:00"/>
    <x v="11"/>
    <x v="11"/>
    <s v="Dec-2024"/>
    <x v="1"/>
    <x v="0"/>
    <x v="1"/>
    <x v="2"/>
    <s v="CC-100"/>
    <n v="18878.88"/>
    <n v="22588.19"/>
    <n v="3709.3099999999977"/>
    <n v="0.19647934623240348"/>
    <s v="Overspend"/>
  </r>
  <r>
    <d v="2024-12-01T00:00:00"/>
    <x v="11"/>
    <x v="11"/>
    <s v="Dec-2024"/>
    <x v="1"/>
    <x v="0"/>
    <x v="1"/>
    <x v="3"/>
    <s v="CC-100"/>
    <n v="19383.52"/>
    <n v="21372.05"/>
    <n v="1988.5299999999988"/>
    <n v="0.10258869390079814"/>
    <s v="Overspend"/>
  </r>
  <r>
    <d v="2024-12-01T00:00:00"/>
    <x v="11"/>
    <x v="11"/>
    <s v="Dec-2024"/>
    <x v="1"/>
    <x v="0"/>
    <x v="2"/>
    <x v="0"/>
    <s v="CC-100"/>
    <n v="10986.01"/>
    <n v="13110.81"/>
    <n v="2124.7999999999993"/>
    <n v="0.19340961823264308"/>
    <s v="Overspend"/>
  </r>
  <r>
    <d v="2024-12-01T00:00:00"/>
    <x v="11"/>
    <x v="11"/>
    <s v="Dec-2024"/>
    <x v="1"/>
    <x v="0"/>
    <x v="2"/>
    <x v="1"/>
    <s v="CC-100"/>
    <n v="10064.49"/>
    <n v="11535.98"/>
    <n v="1471.4899999999998"/>
    <n v="0.1462061167530595"/>
    <s v="Overspend"/>
  </r>
  <r>
    <d v="2024-12-01T00:00:00"/>
    <x v="11"/>
    <x v="11"/>
    <s v="Dec-2024"/>
    <x v="1"/>
    <x v="0"/>
    <x v="2"/>
    <x v="2"/>
    <s v="CC-100"/>
    <n v="10677.05"/>
    <n v="11949.6"/>
    <n v="1272.5500000000011"/>
    <n v="0.11918554282315819"/>
    <s v="Overspend"/>
  </r>
  <r>
    <d v="2024-12-01T00:00:00"/>
    <x v="11"/>
    <x v="11"/>
    <s v="Dec-2024"/>
    <x v="1"/>
    <x v="0"/>
    <x v="2"/>
    <x v="3"/>
    <s v="CC-100"/>
    <n v="11057.79"/>
    <n v="12273.03"/>
    <n v="1215.2399999999998"/>
    <n v="0.10989899428366787"/>
    <s v="Overspend"/>
  </r>
  <r>
    <d v="2024-12-01T00:00:00"/>
    <x v="11"/>
    <x v="11"/>
    <s v="Dec-2024"/>
    <x v="1"/>
    <x v="0"/>
    <x v="3"/>
    <x v="0"/>
    <s v="CC-100"/>
    <n v="8916.7900000000009"/>
    <n v="9950.32"/>
    <n v="1033.5299999999988"/>
    <n v="0.11590830332440247"/>
    <s v="Overspend"/>
  </r>
  <r>
    <d v="2024-12-01T00:00:00"/>
    <x v="11"/>
    <x v="11"/>
    <s v="Dec-2024"/>
    <x v="1"/>
    <x v="0"/>
    <x v="3"/>
    <x v="1"/>
    <s v="CC-100"/>
    <n v="8259.6200000000008"/>
    <n v="9136.4500000000007"/>
    <n v="876.82999999999993"/>
    <n v="0.10615863683801433"/>
    <s v="Overspend"/>
  </r>
  <r>
    <d v="2024-12-01T00:00:00"/>
    <x v="11"/>
    <x v="11"/>
    <s v="Dec-2024"/>
    <x v="1"/>
    <x v="0"/>
    <x v="3"/>
    <x v="2"/>
    <s v="CC-100"/>
    <n v="8360.4"/>
    <n v="9225.34"/>
    <n v="864.94000000000051"/>
    <n v="0.10345677240323436"/>
    <s v="Overspend"/>
  </r>
  <r>
    <d v="2024-12-01T00:00:00"/>
    <x v="11"/>
    <x v="11"/>
    <s v="Dec-2024"/>
    <x v="1"/>
    <x v="0"/>
    <x v="3"/>
    <x v="3"/>
    <s v="CC-100"/>
    <n v="9237.76"/>
    <n v="10923.23"/>
    <n v="1685.4699999999993"/>
    <n v="0.18245440453096848"/>
    <s v="Overspend"/>
  </r>
  <r>
    <d v="2024-12-01T00:00:00"/>
    <x v="11"/>
    <x v="11"/>
    <s v="Dec-2024"/>
    <x v="1"/>
    <x v="0"/>
    <x v="4"/>
    <x v="0"/>
    <s v="CC-100"/>
    <n v="8940.0400000000009"/>
    <n v="10501.43"/>
    <n v="1561.3899999999994"/>
    <n v="0.17465134384186193"/>
    <s v="Overspend"/>
  </r>
  <r>
    <d v="2024-12-01T00:00:00"/>
    <x v="11"/>
    <x v="11"/>
    <s v="Dec-2024"/>
    <x v="1"/>
    <x v="0"/>
    <x v="4"/>
    <x v="1"/>
    <s v="CC-100"/>
    <n v="8398.43"/>
    <n v="9498.9"/>
    <n v="1100.4699999999993"/>
    <n v="0.1310328239921032"/>
    <s v="Overspend"/>
  </r>
  <r>
    <d v="2024-12-01T00:00:00"/>
    <x v="11"/>
    <x v="11"/>
    <s v="Dec-2024"/>
    <x v="1"/>
    <x v="0"/>
    <x v="4"/>
    <x v="2"/>
    <s v="CC-100"/>
    <n v="8873"/>
    <n v="10114.69"/>
    <n v="1241.6900000000005"/>
    <n v="0.13994026822946021"/>
    <s v="Overspend"/>
  </r>
  <r>
    <d v="2024-12-01T00:00:00"/>
    <x v="11"/>
    <x v="11"/>
    <s v="Dec-2024"/>
    <x v="1"/>
    <x v="0"/>
    <x v="4"/>
    <x v="3"/>
    <s v="CC-100"/>
    <n v="9604.26"/>
    <n v="10773.03"/>
    <n v="1168.7700000000004"/>
    <n v="0.12169287378725695"/>
    <s v="Overspend"/>
  </r>
  <r>
    <d v="2024-12-01T00:00:00"/>
    <x v="11"/>
    <x v="11"/>
    <s v="Dec-2024"/>
    <x v="1"/>
    <x v="1"/>
    <x v="0"/>
    <x v="0"/>
    <s v="CC-200"/>
    <n v="53532.35"/>
    <n v="48029.53"/>
    <n v="-5502.82"/>
    <n v="-0.10279429167596789"/>
    <s v="Underspend"/>
  </r>
  <r>
    <d v="2024-12-01T00:00:00"/>
    <x v="11"/>
    <x v="11"/>
    <s v="Dec-2024"/>
    <x v="1"/>
    <x v="1"/>
    <x v="0"/>
    <x v="1"/>
    <s v="CC-200"/>
    <n v="49130.84"/>
    <n v="43537.599999999999"/>
    <n v="-5593.239999999998"/>
    <n v="-0.11384376900537418"/>
    <s v="Underspend"/>
  </r>
  <r>
    <d v="2024-12-01T00:00:00"/>
    <x v="11"/>
    <x v="11"/>
    <s v="Dec-2024"/>
    <x v="1"/>
    <x v="1"/>
    <x v="0"/>
    <x v="2"/>
    <s v="CC-200"/>
    <n v="51779.17"/>
    <n v="44430.19"/>
    <n v="-7348.9799999999959"/>
    <n v="-0.14192927387596202"/>
    <s v="Underspend"/>
  </r>
  <r>
    <d v="2024-12-01T00:00:00"/>
    <x v="11"/>
    <x v="11"/>
    <s v="Dec-2024"/>
    <x v="1"/>
    <x v="1"/>
    <x v="0"/>
    <x v="3"/>
    <s v="CC-200"/>
    <n v="54035.81"/>
    <n v="47296.57"/>
    <n v="-6739.239999999998"/>
    <n v="-0.12471803420731545"/>
    <s v="Underspend"/>
  </r>
  <r>
    <d v="2024-12-01T00:00:00"/>
    <x v="11"/>
    <x v="11"/>
    <s v="Dec-2024"/>
    <x v="1"/>
    <x v="1"/>
    <x v="1"/>
    <x v="0"/>
    <s v="CC-200"/>
    <n v="29618.86"/>
    <n v="26407.63"/>
    <n v="-3211.2299999999996"/>
    <n v="-0.10841841988516775"/>
    <s v="Underspend"/>
  </r>
  <r>
    <d v="2024-12-01T00:00:00"/>
    <x v="11"/>
    <x v="11"/>
    <s v="Dec-2024"/>
    <x v="1"/>
    <x v="1"/>
    <x v="1"/>
    <x v="1"/>
    <s v="CC-200"/>
    <n v="27230.62"/>
    <n v="23719.71"/>
    <n v="-3510.91"/>
    <n v="-0.12893242974269406"/>
    <s v="Underspend"/>
  </r>
  <r>
    <d v="2024-12-01T00:00:00"/>
    <x v="11"/>
    <x v="11"/>
    <s v="Dec-2024"/>
    <x v="1"/>
    <x v="1"/>
    <x v="1"/>
    <x v="2"/>
    <s v="CC-200"/>
    <n v="27738.05"/>
    <n v="23515.8"/>
    <n v="-4222.25"/>
    <n v="-0.15221870318930134"/>
    <s v="Underspend"/>
  </r>
  <r>
    <d v="2024-12-01T00:00:00"/>
    <x v="11"/>
    <x v="11"/>
    <s v="Dec-2024"/>
    <x v="1"/>
    <x v="1"/>
    <x v="1"/>
    <x v="3"/>
    <s v="CC-200"/>
    <n v="29718.05"/>
    <n v="25881.57"/>
    <n v="-3836.4799999999996"/>
    <n v="-0.12909595346935615"/>
    <s v="Underspend"/>
  </r>
  <r>
    <d v="2024-12-01T00:00:00"/>
    <x v="11"/>
    <x v="11"/>
    <s v="Dec-2024"/>
    <x v="1"/>
    <x v="1"/>
    <x v="2"/>
    <x v="0"/>
    <s v="CC-200"/>
    <n v="11107.31"/>
    <n v="9492.85"/>
    <n v="-1614.4599999999991"/>
    <n v="-0.14535112461973235"/>
    <s v="Underspend"/>
  </r>
  <r>
    <d v="2024-12-01T00:00:00"/>
    <x v="11"/>
    <x v="11"/>
    <s v="Dec-2024"/>
    <x v="1"/>
    <x v="1"/>
    <x v="2"/>
    <x v="1"/>
    <s v="CC-200"/>
    <n v="10759.51"/>
    <n v="9261.35"/>
    <n v="-1498.1599999999999"/>
    <n v="-0.139240541623178"/>
    <s v="Underspend"/>
  </r>
  <r>
    <d v="2024-12-01T00:00:00"/>
    <x v="11"/>
    <x v="11"/>
    <s v="Dec-2024"/>
    <x v="1"/>
    <x v="1"/>
    <x v="2"/>
    <x v="2"/>
    <s v="CC-200"/>
    <n v="11234.78"/>
    <n v="9913.2199999999993"/>
    <n v="-1321.5600000000013"/>
    <n v="-0.11763114186481634"/>
    <s v="Underspend"/>
  </r>
  <r>
    <d v="2024-12-01T00:00:00"/>
    <x v="11"/>
    <x v="11"/>
    <s v="Dec-2024"/>
    <x v="1"/>
    <x v="1"/>
    <x v="2"/>
    <x v="3"/>
    <s v="CC-200"/>
    <n v="11721.76"/>
    <n v="10518.93"/>
    <n v="-1202.83"/>
    <n v="-0.10261513629352588"/>
    <s v="Underspend"/>
  </r>
  <r>
    <d v="2024-12-01T00:00:00"/>
    <x v="11"/>
    <x v="11"/>
    <s v="Dec-2024"/>
    <x v="1"/>
    <x v="1"/>
    <x v="3"/>
    <x v="0"/>
    <s v="CC-200"/>
    <n v="9132.89"/>
    <n v="8034.41"/>
    <n v="-1098.4799999999996"/>
    <n v="-0.12027737112786857"/>
    <s v="Underspend"/>
  </r>
  <r>
    <d v="2024-12-01T00:00:00"/>
    <x v="11"/>
    <x v="11"/>
    <s v="Dec-2024"/>
    <x v="1"/>
    <x v="1"/>
    <x v="3"/>
    <x v="1"/>
    <s v="CC-200"/>
    <n v="8830.86"/>
    <n v="7606.69"/>
    <n v="-1224.170000000001"/>
    <n v="-0.13862409776624257"/>
    <s v="Underspend"/>
  </r>
  <r>
    <d v="2024-12-01T00:00:00"/>
    <x v="11"/>
    <x v="11"/>
    <s v="Dec-2024"/>
    <x v="1"/>
    <x v="1"/>
    <x v="3"/>
    <x v="2"/>
    <s v="CC-200"/>
    <n v="9173.7900000000009"/>
    <n v="8161.78"/>
    <n v="-1012.0100000000011"/>
    <n v="-0.11031536584116282"/>
    <s v="Underspend"/>
  </r>
  <r>
    <d v="2024-12-01T00:00:00"/>
    <x v="11"/>
    <x v="11"/>
    <s v="Dec-2024"/>
    <x v="1"/>
    <x v="1"/>
    <x v="3"/>
    <x v="3"/>
    <s v="CC-200"/>
    <n v="9840.16"/>
    <n v="8513.15"/>
    <n v="-1327.0100000000002"/>
    <n v="-0.1348565470480155"/>
    <s v="Underspend"/>
  </r>
  <r>
    <d v="2024-12-01T00:00:00"/>
    <x v="11"/>
    <x v="11"/>
    <s v="Dec-2024"/>
    <x v="1"/>
    <x v="1"/>
    <x v="4"/>
    <x v="0"/>
    <s v="CC-200"/>
    <n v="8049.82"/>
    <n v="6958.05"/>
    <n v="-1091.7699999999995"/>
    <n v="-0.13562663512972956"/>
    <s v="Underspend"/>
  </r>
  <r>
    <d v="2024-12-01T00:00:00"/>
    <x v="11"/>
    <x v="11"/>
    <s v="Dec-2024"/>
    <x v="1"/>
    <x v="1"/>
    <x v="4"/>
    <x v="1"/>
    <s v="CC-200"/>
    <n v="7575.49"/>
    <n v="6478.51"/>
    <n v="-1096.9799999999996"/>
    <n v="-0.14480647456468157"/>
    <s v="Underspend"/>
  </r>
  <r>
    <d v="2024-12-01T00:00:00"/>
    <x v="11"/>
    <x v="11"/>
    <s v="Dec-2024"/>
    <x v="1"/>
    <x v="1"/>
    <x v="4"/>
    <x v="2"/>
    <s v="CC-200"/>
    <n v="7566.52"/>
    <n v="6638.89"/>
    <n v="-927.63000000000011"/>
    <n v="-0.12259664945047394"/>
    <s v="Underspend"/>
  </r>
  <r>
    <d v="2024-12-01T00:00:00"/>
    <x v="11"/>
    <x v="11"/>
    <s v="Dec-2024"/>
    <x v="1"/>
    <x v="1"/>
    <x v="4"/>
    <x v="3"/>
    <s v="CC-200"/>
    <n v="8058.5"/>
    <n v="7087.29"/>
    <n v="-971.21"/>
    <n v="-0.12051994788111932"/>
    <s v="Underspend"/>
  </r>
  <r>
    <d v="2024-12-01T00:00:00"/>
    <x v="11"/>
    <x v="11"/>
    <s v="Dec-2024"/>
    <x v="1"/>
    <x v="2"/>
    <x v="0"/>
    <x v="0"/>
    <s v="CC-300"/>
    <n v="45679.79"/>
    <n v="46508.88"/>
    <n v="829.08999999999651"/>
    <n v="1.8150039656486962E-2"/>
    <s v="On Budget"/>
  </r>
  <r>
    <d v="2024-12-01T00:00:00"/>
    <x v="11"/>
    <x v="11"/>
    <s v="Dec-2024"/>
    <x v="1"/>
    <x v="2"/>
    <x v="0"/>
    <x v="1"/>
    <s v="CC-300"/>
    <n v="42605.23"/>
    <n v="43699.92"/>
    <n v="1094.6899999999951"/>
    <n v="2.5693793930932775E-2"/>
    <s v="On Budget"/>
  </r>
  <r>
    <d v="2024-12-01T00:00:00"/>
    <x v="11"/>
    <x v="11"/>
    <s v="Dec-2024"/>
    <x v="1"/>
    <x v="2"/>
    <x v="0"/>
    <x v="2"/>
    <s v="CC-300"/>
    <n v="44128.15"/>
    <n v="45031.3"/>
    <n v="903.15000000000146"/>
    <n v="2.0466527601995584E-2"/>
    <s v="On Budget"/>
  </r>
  <r>
    <d v="2024-12-01T00:00:00"/>
    <x v="11"/>
    <x v="11"/>
    <s v="Dec-2024"/>
    <x v="1"/>
    <x v="2"/>
    <x v="0"/>
    <x v="3"/>
    <s v="CC-300"/>
    <n v="47965.45"/>
    <n v="48359.7"/>
    <n v="394.25"/>
    <n v="8.2194579640136808E-3"/>
    <s v="On Budget"/>
  </r>
  <r>
    <d v="2024-12-01T00:00:00"/>
    <x v="11"/>
    <x v="11"/>
    <s v="Dec-2024"/>
    <x v="1"/>
    <x v="2"/>
    <x v="1"/>
    <x v="0"/>
    <s v="CC-300"/>
    <n v="16078"/>
    <n v="16253.52"/>
    <n v="175.52000000000044"/>
    <n v="1.0916780694116212E-2"/>
    <s v="On Budget"/>
  </r>
  <r>
    <d v="2024-12-01T00:00:00"/>
    <x v="11"/>
    <x v="11"/>
    <s v="Dec-2024"/>
    <x v="1"/>
    <x v="2"/>
    <x v="1"/>
    <x v="1"/>
    <s v="CC-300"/>
    <n v="15070.28"/>
    <n v="15531.93"/>
    <n v="461.64999999999964"/>
    <n v="3.06331401938119E-2"/>
    <s v="On Budget"/>
  </r>
  <r>
    <d v="2024-12-01T00:00:00"/>
    <x v="11"/>
    <x v="11"/>
    <s v="Dec-2024"/>
    <x v="1"/>
    <x v="2"/>
    <x v="1"/>
    <x v="2"/>
    <s v="CC-300"/>
    <n v="14876.62"/>
    <n v="14603.19"/>
    <n v="-273.43000000000029"/>
    <n v="-1.8379847035146443E-2"/>
    <s v="On Budget"/>
  </r>
  <r>
    <d v="2024-12-01T00:00:00"/>
    <x v="11"/>
    <x v="11"/>
    <s v="Dec-2024"/>
    <x v="1"/>
    <x v="2"/>
    <x v="1"/>
    <x v="3"/>
    <s v="CC-300"/>
    <n v="16167.28"/>
    <n v="16332.66"/>
    <n v="165.3799999999992"/>
    <n v="1.022930264088945E-2"/>
    <s v="On Budget"/>
  </r>
  <r>
    <d v="2024-12-01T00:00:00"/>
    <x v="11"/>
    <x v="11"/>
    <s v="Dec-2024"/>
    <x v="1"/>
    <x v="2"/>
    <x v="2"/>
    <x v="0"/>
    <s v="CC-300"/>
    <n v="9008.2900000000009"/>
    <n v="9002.7199999999993"/>
    <n v="-5.570000000001528"/>
    <n v="-6.1831934806733883E-4"/>
    <s v="On Budget"/>
  </r>
  <r>
    <d v="2024-12-01T00:00:00"/>
    <x v="11"/>
    <x v="11"/>
    <s v="Dec-2024"/>
    <x v="1"/>
    <x v="2"/>
    <x v="2"/>
    <x v="1"/>
    <s v="CC-300"/>
    <n v="8202.6"/>
    <n v="8140.99"/>
    <n v="-61.610000000000582"/>
    <n v="-7.5110330870700242E-3"/>
    <s v="On Budget"/>
  </r>
  <r>
    <d v="2024-12-01T00:00:00"/>
    <x v="11"/>
    <x v="11"/>
    <s v="Dec-2024"/>
    <x v="1"/>
    <x v="2"/>
    <x v="2"/>
    <x v="2"/>
    <s v="CC-300"/>
    <n v="8527.01"/>
    <n v="8590.4699999999993"/>
    <n v="63.459999999999127"/>
    <n v="7.4422335613537598E-3"/>
    <s v="On Budget"/>
  </r>
  <r>
    <d v="2024-12-01T00:00:00"/>
    <x v="11"/>
    <x v="11"/>
    <s v="Dec-2024"/>
    <x v="1"/>
    <x v="2"/>
    <x v="2"/>
    <x v="3"/>
    <s v="CC-300"/>
    <n v="9203.66"/>
    <n v="9035.26"/>
    <n v="-168.39999999999964"/>
    <n v="-1.829706877481346E-2"/>
    <s v="On Budget"/>
  </r>
  <r>
    <d v="2024-12-01T00:00:00"/>
    <x v="11"/>
    <x v="11"/>
    <s v="Dec-2024"/>
    <x v="1"/>
    <x v="2"/>
    <x v="3"/>
    <x v="0"/>
    <s v="CC-300"/>
    <n v="7005.58"/>
    <n v="7265.28"/>
    <n v="259.69999999999982"/>
    <n v="3.7070449555925394E-2"/>
    <s v="On Budget"/>
  </r>
  <r>
    <d v="2024-12-01T00:00:00"/>
    <x v="11"/>
    <x v="11"/>
    <s v="Dec-2024"/>
    <x v="1"/>
    <x v="2"/>
    <x v="3"/>
    <x v="1"/>
    <s v="CC-300"/>
    <n v="6751.31"/>
    <n v="6645.17"/>
    <n v="-106.14000000000033"/>
    <n v="-1.5721393329590896E-2"/>
    <s v="On Budget"/>
  </r>
  <r>
    <d v="2024-12-01T00:00:00"/>
    <x v="11"/>
    <x v="11"/>
    <s v="Dec-2024"/>
    <x v="1"/>
    <x v="2"/>
    <x v="3"/>
    <x v="2"/>
    <s v="CC-300"/>
    <n v="7041.5"/>
    <n v="6920.6"/>
    <n v="-120.89999999999964"/>
    <n v="-1.7169637151175123E-2"/>
    <s v="On Budget"/>
  </r>
  <r>
    <d v="2024-12-01T00:00:00"/>
    <x v="11"/>
    <x v="11"/>
    <s v="Dec-2024"/>
    <x v="1"/>
    <x v="2"/>
    <x v="3"/>
    <x v="3"/>
    <s v="CC-300"/>
    <n v="7406.06"/>
    <n v="7274.12"/>
    <n v="-131.94000000000051"/>
    <n v="-1.7815140574070493E-2"/>
    <s v="On Budget"/>
  </r>
  <r>
    <d v="2024-12-01T00:00:00"/>
    <x v="11"/>
    <x v="11"/>
    <s v="Dec-2024"/>
    <x v="1"/>
    <x v="2"/>
    <x v="4"/>
    <x v="0"/>
    <s v="CC-300"/>
    <n v="6022.29"/>
    <n v="6082.92"/>
    <n v="60.630000000000109"/>
    <n v="1.0067598870197236E-2"/>
    <s v="On Budget"/>
  </r>
  <r>
    <d v="2024-12-01T00:00:00"/>
    <x v="11"/>
    <x v="11"/>
    <s v="Dec-2024"/>
    <x v="1"/>
    <x v="2"/>
    <x v="4"/>
    <x v="1"/>
    <s v="CC-300"/>
    <n v="5767.81"/>
    <n v="5785.61"/>
    <n v="17.799999999999272"/>
    <n v="3.0860933352519016E-3"/>
    <s v="On Budget"/>
  </r>
  <r>
    <d v="2024-12-01T00:00:00"/>
    <x v="11"/>
    <x v="11"/>
    <s v="Dec-2024"/>
    <x v="1"/>
    <x v="2"/>
    <x v="4"/>
    <x v="2"/>
    <s v="CC-300"/>
    <n v="6073.54"/>
    <n v="6193.62"/>
    <n v="120.07999999999993"/>
    <n v="1.9771006694613014E-2"/>
    <s v="On Budget"/>
  </r>
  <r>
    <d v="2024-12-01T00:00:00"/>
    <x v="11"/>
    <x v="11"/>
    <s v="Dec-2024"/>
    <x v="1"/>
    <x v="2"/>
    <x v="4"/>
    <x v="3"/>
    <s v="CC-300"/>
    <n v="6532.37"/>
    <n v="6638.1"/>
    <n v="105.73000000000047"/>
    <n v="1.6185549808109535E-2"/>
    <s v="On Budget"/>
  </r>
  <r>
    <d v="2024-12-01T00:00:00"/>
    <x v="11"/>
    <x v="11"/>
    <s v="Dec-2024"/>
    <x v="1"/>
    <x v="3"/>
    <x v="0"/>
    <x v="0"/>
    <s v="CC-400"/>
    <n v="55255.72"/>
    <n v="53070.879999999997"/>
    <n v="-2184.8400000000038"/>
    <n v="-3.9540521777654943E-2"/>
    <s v="On Budget"/>
  </r>
  <r>
    <d v="2024-12-01T00:00:00"/>
    <x v="11"/>
    <x v="11"/>
    <s v="Dec-2024"/>
    <x v="1"/>
    <x v="3"/>
    <x v="0"/>
    <x v="1"/>
    <s v="CC-400"/>
    <n v="54505.55"/>
    <n v="57341.08"/>
    <n v="2835.5299999999988"/>
    <n v="5.2022775662294914E-2"/>
    <s v="Overspend"/>
  </r>
  <r>
    <d v="2024-12-01T00:00:00"/>
    <x v="11"/>
    <x v="11"/>
    <s v="Dec-2024"/>
    <x v="1"/>
    <x v="3"/>
    <x v="0"/>
    <x v="2"/>
    <s v="CC-400"/>
    <n v="54195.95"/>
    <n v="47002.559999999998"/>
    <n v="-7193.3899999999994"/>
    <n v="-0.13272929065732772"/>
    <s v="Underspend"/>
  </r>
  <r>
    <d v="2024-12-01T00:00:00"/>
    <x v="11"/>
    <x v="11"/>
    <s v="Dec-2024"/>
    <x v="1"/>
    <x v="3"/>
    <x v="0"/>
    <x v="3"/>
    <s v="CC-400"/>
    <n v="58265.87"/>
    <n v="60039.85"/>
    <n v="1773.9799999999959"/>
    <n v="3.0446297292051006E-2"/>
    <s v="On Budget"/>
  </r>
  <r>
    <d v="2024-12-01T00:00:00"/>
    <x v="11"/>
    <x v="11"/>
    <s v="Dec-2024"/>
    <x v="1"/>
    <x v="3"/>
    <x v="1"/>
    <x v="0"/>
    <s v="CC-400"/>
    <n v="21411.77"/>
    <n v="22677.11"/>
    <n v="1265.3400000000001"/>
    <n v="5.9095534839016119E-2"/>
    <s v="Overspend"/>
  </r>
  <r>
    <d v="2024-12-01T00:00:00"/>
    <x v="11"/>
    <x v="11"/>
    <s v="Dec-2024"/>
    <x v="1"/>
    <x v="3"/>
    <x v="1"/>
    <x v="1"/>
    <s v="CC-400"/>
    <n v="19657.41"/>
    <n v="21342.94"/>
    <n v="1685.5299999999988"/>
    <n v="8.5745273665248825E-2"/>
    <s v="Overspend"/>
  </r>
  <r>
    <d v="2024-12-01T00:00:00"/>
    <x v="11"/>
    <x v="11"/>
    <s v="Dec-2024"/>
    <x v="1"/>
    <x v="3"/>
    <x v="1"/>
    <x v="2"/>
    <s v="CC-400"/>
    <n v="20314.21"/>
    <n v="18634.79"/>
    <n v="-1679.4199999999983"/>
    <n v="-8.267217873596848E-2"/>
    <s v="Underspend"/>
  </r>
  <r>
    <d v="2024-12-01T00:00:00"/>
    <x v="11"/>
    <x v="11"/>
    <s v="Dec-2024"/>
    <x v="1"/>
    <x v="3"/>
    <x v="1"/>
    <x v="3"/>
    <s v="CC-400"/>
    <n v="21634.38"/>
    <n v="22069.7"/>
    <n v="435.31999999999971"/>
    <n v="2.0121676701620277E-2"/>
    <s v="On Budget"/>
  </r>
  <r>
    <d v="2024-12-01T00:00:00"/>
    <x v="11"/>
    <x v="11"/>
    <s v="Dec-2024"/>
    <x v="1"/>
    <x v="3"/>
    <x v="2"/>
    <x v="0"/>
    <s v="CC-400"/>
    <n v="12044.51"/>
    <n v="10661.43"/>
    <n v="-1383.08"/>
    <n v="-0.11483074031239128"/>
    <s v="Underspend"/>
  </r>
  <r>
    <d v="2024-12-01T00:00:00"/>
    <x v="11"/>
    <x v="11"/>
    <s v="Dec-2024"/>
    <x v="1"/>
    <x v="3"/>
    <x v="2"/>
    <x v="1"/>
    <s v="CC-400"/>
    <n v="11228.26"/>
    <n v="10446.77"/>
    <n v="-781.48999999999978"/>
    <n v="-6.960027644532632E-2"/>
    <s v="Underspend"/>
  </r>
  <r>
    <d v="2024-12-01T00:00:00"/>
    <x v="11"/>
    <x v="11"/>
    <s v="Dec-2024"/>
    <x v="1"/>
    <x v="3"/>
    <x v="2"/>
    <x v="2"/>
    <s v="CC-400"/>
    <n v="11446.09"/>
    <n v="10592.37"/>
    <n v="-853.71999999999935"/>
    <n v="-7.4586168726613139E-2"/>
    <s v="Underspend"/>
  </r>
  <r>
    <d v="2024-12-01T00:00:00"/>
    <x v="11"/>
    <x v="11"/>
    <s v="Dec-2024"/>
    <x v="1"/>
    <x v="3"/>
    <x v="2"/>
    <x v="3"/>
    <s v="CC-400"/>
    <n v="12300"/>
    <n v="13035.72"/>
    <n v="735.71999999999935"/>
    <n v="5.981463414634141E-2"/>
    <s v="Overspend"/>
  </r>
  <r>
    <d v="2024-12-01T00:00:00"/>
    <x v="11"/>
    <x v="11"/>
    <s v="Dec-2024"/>
    <x v="1"/>
    <x v="3"/>
    <x v="3"/>
    <x v="0"/>
    <s v="CC-400"/>
    <n v="13046.49"/>
    <n v="13828.37"/>
    <n v="781.88000000000102"/>
    <n v="5.9930295428119063E-2"/>
    <s v="Overspend"/>
  </r>
  <r>
    <d v="2024-12-01T00:00:00"/>
    <x v="11"/>
    <x v="11"/>
    <s v="Dec-2024"/>
    <x v="1"/>
    <x v="3"/>
    <x v="3"/>
    <x v="1"/>
    <s v="CC-400"/>
    <n v="12775.03"/>
    <n v="13256.83"/>
    <n v="481.79999999999927"/>
    <n v="3.7714197148656342E-2"/>
    <s v="On Budget"/>
  </r>
  <r>
    <d v="2024-12-01T00:00:00"/>
    <x v="11"/>
    <x v="11"/>
    <s v="Dec-2024"/>
    <x v="1"/>
    <x v="3"/>
    <x v="3"/>
    <x v="2"/>
    <s v="CC-400"/>
    <n v="12926.25"/>
    <n v="14498.66"/>
    <n v="1572.4099999999999"/>
    <n v="0.12164471521129483"/>
    <s v="Overspend"/>
  </r>
  <r>
    <d v="2024-12-01T00:00:00"/>
    <x v="11"/>
    <x v="11"/>
    <s v="Dec-2024"/>
    <x v="1"/>
    <x v="3"/>
    <x v="3"/>
    <x v="3"/>
    <s v="CC-400"/>
    <n v="14063.6"/>
    <n v="15953.66"/>
    <n v="1890.0599999999995"/>
    <n v="0.13439375408856905"/>
    <s v="Overspend"/>
  </r>
  <r>
    <d v="2024-12-01T00:00:00"/>
    <x v="11"/>
    <x v="11"/>
    <s v="Dec-2024"/>
    <x v="1"/>
    <x v="3"/>
    <x v="4"/>
    <x v="0"/>
    <s v="CC-400"/>
    <n v="8495.0300000000007"/>
    <n v="8945.58"/>
    <n v="450.54999999999927"/>
    <n v="5.3036893336456642E-2"/>
    <s v="Overspend"/>
  </r>
  <r>
    <d v="2024-12-01T00:00:00"/>
    <x v="11"/>
    <x v="11"/>
    <s v="Dec-2024"/>
    <x v="1"/>
    <x v="3"/>
    <x v="4"/>
    <x v="1"/>
    <s v="CC-400"/>
    <n v="7952.58"/>
    <n v="9030.98"/>
    <n v="1078.3999999999996"/>
    <n v="0.13560379147396187"/>
    <s v="Overspend"/>
  </r>
  <r>
    <d v="2024-12-01T00:00:00"/>
    <x v="11"/>
    <x v="11"/>
    <s v="Dec-2024"/>
    <x v="1"/>
    <x v="3"/>
    <x v="4"/>
    <x v="2"/>
    <s v="CC-400"/>
    <n v="8126.44"/>
    <n v="7108.44"/>
    <n v="-1018"/>
    <n v="-0.12527010597506411"/>
    <s v="Underspend"/>
  </r>
  <r>
    <d v="2024-12-01T00:00:00"/>
    <x v="11"/>
    <x v="11"/>
    <s v="Dec-2024"/>
    <x v="1"/>
    <x v="3"/>
    <x v="4"/>
    <x v="3"/>
    <s v="CC-400"/>
    <n v="8888.07"/>
    <n v="9581.2199999999993"/>
    <n v="693.14999999999964"/>
    <n v="7.7986559511794992E-2"/>
    <s v="Overspend"/>
  </r>
  <r>
    <d v="2024-12-01T00:00:00"/>
    <x v="11"/>
    <x v="11"/>
    <s v="Dec-2024"/>
    <x v="1"/>
    <x v="4"/>
    <x v="0"/>
    <x v="0"/>
    <s v="CC-500"/>
    <n v="45566.69"/>
    <n v="47099.14"/>
    <n v="1532.4499999999971"/>
    <n v="3.3630926450878854E-2"/>
    <s v="On Budget"/>
  </r>
  <r>
    <d v="2024-12-01T00:00:00"/>
    <x v="11"/>
    <x v="11"/>
    <s v="Dec-2024"/>
    <x v="1"/>
    <x v="4"/>
    <x v="0"/>
    <x v="1"/>
    <s v="CC-500"/>
    <n v="41163.96"/>
    <n v="41051.96"/>
    <n v="-112"/>
    <n v="-2.720826664878695E-3"/>
    <s v="On Budget"/>
  </r>
  <r>
    <d v="2024-12-01T00:00:00"/>
    <x v="11"/>
    <x v="11"/>
    <s v="Dec-2024"/>
    <x v="1"/>
    <x v="4"/>
    <x v="0"/>
    <x v="2"/>
    <s v="CC-500"/>
    <n v="42777.16"/>
    <n v="43686.42"/>
    <n v="909.25999999999476"/>
    <n v="2.125573553737543E-2"/>
    <s v="On Budget"/>
  </r>
  <r>
    <d v="2024-12-01T00:00:00"/>
    <x v="11"/>
    <x v="11"/>
    <s v="Dec-2024"/>
    <x v="1"/>
    <x v="4"/>
    <x v="0"/>
    <x v="3"/>
    <s v="CC-500"/>
    <n v="45875.43"/>
    <n v="47924.72"/>
    <n v="2049.2900000000009"/>
    <n v="4.4670752949890626E-2"/>
    <s v="On Budget"/>
  </r>
  <r>
    <d v="2024-12-01T00:00:00"/>
    <x v="11"/>
    <x v="11"/>
    <s v="Dec-2024"/>
    <x v="1"/>
    <x v="4"/>
    <x v="1"/>
    <x v="0"/>
    <s v="CC-500"/>
    <n v="16480.2"/>
    <n v="16118.14"/>
    <n v="-362.06000000000131"/>
    <n v="-2.1969393575320767E-2"/>
    <s v="On Budget"/>
  </r>
  <r>
    <d v="2024-12-01T00:00:00"/>
    <x v="11"/>
    <x v="11"/>
    <s v="Dec-2024"/>
    <x v="1"/>
    <x v="4"/>
    <x v="1"/>
    <x v="1"/>
    <s v="CC-500"/>
    <n v="16392.919999999998"/>
    <n v="16267.4"/>
    <n v="-125.51999999999862"/>
    <n v="-7.6569641040155527E-3"/>
    <s v="On Budget"/>
  </r>
  <r>
    <d v="2024-12-01T00:00:00"/>
    <x v="11"/>
    <x v="11"/>
    <s v="Dec-2024"/>
    <x v="1"/>
    <x v="4"/>
    <x v="1"/>
    <x v="2"/>
    <s v="CC-500"/>
    <n v="16584.46"/>
    <n v="17056.38"/>
    <n v="471.92000000000189"/>
    <n v="2.845555417541493E-2"/>
    <s v="On Budget"/>
  </r>
  <r>
    <d v="2024-12-01T00:00:00"/>
    <x v="11"/>
    <x v="11"/>
    <s v="Dec-2024"/>
    <x v="1"/>
    <x v="4"/>
    <x v="1"/>
    <x v="3"/>
    <s v="CC-500"/>
    <n v="17188.77"/>
    <n v="16479.400000000001"/>
    <n v="-709.36999999999898"/>
    <n v="-4.126938693111834E-2"/>
    <s v="On Budget"/>
  </r>
  <r>
    <d v="2024-12-01T00:00:00"/>
    <x v="11"/>
    <x v="11"/>
    <s v="Dec-2024"/>
    <x v="1"/>
    <x v="4"/>
    <x v="2"/>
    <x v="0"/>
    <s v="CC-500"/>
    <n v="7344.04"/>
    <n v="7693.24"/>
    <n v="349.19999999999982"/>
    <n v="4.7548760627665401E-2"/>
    <s v="On Budget"/>
  </r>
  <r>
    <d v="2024-12-01T00:00:00"/>
    <x v="11"/>
    <x v="11"/>
    <s v="Dec-2024"/>
    <x v="1"/>
    <x v="4"/>
    <x v="2"/>
    <x v="1"/>
    <s v="CC-500"/>
    <n v="6654.18"/>
    <n v="6661.67"/>
    <n v="7.4899999999997817"/>
    <n v="1.1256082642789617E-3"/>
    <s v="On Budget"/>
  </r>
  <r>
    <d v="2024-12-01T00:00:00"/>
    <x v="11"/>
    <x v="11"/>
    <s v="Dec-2024"/>
    <x v="1"/>
    <x v="4"/>
    <x v="2"/>
    <x v="2"/>
    <s v="CC-500"/>
    <n v="6894.92"/>
    <n v="6778.63"/>
    <n v="-116.28999999999996"/>
    <n v="-1.6866040505183522E-2"/>
    <s v="On Budget"/>
  </r>
  <r>
    <d v="2024-12-01T00:00:00"/>
    <x v="11"/>
    <x v="11"/>
    <s v="Dec-2024"/>
    <x v="1"/>
    <x v="4"/>
    <x v="2"/>
    <x v="3"/>
    <s v="CC-500"/>
    <n v="7277.65"/>
    <n v="7455.5"/>
    <n v="177.85000000000036"/>
    <n v="2.4437833641354059E-2"/>
    <s v="On Budget"/>
  </r>
  <r>
    <d v="2024-12-01T00:00:00"/>
    <x v="11"/>
    <x v="11"/>
    <s v="Dec-2024"/>
    <x v="1"/>
    <x v="4"/>
    <x v="3"/>
    <x v="0"/>
    <s v="CC-500"/>
    <n v="7882.07"/>
    <n v="7612.01"/>
    <n v="-270.05999999999949"/>
    <n v="-3.4262573156543838E-2"/>
    <s v="On Budget"/>
  </r>
  <r>
    <d v="2024-12-01T00:00:00"/>
    <x v="11"/>
    <x v="11"/>
    <s v="Dec-2024"/>
    <x v="1"/>
    <x v="4"/>
    <x v="3"/>
    <x v="1"/>
    <s v="CC-500"/>
    <n v="7479.88"/>
    <n v="7470.99"/>
    <n v="-8.8900000000003274"/>
    <n v="-1.188521740990541E-3"/>
    <s v="On Budget"/>
  </r>
  <r>
    <d v="2024-12-01T00:00:00"/>
    <x v="11"/>
    <x v="11"/>
    <s v="Dec-2024"/>
    <x v="1"/>
    <x v="4"/>
    <x v="3"/>
    <x v="2"/>
    <s v="CC-500"/>
    <n v="7739.67"/>
    <n v="7726.8"/>
    <n v="-12.869999999999891"/>
    <n v="-1.662861594874186E-3"/>
    <s v="On Budget"/>
  </r>
  <r>
    <d v="2024-12-01T00:00:00"/>
    <x v="11"/>
    <x v="11"/>
    <s v="Dec-2024"/>
    <x v="1"/>
    <x v="4"/>
    <x v="3"/>
    <x v="3"/>
    <s v="CC-500"/>
    <n v="8074.19"/>
    <n v="7773.47"/>
    <n v="-300.71999999999935"/>
    <n v="-3.7244602864188153E-2"/>
    <s v="On Budget"/>
  </r>
  <r>
    <d v="2024-12-01T00:00:00"/>
    <x v="11"/>
    <x v="11"/>
    <s v="Dec-2024"/>
    <x v="1"/>
    <x v="4"/>
    <x v="4"/>
    <x v="0"/>
    <s v="CC-500"/>
    <n v="6531.32"/>
    <n v="6447.83"/>
    <n v="-83.489999999999782"/>
    <n v="-1.2783020890111001E-2"/>
    <s v="On Budget"/>
  </r>
  <r>
    <d v="2024-12-01T00:00:00"/>
    <x v="11"/>
    <x v="11"/>
    <s v="Dec-2024"/>
    <x v="1"/>
    <x v="4"/>
    <x v="4"/>
    <x v="1"/>
    <s v="CC-500"/>
    <n v="6272.86"/>
    <n v="6226.36"/>
    <n v="-46.5"/>
    <n v="-7.4128866258771917E-3"/>
    <s v="On Budget"/>
  </r>
  <r>
    <d v="2024-12-01T00:00:00"/>
    <x v="11"/>
    <x v="11"/>
    <s v="Dec-2024"/>
    <x v="1"/>
    <x v="4"/>
    <x v="4"/>
    <x v="2"/>
    <s v="CC-500"/>
    <n v="6413.07"/>
    <n v="6248.87"/>
    <n v="-164.19999999999982"/>
    <n v="-2.5603961909038856E-2"/>
    <s v="On Budget"/>
  </r>
  <r>
    <d v="2024-12-01T00:00:00"/>
    <x v="11"/>
    <x v="11"/>
    <s v="Dec-2024"/>
    <x v="1"/>
    <x v="4"/>
    <x v="4"/>
    <x v="3"/>
    <s v="CC-500"/>
    <n v="7136.6"/>
    <n v="7082.46"/>
    <n v="-54.140000000000327"/>
    <n v="-7.5862455511028111E-3"/>
    <s v="On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1C99D6-203F-4632-ABE6-494F33EEAD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ivot 1: Department Variance Summary">
  <location ref="A1:B7" firstHeaderRow="1" firstDataRow="1" firstDataCol="1"/>
  <pivotFields count="16">
    <pivotField numFmtId="14" showAll="0"/>
    <pivotField showAll="0"/>
    <pivotField showAll="0"/>
    <pivotField showAll="0"/>
    <pivotField showAll="0">
      <items count="3">
        <item x="0"/>
        <item x="1"/>
        <item t="default"/>
      </items>
    </pivotField>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showAll="0"/>
    <pivotField showAll="0"/>
    <pivotField numFmtId="4" showAll="0"/>
    <pivotField numFmtId="9" showAll="0"/>
    <pivotField showAll="0"/>
    <pivotField dataField="1" dragToRow="0" dragToCol="0" dragToPage="0" showAll="0" defaultSubtotal="0"/>
    <pivotField dragToRow="0" dragToCol="0" dragToPage="0" showAll="0" defaultSubtotal="0"/>
  </pivotFields>
  <rowFields count="1">
    <field x="5"/>
  </rowFields>
  <rowItems count="6">
    <i>
      <x v="3"/>
    </i>
    <i>
      <x v="4"/>
    </i>
    <i>
      <x v="1"/>
    </i>
    <i>
      <x/>
    </i>
    <i>
      <x v="2"/>
    </i>
    <i t="grand">
      <x/>
    </i>
  </rowItems>
  <colItems count="1">
    <i/>
  </colItems>
  <dataFields count="1">
    <dataField name="Sum of Variance_Pct" fld="14" baseField="0" baseItem="0"/>
  </dataFields>
  <formats count="2">
    <format dxfId="1">
      <pivotArea collapsedLevelsAreSubtotals="1" fieldPosition="0">
        <references count="2">
          <reference field="4294967294" count="1" selected="0">
            <x v="0"/>
          </reference>
          <reference field="5" count="0"/>
        </references>
      </pivotArea>
    </format>
    <format dxfId="0">
      <pivotArea field="5" grandRow="1" outline="0" collapsedLevelsAreSubtotals="1" axis="axisRow" fieldPosition="0">
        <references count="1">
          <reference field="4294967294" count="1" selected="0">
            <x v="0"/>
          </reference>
        </references>
      </pivotArea>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D8355-0E59-4BFC-9D8F-30CE3E93C95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rowHeaderCaption="Pivot 3: Monthly Variance by Year">
  <location ref="A9:B22" firstHeaderRow="1" firstDataRow="1" firstDataCol="1"/>
  <pivotFields count="16">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5">
        <item x="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3">
    <i>
      <x/>
    </i>
    <i>
      <x v="1"/>
    </i>
    <i>
      <x v="2"/>
    </i>
    <i>
      <x v="3"/>
    </i>
    <i>
      <x v="4"/>
    </i>
    <i>
      <x v="5"/>
    </i>
    <i>
      <x v="6"/>
    </i>
    <i>
      <x v="7"/>
    </i>
    <i>
      <x v="8"/>
    </i>
    <i>
      <x v="9"/>
    </i>
    <i>
      <x v="10"/>
    </i>
    <i>
      <x v="11"/>
    </i>
    <i t="grand">
      <x/>
    </i>
  </rowItems>
  <colItems count="1">
    <i/>
  </colItems>
  <dataFields count="1">
    <dataField name="Sum of Variance" fld="11" baseField="0" baseItem="0" numFmtId="4"/>
  </dataFields>
  <formats count="1">
    <format dxfId="2">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031170-F078-414A-BB6C-67CA01DF51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ivot 2: Category Variance Summary">
  <location ref="D1:E7" firstHeaderRow="1" firstDataRow="1" firstDataCol="1"/>
  <pivotFields count="16">
    <pivotField numFmtId="14" showAll="0"/>
    <pivotField showAll="0"/>
    <pivotField showAll="0"/>
    <pivotField showAll="0"/>
    <pivotField showAll="0">
      <items count="3">
        <item x="0"/>
        <item x="1"/>
        <item t="default"/>
      </items>
    </pivotField>
    <pivotField showAll="0">
      <items count="6">
        <item x="4"/>
        <item x="2"/>
        <item x="1"/>
        <item x="0"/>
        <item x="3"/>
        <item t="default"/>
      </items>
    </pivotField>
    <pivotField axis="axisRow" showAll="0" sortType="de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numFmtId="4" showAll="0"/>
    <pivotField numFmtId="9" showAll="0"/>
    <pivotField showAll="0"/>
    <pivotField dragToRow="0" dragToCol="0" dragToPage="0" showAll="0" defaultSubtotal="0"/>
    <pivotField dataField="1" dragToRow="0" dragToCol="0" dragToPage="0" showAll="0" defaultSubtotal="0"/>
  </pivotFields>
  <rowFields count="1">
    <field x="6"/>
  </rowFields>
  <rowItems count="6">
    <i>
      <x v="4"/>
    </i>
    <i>
      <x v="3"/>
    </i>
    <i>
      <x/>
    </i>
    <i>
      <x v="2"/>
    </i>
    <i>
      <x v="1"/>
    </i>
    <i t="grand">
      <x/>
    </i>
  </rowItems>
  <colItems count="1">
    <i/>
  </colItems>
  <dataFields count="1">
    <dataField name="Sum of Variance_Pct_Cat" fld="15" baseField="0" baseItem="0" numFmtId="10"/>
  </dataFields>
  <formats count="1">
    <format dxfId="3">
      <pivotArea outline="0" collapsedLevelsAreSubtotals="1" fieldPosition="0">
        <references count="1">
          <reference field="4294967294" count="1" selected="0">
            <x v="0"/>
          </reference>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1"/>
          </reference>
        </references>
      </pivotArea>
    </chartFormat>
    <chartFormat chart="13" format="6">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85C5B9-F366-4E1F-AF03-700E6CE2250E}" autoFormatId="16" applyNumberFormats="0" applyBorderFormats="0" applyFontFormats="0" applyPatternFormats="0" applyAlignmentFormats="0" applyWidthHeightFormats="0">
  <queryTableRefresh nextId="15" unboundColumnsRight="3">
    <queryTableFields count="14">
      <queryTableField id="1" name="Date" tableColumnId="1"/>
      <queryTableField id="2" name="Month_Number" tableColumnId="2"/>
      <queryTableField id="3" name="Month_Name" tableColumnId="3"/>
      <queryTableField id="4" name="Month_Year" tableColumnId="4"/>
      <queryTableField id="5" name="Year" tableColumnId="5"/>
      <queryTableField id="6" name="Department" tableColumnId="6"/>
      <queryTableField id="7" name="Category" tableColumnId="7"/>
      <queryTableField id="8" name="Region" tableColumnId="8"/>
      <queryTableField id="9" name="Cost_Center" tableColumnId="9"/>
      <queryTableField id="10" name="Budget" tableColumnId="10"/>
      <queryTableField id="11" name="Actual"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D7CDC4-B43B-48A3-A6C3-54647E942140}" sourceName="Year">
  <pivotTables>
    <pivotTable tabId="5" name="PivotTable1"/>
    <pivotTable tabId="5" name="PivotTable2"/>
    <pivotTable tabId="5" name="PivotTable3"/>
  </pivotTables>
  <data>
    <tabular pivotCacheId="1708146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A80AAAF-0A1F-4B42-B902-47D9CA8EDC1F}" sourceName="Department">
  <pivotTables>
    <pivotTable tabId="5" name="PivotTable1"/>
    <pivotTable tabId="5" name="PivotTable2"/>
    <pivotTable tabId="5" name="PivotTable3"/>
  </pivotTables>
  <data>
    <tabular pivotCacheId="170814687">
      <items count="5">
        <i x="4" s="1"/>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15284-E82D-421D-A38D-7DFF8C2465CB}" sourceName="Region">
  <pivotTables>
    <pivotTable tabId="5" name="PivotTable1"/>
    <pivotTable tabId="5" name="PivotTable2"/>
    <pivotTable tabId="5" name="PivotTable3"/>
  </pivotTables>
  <data>
    <tabular pivotCacheId="17081468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C8417DB-BBD7-4A10-8B82-7D3E932A50AE}" cache="Slicer_Year" caption="Year" rowHeight="247650"/>
  <slicer name="Department 2" xr10:uid="{6C9E5E55-4480-444F-B482-E9C5817F8890}" cache="Slicer_Department" caption="Department" rowHeight="247650"/>
  <slicer name="Region 2" xr10:uid="{E996983F-1537-43D7-8EC1-C33B5AEB615B}"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974EA82-2ECE-427A-B727-2BA90BFCDD89}" cache="Slicer_Year" caption="Select Year" style="Slicer Style 5" rowHeight="247650"/>
  <slicer name="Department 1" xr10:uid="{A720B8B8-3676-4CBF-97FB-A270A06714A3}" cache="Slicer_Department" caption="Department" style="Slicer Style 5" rowHeight="247650"/>
  <slicer name="Region 1" xr10:uid="{B2E6D321-2A40-47D6-BD70-60EC1522F7B7}" cache="Slicer_Region" caption="Region" style="Slicer Style 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F850B-D484-49FA-9224-2587358B32F5}" name="tbl_Budget" displayName="tbl_Budget" ref="A1:N2401" tableType="queryTable" totalsRowShown="0">
  <autoFilter ref="A1:N2401" xr:uid="{597F850B-D484-49FA-9224-2587358B32F5}">
    <filterColumn colId="6">
      <filters>
        <filter val="Travel"/>
      </filters>
    </filterColumn>
  </autoFilter>
  <tableColumns count="14">
    <tableColumn id="1" xr3:uid="{3A7EFD04-4E81-4F6C-A944-C2F5C26ED527}" uniqueName="1" name="Date" queryTableFieldId="1" dataDxfId="26"/>
    <tableColumn id="2" xr3:uid="{B953A9E2-3236-432B-A048-DA9B7ACFB37F}" uniqueName="2" name="Month_Number" queryTableFieldId="2"/>
    <tableColumn id="3" xr3:uid="{C1A1D904-6140-4AF5-922A-BA5CFC4C0782}" uniqueName="3" name="Month_Name" queryTableFieldId="3" dataDxfId="25"/>
    <tableColumn id="4" xr3:uid="{78047455-C1CE-42DF-AFD0-5CF927E6A166}" uniqueName="4" name="Month_Year" queryTableFieldId="4" dataDxfId="24"/>
    <tableColumn id="5" xr3:uid="{482628FE-910D-436E-A913-2450954F0408}" uniqueName="5" name="Year" queryTableFieldId="5"/>
    <tableColumn id="6" xr3:uid="{8001D88F-C003-401E-88F8-E8124714B2B2}" uniqueName="6" name="Department" queryTableFieldId="6" dataDxfId="23"/>
    <tableColumn id="7" xr3:uid="{CD41E522-0C23-479E-A97E-F32E4A2DDFC1}" uniqueName="7" name="Category" queryTableFieldId="7" dataDxfId="22"/>
    <tableColumn id="8" xr3:uid="{5492FCCE-7542-454A-ADE0-B074E7E8230C}" uniqueName="8" name="Region" queryTableFieldId="8" dataDxfId="21"/>
    <tableColumn id="9" xr3:uid="{3178A268-8783-436C-97D2-C6D122E168A1}" uniqueName="9" name="Cost_Center" queryTableFieldId="9" dataDxfId="20"/>
    <tableColumn id="10" xr3:uid="{10ACCB7F-FE64-428E-BB52-517D16BA6864}" uniqueName="10" name="Budget" queryTableFieldId="10"/>
    <tableColumn id="11" xr3:uid="{8C07DA57-BE94-48C8-9EBE-A11565C7F604}" uniqueName="11" name="Actual" queryTableFieldId="11"/>
    <tableColumn id="12" xr3:uid="{9475AA39-D74D-4395-AD88-9358A6D382A3}" uniqueName="12" name="Variance" queryTableFieldId="12" dataDxfId="19">
      <calculatedColumnFormula>tbl_Budget[[#This Row],[Actual]]-tbl_Budget[[#This Row],[Budget]]</calculatedColumnFormula>
    </tableColumn>
    <tableColumn id="13" xr3:uid="{8D8557E8-81C2-4380-AB1C-B12FC22E3F56}" uniqueName="13" name="Variance_%" queryTableFieldId="13" dataDxfId="18">
      <calculatedColumnFormula>tbl_Budget[[#This Row],[Variance]]/tbl_Budget[[#This Row],[Budget]]</calculatedColumnFormula>
    </tableColumn>
    <tableColumn id="14" xr3:uid="{CE06CFBC-5323-4CF6-B7E4-9ED4C16A25D2}" uniqueName="14" name="Status" queryTableFieldId="14" dataDxfId="17">
      <calculatedColumnFormula>IF(tbl_Budget[[#This Row],[Variance_%]]&gt;0.05,"Overspend",IF(tbl_Budget[[#This Row],[Variance_%]]&lt;-0.05,"Underspend","On Budget"))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55B6B9-43B0-439F-B366-6551AB86E364}" name="tbl_Department" displayName="tbl_Department" ref="A1:B6" totalsRowShown="0" headerRowDxfId="16" headerRowBorderDxfId="15" tableBorderDxfId="14" totalsRowBorderDxfId="13">
  <autoFilter ref="A1:B6" xr:uid="{A955B6B9-43B0-439F-B366-6551AB86E364}"/>
  <tableColumns count="2">
    <tableColumn id="1" xr3:uid="{B0938529-66A8-4044-BA47-6D0D0DB323F7}" name="Department" dataDxfId="12"/>
    <tableColumn id="2" xr3:uid="{1C967F83-E9BD-4BC9-9A8A-275C447FCD52}" name="Cost_Center"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2B8A5B-E33E-4972-9E4E-E40331A00423}" name="tbl_Threshold" displayName="tbl_Threshold" ref="D1:F4" totalsRowShown="0" headerRowDxfId="10" headerRowBorderDxfId="9" tableBorderDxfId="8" totalsRowBorderDxfId="7">
  <autoFilter ref="D1:F4" xr:uid="{992B8A5B-E33E-4972-9E4E-E40331A00423}"/>
  <tableColumns count="3">
    <tableColumn id="1" xr3:uid="{96717499-D03A-432A-84A6-B5CEA8C151B1}" name="Status" dataDxfId="6"/>
    <tableColumn id="2" xr3:uid="{22F65527-288C-4EB3-BEE9-1035F1FD2871}" name="Lower_Limit" dataDxfId="5"/>
    <tableColumn id="3" xr3:uid="{968D85B2-29DA-413B-8B47-E05649B38751}" name="Upper_Limit"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D21B-C5C9-4628-9273-FF293874C29E}">
  <sheetPr codeName="Sheet1"/>
  <dimension ref="A1:N2401"/>
  <sheetViews>
    <sheetView workbookViewId="0">
      <selection activeCell="C71" sqref="C71"/>
    </sheetView>
  </sheetViews>
  <sheetFormatPr defaultRowHeight="14.4"/>
  <cols>
    <col min="1" max="1" width="10.33203125" bestFit="1" customWidth="1"/>
    <col min="2" max="2" width="16.77734375" bestFit="1" customWidth="1"/>
    <col min="3" max="3" width="14.6640625" bestFit="1" customWidth="1"/>
    <col min="4" max="4" width="13.44140625" bestFit="1" customWidth="1"/>
    <col min="5" max="5" width="7.109375" bestFit="1" customWidth="1"/>
    <col min="6" max="6" width="13.77734375" bestFit="1" customWidth="1"/>
    <col min="7" max="7" width="11.109375" bestFit="1" customWidth="1"/>
    <col min="8" max="8" width="9.33203125" bestFit="1" customWidth="1"/>
    <col min="9" max="9" width="14.33203125" bestFit="1" customWidth="1"/>
    <col min="10" max="10" width="9.33203125" bestFit="1" customWidth="1"/>
    <col min="11" max="11" width="9" bestFit="1" customWidth="1"/>
    <col min="12" max="12" width="10.6640625" style="20" bestFit="1" customWidth="1"/>
    <col min="13" max="13" width="13" style="3" bestFit="1" customWidth="1"/>
    <col min="14" max="14" width="11.33203125" bestFit="1" customWidth="1"/>
  </cols>
  <sheetData>
    <row r="1" spans="1:14">
      <c r="A1" t="s">
        <v>0</v>
      </c>
      <c r="B1" t="s">
        <v>1</v>
      </c>
      <c r="C1" t="s">
        <v>2</v>
      </c>
      <c r="D1" t="s">
        <v>3</v>
      </c>
      <c r="E1" t="s">
        <v>4</v>
      </c>
      <c r="F1" t="s">
        <v>5</v>
      </c>
      <c r="G1" t="s">
        <v>6</v>
      </c>
      <c r="H1" t="s">
        <v>7</v>
      </c>
      <c r="I1" t="s">
        <v>8</v>
      </c>
      <c r="J1" t="s">
        <v>9</v>
      </c>
      <c r="K1" t="s">
        <v>10</v>
      </c>
      <c r="L1" s="20" t="s">
        <v>72</v>
      </c>
      <c r="M1" s="3" t="s">
        <v>73</v>
      </c>
      <c r="N1" t="s">
        <v>66</v>
      </c>
    </row>
    <row r="2" spans="1:14" hidden="1">
      <c r="A2" s="1">
        <v>44927</v>
      </c>
      <c r="B2">
        <v>1</v>
      </c>
      <c r="C2" t="s">
        <v>11</v>
      </c>
      <c r="D2" t="s">
        <v>12</v>
      </c>
      <c r="E2">
        <v>2023</v>
      </c>
      <c r="F2" t="s">
        <v>13</v>
      </c>
      <c r="G2" t="s">
        <v>14</v>
      </c>
      <c r="H2" t="s">
        <v>15</v>
      </c>
      <c r="I2" t="s">
        <v>16</v>
      </c>
      <c r="J2">
        <v>49247.61</v>
      </c>
      <c r="K2">
        <v>56737.77</v>
      </c>
      <c r="L2" s="20">
        <f>tbl_Budget[[#This Row],[Actual]]-tbl_Budget[[#This Row],[Budget]]</f>
        <v>7490.1599999999962</v>
      </c>
      <c r="M2" s="3">
        <f>tbl_Budget[[#This Row],[Variance]]/tbl_Budget[[#This Row],[Budget]]</f>
        <v>0.15209184770590889</v>
      </c>
      <c r="N2" t="str">
        <f>IF(tbl_Budget[[#This Row],[Variance_%]]&gt;0.05,"Overspend",IF(tbl_Budget[[#This Row],[Variance_%]]&lt;-0.05,"Underspend","On Budget"))</f>
        <v>Overspend</v>
      </c>
    </row>
    <row r="3" spans="1:14" hidden="1">
      <c r="A3" s="1">
        <v>44927</v>
      </c>
      <c r="B3">
        <v>1</v>
      </c>
      <c r="C3" t="s">
        <v>11</v>
      </c>
      <c r="D3" t="s">
        <v>12</v>
      </c>
      <c r="E3">
        <v>2023</v>
      </c>
      <c r="F3" t="s">
        <v>13</v>
      </c>
      <c r="G3" t="s">
        <v>14</v>
      </c>
      <c r="H3" t="s">
        <v>17</v>
      </c>
      <c r="I3" t="s">
        <v>16</v>
      </c>
      <c r="J3">
        <v>46645.11</v>
      </c>
      <c r="K3">
        <v>52241.17</v>
      </c>
      <c r="L3" s="20">
        <f>tbl_Budget[[#This Row],[Actual]]-tbl_Budget[[#This Row],[Budget]]</f>
        <v>5596.0599999999977</v>
      </c>
      <c r="M3" s="3">
        <f>tbl_Budget[[#This Row],[Variance]]/tbl_Budget[[#This Row],[Budget]]</f>
        <v>0.11997098945634382</v>
      </c>
      <c r="N3" t="str">
        <f>IF(tbl_Budget[[#This Row],[Variance_%]]&gt;0.05,"Overspend",IF(tbl_Budget[[#This Row],[Variance_%]]&lt;-0.05,"Underspend","On Budget"))</f>
        <v>Overspend</v>
      </c>
    </row>
    <row r="4" spans="1:14" hidden="1">
      <c r="A4" s="1">
        <v>44927</v>
      </c>
      <c r="B4">
        <v>1</v>
      </c>
      <c r="C4" t="s">
        <v>11</v>
      </c>
      <c r="D4" t="s">
        <v>12</v>
      </c>
      <c r="E4">
        <v>2023</v>
      </c>
      <c r="F4" t="s">
        <v>13</v>
      </c>
      <c r="G4" t="s">
        <v>14</v>
      </c>
      <c r="H4" t="s">
        <v>18</v>
      </c>
      <c r="I4" t="s">
        <v>16</v>
      </c>
      <c r="J4">
        <v>47777.04</v>
      </c>
      <c r="K4">
        <v>55891.51</v>
      </c>
      <c r="L4" s="20">
        <f>tbl_Budget[[#This Row],[Actual]]-tbl_Budget[[#This Row],[Budget]]</f>
        <v>8114.4700000000012</v>
      </c>
      <c r="M4" s="3">
        <f>tbl_Budget[[#This Row],[Variance]]/tbl_Budget[[#This Row],[Budget]]</f>
        <v>0.16984036683729259</v>
      </c>
      <c r="N4" t="str">
        <f>IF(tbl_Budget[[#This Row],[Variance_%]]&gt;0.05,"Overspend",IF(tbl_Budget[[#This Row],[Variance_%]]&lt;-0.05,"Underspend","On Budget"))</f>
        <v>Overspend</v>
      </c>
    </row>
    <row r="5" spans="1:14" hidden="1">
      <c r="A5" s="1">
        <v>44927</v>
      </c>
      <c r="B5">
        <v>1</v>
      </c>
      <c r="C5" t="s">
        <v>11</v>
      </c>
      <c r="D5" t="s">
        <v>12</v>
      </c>
      <c r="E5">
        <v>2023</v>
      </c>
      <c r="F5" t="s">
        <v>13</v>
      </c>
      <c r="G5" t="s">
        <v>14</v>
      </c>
      <c r="H5" t="s">
        <v>19</v>
      </c>
      <c r="I5" t="s">
        <v>16</v>
      </c>
      <c r="J5">
        <v>50182.97</v>
      </c>
      <c r="K5">
        <v>57549.08</v>
      </c>
      <c r="L5" s="20">
        <f>tbl_Budget[[#This Row],[Actual]]-tbl_Budget[[#This Row],[Budget]]</f>
        <v>7366.1100000000006</v>
      </c>
      <c r="M5" s="3">
        <f>tbl_Budget[[#This Row],[Variance]]/tbl_Budget[[#This Row],[Budget]]</f>
        <v>0.14678505477057258</v>
      </c>
      <c r="N5" t="str">
        <f>IF(tbl_Budget[[#This Row],[Variance_%]]&gt;0.05,"Overspend",IF(tbl_Budget[[#This Row],[Variance_%]]&lt;-0.05,"Underspend","On Budget"))</f>
        <v>Overspend</v>
      </c>
    </row>
    <row r="6" spans="1:14" hidden="1">
      <c r="A6" s="1">
        <v>44927</v>
      </c>
      <c r="B6">
        <v>1</v>
      </c>
      <c r="C6" t="s">
        <v>11</v>
      </c>
      <c r="D6" t="s">
        <v>12</v>
      </c>
      <c r="E6">
        <v>2023</v>
      </c>
      <c r="F6" t="s">
        <v>13</v>
      </c>
      <c r="G6" t="s">
        <v>20</v>
      </c>
      <c r="H6" t="s">
        <v>15</v>
      </c>
      <c r="I6" t="s">
        <v>16</v>
      </c>
      <c r="J6">
        <v>18616.919999999998</v>
      </c>
      <c r="K6">
        <v>21985.43</v>
      </c>
      <c r="L6" s="20">
        <f>tbl_Budget[[#This Row],[Actual]]-tbl_Budget[[#This Row],[Budget]]</f>
        <v>3368.510000000002</v>
      </c>
      <c r="M6" s="3">
        <f>tbl_Budget[[#This Row],[Variance]]/tbl_Budget[[#This Row],[Budget]]</f>
        <v>0.18093809287465393</v>
      </c>
      <c r="N6" t="str">
        <f>IF(tbl_Budget[[#This Row],[Variance_%]]&gt;0.05,"Overspend",IF(tbl_Budget[[#This Row],[Variance_%]]&lt;-0.05,"Underspend","On Budget"))</f>
        <v>Overspend</v>
      </c>
    </row>
    <row r="7" spans="1:14" hidden="1">
      <c r="A7" s="1">
        <v>44927</v>
      </c>
      <c r="B7">
        <v>1</v>
      </c>
      <c r="C7" t="s">
        <v>11</v>
      </c>
      <c r="D7" t="s">
        <v>12</v>
      </c>
      <c r="E7">
        <v>2023</v>
      </c>
      <c r="F7" t="s">
        <v>13</v>
      </c>
      <c r="G7" t="s">
        <v>20</v>
      </c>
      <c r="H7" t="s">
        <v>17</v>
      </c>
      <c r="I7" t="s">
        <v>16</v>
      </c>
      <c r="J7">
        <v>17274.189999999999</v>
      </c>
      <c r="K7">
        <v>19785.490000000002</v>
      </c>
      <c r="L7" s="20">
        <f>tbl_Budget[[#This Row],[Actual]]-tbl_Budget[[#This Row],[Budget]]</f>
        <v>2511.3000000000029</v>
      </c>
      <c r="M7" s="3">
        <f>tbl_Budget[[#This Row],[Variance]]/tbl_Budget[[#This Row],[Budget]]</f>
        <v>0.14537874134764078</v>
      </c>
      <c r="N7" t="str">
        <f>IF(tbl_Budget[[#This Row],[Variance_%]]&gt;0.05,"Overspend",IF(tbl_Budget[[#This Row],[Variance_%]]&lt;-0.05,"Underspend","On Budget"))</f>
        <v>Overspend</v>
      </c>
    </row>
    <row r="8" spans="1:14" hidden="1">
      <c r="A8" s="1">
        <v>44927</v>
      </c>
      <c r="B8">
        <v>1</v>
      </c>
      <c r="C8" t="s">
        <v>11</v>
      </c>
      <c r="D8" t="s">
        <v>12</v>
      </c>
      <c r="E8">
        <v>2023</v>
      </c>
      <c r="F8" t="s">
        <v>13</v>
      </c>
      <c r="G8" t="s">
        <v>20</v>
      </c>
      <c r="H8" t="s">
        <v>18</v>
      </c>
      <c r="I8" t="s">
        <v>16</v>
      </c>
      <c r="J8">
        <v>18272.27</v>
      </c>
      <c r="K8">
        <v>21363.4</v>
      </c>
      <c r="L8" s="20">
        <f>tbl_Budget[[#This Row],[Actual]]-tbl_Budget[[#This Row],[Budget]]</f>
        <v>3091.130000000001</v>
      </c>
      <c r="M8" s="3">
        <f>tbl_Budget[[#This Row],[Variance]]/tbl_Budget[[#This Row],[Budget]]</f>
        <v>0.16917055187997992</v>
      </c>
      <c r="N8" t="str">
        <f>IF(tbl_Budget[[#This Row],[Variance_%]]&gt;0.05,"Overspend",IF(tbl_Budget[[#This Row],[Variance_%]]&lt;-0.05,"Underspend","On Budget"))</f>
        <v>Overspend</v>
      </c>
    </row>
    <row r="9" spans="1:14" hidden="1">
      <c r="A9" s="1">
        <v>44927</v>
      </c>
      <c r="B9">
        <v>1</v>
      </c>
      <c r="C9" t="s">
        <v>11</v>
      </c>
      <c r="D9" t="s">
        <v>12</v>
      </c>
      <c r="E9">
        <v>2023</v>
      </c>
      <c r="F9" t="s">
        <v>13</v>
      </c>
      <c r="G9" t="s">
        <v>20</v>
      </c>
      <c r="H9" t="s">
        <v>19</v>
      </c>
      <c r="I9" t="s">
        <v>16</v>
      </c>
      <c r="J9">
        <v>19007.04</v>
      </c>
      <c r="K9">
        <v>22931.65</v>
      </c>
      <c r="L9" s="20">
        <f>tbl_Budget[[#This Row],[Actual]]-tbl_Budget[[#This Row],[Budget]]</f>
        <v>3924.6100000000006</v>
      </c>
      <c r="M9" s="3">
        <f>tbl_Budget[[#This Row],[Variance]]/tbl_Budget[[#This Row],[Budget]]</f>
        <v>0.20648191406973418</v>
      </c>
      <c r="N9" t="str">
        <f>IF(tbl_Budget[[#This Row],[Variance_%]]&gt;0.05,"Overspend",IF(tbl_Budget[[#This Row],[Variance_%]]&lt;-0.05,"Underspend","On Budget"))</f>
        <v>Overspend</v>
      </c>
    </row>
    <row r="10" spans="1:14">
      <c r="A10" s="1">
        <v>44927</v>
      </c>
      <c r="B10">
        <v>1</v>
      </c>
      <c r="C10" t="s">
        <v>11</v>
      </c>
      <c r="D10" t="s">
        <v>12</v>
      </c>
      <c r="E10">
        <v>2023</v>
      </c>
      <c r="F10" t="s">
        <v>13</v>
      </c>
      <c r="G10" t="s">
        <v>21</v>
      </c>
      <c r="H10" t="s">
        <v>15</v>
      </c>
      <c r="I10" t="s">
        <v>16</v>
      </c>
      <c r="J10">
        <v>10555.82</v>
      </c>
      <c r="K10">
        <v>11808.99</v>
      </c>
      <c r="L10" s="20">
        <f>tbl_Budget[[#This Row],[Actual]]-tbl_Budget[[#This Row],[Budget]]</f>
        <v>1253.17</v>
      </c>
      <c r="M10" s="3">
        <f>tbl_Budget[[#This Row],[Variance]]/tbl_Budget[[#This Row],[Budget]]</f>
        <v>0.11871839421286079</v>
      </c>
      <c r="N10" t="str">
        <f>IF(tbl_Budget[[#This Row],[Variance_%]]&gt;0.05,"Overspend",IF(tbl_Budget[[#This Row],[Variance_%]]&lt;-0.05,"Underspend","On Budget"))</f>
        <v>Overspend</v>
      </c>
    </row>
    <row r="11" spans="1:14">
      <c r="A11" s="1">
        <v>44927</v>
      </c>
      <c r="B11">
        <v>1</v>
      </c>
      <c r="C11" t="s">
        <v>11</v>
      </c>
      <c r="D11" t="s">
        <v>12</v>
      </c>
      <c r="E11">
        <v>2023</v>
      </c>
      <c r="F11" t="s">
        <v>13</v>
      </c>
      <c r="G11" t="s">
        <v>21</v>
      </c>
      <c r="H11" t="s">
        <v>17</v>
      </c>
      <c r="I11" t="s">
        <v>16</v>
      </c>
      <c r="J11">
        <v>9608.01</v>
      </c>
      <c r="K11">
        <v>10756.29</v>
      </c>
      <c r="L11" s="20">
        <f>tbl_Budget[[#This Row],[Actual]]-tbl_Budget[[#This Row],[Budget]]</f>
        <v>1148.2800000000007</v>
      </c>
      <c r="M11" s="3">
        <f>tbl_Budget[[#This Row],[Variance]]/tbl_Budget[[#This Row],[Budget]]</f>
        <v>0.11951278152291687</v>
      </c>
      <c r="N11" t="str">
        <f>IF(tbl_Budget[[#This Row],[Variance_%]]&gt;0.05,"Overspend",IF(tbl_Budget[[#This Row],[Variance_%]]&lt;-0.05,"Underspend","On Budget"))</f>
        <v>Overspend</v>
      </c>
    </row>
    <row r="12" spans="1:14">
      <c r="A12" s="1">
        <v>44927</v>
      </c>
      <c r="B12">
        <v>1</v>
      </c>
      <c r="C12" t="s">
        <v>11</v>
      </c>
      <c r="D12" t="s">
        <v>12</v>
      </c>
      <c r="E12">
        <v>2023</v>
      </c>
      <c r="F12" t="s">
        <v>13</v>
      </c>
      <c r="G12" t="s">
        <v>21</v>
      </c>
      <c r="H12" t="s">
        <v>18</v>
      </c>
      <c r="I12" t="s">
        <v>16</v>
      </c>
      <c r="J12">
        <v>10228.030000000001</v>
      </c>
      <c r="K12">
        <v>12197.77</v>
      </c>
      <c r="L12" s="20">
        <f>tbl_Budget[[#This Row],[Actual]]-tbl_Budget[[#This Row],[Budget]]</f>
        <v>1969.7399999999998</v>
      </c>
      <c r="M12" s="3">
        <f>tbl_Budget[[#This Row],[Variance]]/tbl_Budget[[#This Row],[Budget]]</f>
        <v>0.19258254033279132</v>
      </c>
      <c r="N12" t="str">
        <f>IF(tbl_Budget[[#This Row],[Variance_%]]&gt;0.05,"Overspend",IF(tbl_Budget[[#This Row],[Variance_%]]&lt;-0.05,"Underspend","On Budget"))</f>
        <v>Overspend</v>
      </c>
    </row>
    <row r="13" spans="1:14">
      <c r="A13" s="1">
        <v>44927</v>
      </c>
      <c r="B13">
        <v>1</v>
      </c>
      <c r="C13" t="s">
        <v>11</v>
      </c>
      <c r="D13" t="s">
        <v>12</v>
      </c>
      <c r="E13">
        <v>2023</v>
      </c>
      <c r="F13" t="s">
        <v>13</v>
      </c>
      <c r="G13" t="s">
        <v>21</v>
      </c>
      <c r="H13" t="s">
        <v>19</v>
      </c>
      <c r="I13" t="s">
        <v>16</v>
      </c>
      <c r="J13">
        <v>10701.77</v>
      </c>
      <c r="K13">
        <v>12198.22</v>
      </c>
      <c r="L13" s="20">
        <f>tbl_Budget[[#This Row],[Actual]]-tbl_Budget[[#This Row],[Budget]]</f>
        <v>1496.4499999999989</v>
      </c>
      <c r="M13" s="3">
        <f>tbl_Budget[[#This Row],[Variance]]/tbl_Budget[[#This Row],[Budget]]</f>
        <v>0.13983200909756038</v>
      </c>
      <c r="N13" t="str">
        <f>IF(tbl_Budget[[#This Row],[Variance_%]]&gt;0.05,"Overspend",IF(tbl_Budget[[#This Row],[Variance_%]]&lt;-0.05,"Underspend","On Budget"))</f>
        <v>Overspend</v>
      </c>
    </row>
    <row r="14" spans="1:14" hidden="1">
      <c r="A14" s="1">
        <v>44927</v>
      </c>
      <c r="B14">
        <v>1</v>
      </c>
      <c r="C14" t="s">
        <v>11</v>
      </c>
      <c r="D14" t="s">
        <v>12</v>
      </c>
      <c r="E14">
        <v>2023</v>
      </c>
      <c r="F14" t="s">
        <v>13</v>
      </c>
      <c r="G14" t="s">
        <v>22</v>
      </c>
      <c r="H14" t="s">
        <v>15</v>
      </c>
      <c r="I14" t="s">
        <v>16</v>
      </c>
      <c r="J14">
        <v>7895.89</v>
      </c>
      <c r="K14">
        <v>9011.6</v>
      </c>
      <c r="L14" s="20">
        <f>tbl_Budget[[#This Row],[Actual]]-tbl_Budget[[#This Row],[Budget]]</f>
        <v>1115.71</v>
      </c>
      <c r="M14" s="3">
        <f>tbl_Budget[[#This Row],[Variance]]/tbl_Budget[[#This Row],[Budget]]</f>
        <v>0.14130262706294033</v>
      </c>
      <c r="N14" t="str">
        <f>IF(tbl_Budget[[#This Row],[Variance_%]]&gt;0.05,"Overspend",IF(tbl_Budget[[#This Row],[Variance_%]]&lt;-0.05,"Underspend","On Budget"))</f>
        <v>Overspend</v>
      </c>
    </row>
    <row r="15" spans="1:14" hidden="1">
      <c r="A15" s="1">
        <v>44927</v>
      </c>
      <c r="B15">
        <v>1</v>
      </c>
      <c r="C15" t="s">
        <v>11</v>
      </c>
      <c r="D15" t="s">
        <v>12</v>
      </c>
      <c r="E15">
        <v>2023</v>
      </c>
      <c r="F15" t="s">
        <v>13</v>
      </c>
      <c r="G15" t="s">
        <v>22</v>
      </c>
      <c r="H15" t="s">
        <v>17</v>
      </c>
      <c r="I15" t="s">
        <v>16</v>
      </c>
      <c r="J15">
        <v>7761.48</v>
      </c>
      <c r="K15">
        <v>8935.99</v>
      </c>
      <c r="L15" s="20">
        <f>tbl_Budget[[#This Row],[Actual]]-tbl_Budget[[#This Row],[Budget]]</f>
        <v>1174.5100000000002</v>
      </c>
      <c r="M15" s="3">
        <f>tbl_Budget[[#This Row],[Variance]]/tbl_Budget[[#This Row],[Budget]]</f>
        <v>0.15132552039044103</v>
      </c>
      <c r="N15" t="str">
        <f>IF(tbl_Budget[[#This Row],[Variance_%]]&gt;0.05,"Overspend",IF(tbl_Budget[[#This Row],[Variance_%]]&lt;-0.05,"Underspend","On Budget"))</f>
        <v>Overspend</v>
      </c>
    </row>
    <row r="16" spans="1:14" hidden="1">
      <c r="A16" s="1">
        <v>44927</v>
      </c>
      <c r="B16">
        <v>1</v>
      </c>
      <c r="C16" t="s">
        <v>11</v>
      </c>
      <c r="D16" t="s">
        <v>12</v>
      </c>
      <c r="E16">
        <v>2023</v>
      </c>
      <c r="F16" t="s">
        <v>13</v>
      </c>
      <c r="G16" t="s">
        <v>22</v>
      </c>
      <c r="H16" t="s">
        <v>18</v>
      </c>
      <c r="I16" t="s">
        <v>16</v>
      </c>
      <c r="J16">
        <v>7934.2</v>
      </c>
      <c r="K16">
        <v>9035.1</v>
      </c>
      <c r="L16" s="20">
        <f>tbl_Budget[[#This Row],[Actual]]-tbl_Budget[[#This Row],[Budget]]</f>
        <v>1100.9000000000005</v>
      </c>
      <c r="M16" s="3">
        <f>tbl_Budget[[#This Row],[Variance]]/tbl_Budget[[#This Row],[Budget]]</f>
        <v>0.13875374959038095</v>
      </c>
      <c r="N16" t="str">
        <f>IF(tbl_Budget[[#This Row],[Variance_%]]&gt;0.05,"Overspend",IF(tbl_Budget[[#This Row],[Variance_%]]&lt;-0.05,"Underspend","On Budget"))</f>
        <v>Overspend</v>
      </c>
    </row>
    <row r="17" spans="1:14" hidden="1">
      <c r="A17" s="1">
        <v>44927</v>
      </c>
      <c r="B17">
        <v>1</v>
      </c>
      <c r="C17" t="s">
        <v>11</v>
      </c>
      <c r="D17" t="s">
        <v>12</v>
      </c>
      <c r="E17">
        <v>2023</v>
      </c>
      <c r="F17" t="s">
        <v>13</v>
      </c>
      <c r="G17" t="s">
        <v>22</v>
      </c>
      <c r="H17" t="s">
        <v>19</v>
      </c>
      <c r="I17" t="s">
        <v>16</v>
      </c>
      <c r="J17">
        <v>8542.2000000000007</v>
      </c>
      <c r="K17">
        <v>9686.23</v>
      </c>
      <c r="L17" s="20">
        <f>tbl_Budget[[#This Row],[Actual]]-tbl_Budget[[#This Row],[Budget]]</f>
        <v>1144.0299999999988</v>
      </c>
      <c r="M17" s="3">
        <f>tbl_Budget[[#This Row],[Variance]]/tbl_Budget[[#This Row],[Budget]]</f>
        <v>0.13392685724988865</v>
      </c>
      <c r="N17" t="str">
        <f>IF(tbl_Budget[[#This Row],[Variance_%]]&gt;0.05,"Overspend",IF(tbl_Budget[[#This Row],[Variance_%]]&lt;-0.05,"Underspend","On Budget"))</f>
        <v>Overspend</v>
      </c>
    </row>
    <row r="18" spans="1:14" hidden="1">
      <c r="A18" s="1">
        <v>44927</v>
      </c>
      <c r="B18">
        <v>1</v>
      </c>
      <c r="C18" t="s">
        <v>11</v>
      </c>
      <c r="D18" t="s">
        <v>12</v>
      </c>
      <c r="E18">
        <v>2023</v>
      </c>
      <c r="F18" t="s">
        <v>13</v>
      </c>
      <c r="G18" t="s">
        <v>23</v>
      </c>
      <c r="H18" t="s">
        <v>15</v>
      </c>
      <c r="I18" t="s">
        <v>16</v>
      </c>
      <c r="J18">
        <v>8396.8700000000008</v>
      </c>
      <c r="K18">
        <v>9297.76</v>
      </c>
      <c r="L18" s="20">
        <f>tbl_Budget[[#This Row],[Actual]]-tbl_Budget[[#This Row],[Budget]]</f>
        <v>900.88999999999942</v>
      </c>
      <c r="M18" s="3">
        <f>tbl_Budget[[#This Row],[Variance]]/tbl_Budget[[#This Row],[Budget]]</f>
        <v>0.10728878736957929</v>
      </c>
      <c r="N18" t="str">
        <f>IF(tbl_Budget[[#This Row],[Variance_%]]&gt;0.05,"Overspend",IF(tbl_Budget[[#This Row],[Variance_%]]&lt;-0.05,"Underspend","On Budget"))</f>
        <v>Overspend</v>
      </c>
    </row>
    <row r="19" spans="1:14" hidden="1">
      <c r="A19" s="1">
        <v>44927</v>
      </c>
      <c r="B19">
        <v>1</v>
      </c>
      <c r="C19" t="s">
        <v>11</v>
      </c>
      <c r="D19" t="s">
        <v>12</v>
      </c>
      <c r="E19">
        <v>2023</v>
      </c>
      <c r="F19" t="s">
        <v>13</v>
      </c>
      <c r="G19" t="s">
        <v>23</v>
      </c>
      <c r="H19" t="s">
        <v>17</v>
      </c>
      <c r="I19" t="s">
        <v>16</v>
      </c>
      <c r="J19">
        <v>7669.13</v>
      </c>
      <c r="K19">
        <v>9069.35</v>
      </c>
      <c r="L19" s="20">
        <f>tbl_Budget[[#This Row],[Actual]]-tbl_Budget[[#This Row],[Budget]]</f>
        <v>1400.2200000000003</v>
      </c>
      <c r="M19" s="3">
        <f>tbl_Budget[[#This Row],[Variance]]/tbl_Budget[[#This Row],[Budget]]</f>
        <v>0.18257872796523208</v>
      </c>
      <c r="N19" t="str">
        <f>IF(tbl_Budget[[#This Row],[Variance_%]]&gt;0.05,"Overspend",IF(tbl_Budget[[#This Row],[Variance_%]]&lt;-0.05,"Underspend","On Budget"))</f>
        <v>Overspend</v>
      </c>
    </row>
    <row r="20" spans="1:14" hidden="1">
      <c r="A20" s="1">
        <v>44927</v>
      </c>
      <c r="B20">
        <v>1</v>
      </c>
      <c r="C20" t="s">
        <v>11</v>
      </c>
      <c r="D20" t="s">
        <v>12</v>
      </c>
      <c r="E20">
        <v>2023</v>
      </c>
      <c r="F20" t="s">
        <v>13</v>
      </c>
      <c r="G20" t="s">
        <v>23</v>
      </c>
      <c r="H20" t="s">
        <v>18</v>
      </c>
      <c r="I20" t="s">
        <v>16</v>
      </c>
      <c r="J20">
        <v>8163.27</v>
      </c>
      <c r="K20">
        <v>9609.0300000000007</v>
      </c>
      <c r="L20" s="20">
        <f>tbl_Budget[[#This Row],[Actual]]-tbl_Budget[[#This Row],[Budget]]</f>
        <v>1445.7600000000002</v>
      </c>
      <c r="M20" s="3">
        <f>tbl_Budget[[#This Row],[Variance]]/tbl_Budget[[#This Row],[Budget]]</f>
        <v>0.17710549816433857</v>
      </c>
      <c r="N20" t="str">
        <f>IF(tbl_Budget[[#This Row],[Variance_%]]&gt;0.05,"Overspend",IF(tbl_Budget[[#This Row],[Variance_%]]&lt;-0.05,"Underspend","On Budget"))</f>
        <v>Overspend</v>
      </c>
    </row>
    <row r="21" spans="1:14" hidden="1">
      <c r="A21" s="1">
        <v>44927</v>
      </c>
      <c r="B21">
        <v>1</v>
      </c>
      <c r="C21" t="s">
        <v>11</v>
      </c>
      <c r="D21" t="s">
        <v>12</v>
      </c>
      <c r="E21">
        <v>2023</v>
      </c>
      <c r="F21" t="s">
        <v>13</v>
      </c>
      <c r="G21" t="s">
        <v>23</v>
      </c>
      <c r="H21" t="s">
        <v>19</v>
      </c>
      <c r="I21" t="s">
        <v>16</v>
      </c>
      <c r="J21">
        <v>8664.07</v>
      </c>
      <c r="K21">
        <v>9577.19</v>
      </c>
      <c r="L21" s="20">
        <f>tbl_Budget[[#This Row],[Actual]]-tbl_Budget[[#This Row],[Budget]]</f>
        <v>913.1200000000008</v>
      </c>
      <c r="M21" s="3">
        <f>tbl_Budget[[#This Row],[Variance]]/tbl_Budget[[#This Row],[Budget]]</f>
        <v>0.10539157693785955</v>
      </c>
      <c r="N21" t="str">
        <f>IF(tbl_Budget[[#This Row],[Variance_%]]&gt;0.05,"Overspend",IF(tbl_Budget[[#This Row],[Variance_%]]&lt;-0.05,"Underspend","On Budget"))</f>
        <v>Overspend</v>
      </c>
    </row>
    <row r="22" spans="1:14" hidden="1">
      <c r="A22" s="1">
        <v>44927</v>
      </c>
      <c r="B22">
        <v>1</v>
      </c>
      <c r="C22" t="s">
        <v>11</v>
      </c>
      <c r="D22" t="s">
        <v>12</v>
      </c>
      <c r="E22">
        <v>2023</v>
      </c>
      <c r="F22" t="s">
        <v>24</v>
      </c>
      <c r="G22" t="s">
        <v>14</v>
      </c>
      <c r="H22" t="s">
        <v>15</v>
      </c>
      <c r="I22" t="s">
        <v>25</v>
      </c>
      <c r="J22">
        <v>51562.59</v>
      </c>
      <c r="K22">
        <v>45101.52</v>
      </c>
      <c r="L22" s="20">
        <f>tbl_Budget[[#This Row],[Actual]]-tbl_Budget[[#This Row],[Budget]]</f>
        <v>-6461.07</v>
      </c>
      <c r="M22" s="3">
        <f>tbl_Budget[[#This Row],[Variance]]/tbl_Budget[[#This Row],[Budget]]</f>
        <v>-0.12530538128515267</v>
      </c>
      <c r="N22" t="str">
        <f>IF(tbl_Budget[[#This Row],[Variance_%]]&gt;0.05,"Overspend",IF(tbl_Budget[[#This Row],[Variance_%]]&lt;-0.05,"Underspend","On Budget"))</f>
        <v>Underspend</v>
      </c>
    </row>
    <row r="23" spans="1:14" hidden="1">
      <c r="A23" s="1">
        <v>44927</v>
      </c>
      <c r="B23">
        <v>1</v>
      </c>
      <c r="C23" t="s">
        <v>11</v>
      </c>
      <c r="D23" t="s">
        <v>12</v>
      </c>
      <c r="E23">
        <v>2023</v>
      </c>
      <c r="F23" t="s">
        <v>24</v>
      </c>
      <c r="G23" t="s">
        <v>14</v>
      </c>
      <c r="H23" t="s">
        <v>17</v>
      </c>
      <c r="I23" t="s">
        <v>25</v>
      </c>
      <c r="J23">
        <v>49341.04</v>
      </c>
      <c r="K23">
        <v>43552.39</v>
      </c>
      <c r="L23" s="20">
        <f>tbl_Budget[[#This Row],[Actual]]-tbl_Budget[[#This Row],[Budget]]</f>
        <v>-5788.6500000000015</v>
      </c>
      <c r="M23" s="3">
        <f>tbl_Budget[[#This Row],[Variance]]/tbl_Budget[[#This Row],[Budget]]</f>
        <v>-0.11731917284272891</v>
      </c>
      <c r="N23" t="str">
        <f>IF(tbl_Budget[[#This Row],[Variance_%]]&gt;0.05,"Overspend",IF(tbl_Budget[[#This Row],[Variance_%]]&lt;-0.05,"Underspend","On Budget"))</f>
        <v>Underspend</v>
      </c>
    </row>
    <row r="24" spans="1:14" hidden="1">
      <c r="A24" s="1">
        <v>44927</v>
      </c>
      <c r="B24">
        <v>1</v>
      </c>
      <c r="C24" t="s">
        <v>11</v>
      </c>
      <c r="D24" t="s">
        <v>12</v>
      </c>
      <c r="E24">
        <v>2023</v>
      </c>
      <c r="F24" t="s">
        <v>24</v>
      </c>
      <c r="G24" t="s">
        <v>14</v>
      </c>
      <c r="H24" t="s">
        <v>18</v>
      </c>
      <c r="I24" t="s">
        <v>25</v>
      </c>
      <c r="J24">
        <v>49736.06</v>
      </c>
      <c r="K24">
        <v>42627.72</v>
      </c>
      <c r="L24" s="20">
        <f>tbl_Budget[[#This Row],[Actual]]-tbl_Budget[[#This Row],[Budget]]</f>
        <v>-7108.3399999999965</v>
      </c>
      <c r="M24" s="3">
        <f>tbl_Budget[[#This Row],[Variance]]/tbl_Budget[[#This Row],[Budget]]</f>
        <v>-0.14292125270879916</v>
      </c>
      <c r="N24" t="str">
        <f>IF(tbl_Budget[[#This Row],[Variance_%]]&gt;0.05,"Overspend",IF(tbl_Budget[[#This Row],[Variance_%]]&lt;-0.05,"Underspend","On Budget"))</f>
        <v>Underspend</v>
      </c>
    </row>
    <row r="25" spans="1:14" hidden="1">
      <c r="A25" s="1">
        <v>44927</v>
      </c>
      <c r="B25">
        <v>1</v>
      </c>
      <c r="C25" t="s">
        <v>11</v>
      </c>
      <c r="D25" t="s">
        <v>12</v>
      </c>
      <c r="E25">
        <v>2023</v>
      </c>
      <c r="F25" t="s">
        <v>24</v>
      </c>
      <c r="G25" t="s">
        <v>14</v>
      </c>
      <c r="H25" t="s">
        <v>19</v>
      </c>
      <c r="I25" t="s">
        <v>25</v>
      </c>
      <c r="J25">
        <v>52827.85</v>
      </c>
      <c r="K25">
        <v>45387.29</v>
      </c>
      <c r="L25" s="20">
        <f>tbl_Budget[[#This Row],[Actual]]-tbl_Budget[[#This Row],[Budget]]</f>
        <v>-7440.5599999999977</v>
      </c>
      <c r="M25" s="3">
        <f>tbl_Budget[[#This Row],[Variance]]/tbl_Budget[[#This Row],[Budget]]</f>
        <v>-0.14084540635289905</v>
      </c>
      <c r="N25" t="str">
        <f>IF(tbl_Budget[[#This Row],[Variance_%]]&gt;0.05,"Overspend",IF(tbl_Budget[[#This Row],[Variance_%]]&lt;-0.05,"Underspend","On Budget"))</f>
        <v>Underspend</v>
      </c>
    </row>
    <row r="26" spans="1:14" hidden="1">
      <c r="A26" s="1">
        <v>44927</v>
      </c>
      <c r="B26">
        <v>1</v>
      </c>
      <c r="C26" t="s">
        <v>11</v>
      </c>
      <c r="D26" t="s">
        <v>12</v>
      </c>
      <c r="E26">
        <v>2023</v>
      </c>
      <c r="F26" t="s">
        <v>24</v>
      </c>
      <c r="G26" t="s">
        <v>20</v>
      </c>
      <c r="H26" t="s">
        <v>15</v>
      </c>
      <c r="I26" t="s">
        <v>25</v>
      </c>
      <c r="J26">
        <v>28795.18</v>
      </c>
      <c r="K26">
        <v>24593.53</v>
      </c>
      <c r="L26" s="20">
        <f>tbl_Budget[[#This Row],[Actual]]-tbl_Budget[[#This Row],[Budget]]</f>
        <v>-4201.6500000000015</v>
      </c>
      <c r="M26" s="3">
        <f>tbl_Budget[[#This Row],[Variance]]/tbl_Budget[[#This Row],[Budget]]</f>
        <v>-0.14591504550414344</v>
      </c>
      <c r="N26" t="str">
        <f>IF(tbl_Budget[[#This Row],[Variance_%]]&gt;0.05,"Overspend",IF(tbl_Budget[[#This Row],[Variance_%]]&lt;-0.05,"Underspend","On Budget"))</f>
        <v>Underspend</v>
      </c>
    </row>
    <row r="27" spans="1:14" hidden="1">
      <c r="A27" s="1">
        <v>44927</v>
      </c>
      <c r="B27">
        <v>1</v>
      </c>
      <c r="C27" t="s">
        <v>11</v>
      </c>
      <c r="D27" t="s">
        <v>12</v>
      </c>
      <c r="E27">
        <v>2023</v>
      </c>
      <c r="F27" t="s">
        <v>24</v>
      </c>
      <c r="G27" t="s">
        <v>20</v>
      </c>
      <c r="H27" t="s">
        <v>17</v>
      </c>
      <c r="I27" t="s">
        <v>25</v>
      </c>
      <c r="J27">
        <v>26476.57</v>
      </c>
      <c r="K27">
        <v>22967.89</v>
      </c>
      <c r="L27" s="20">
        <f>tbl_Budget[[#This Row],[Actual]]-tbl_Budget[[#This Row],[Budget]]</f>
        <v>-3508.6800000000003</v>
      </c>
      <c r="M27" s="3">
        <f>tbl_Budget[[#This Row],[Variance]]/tbl_Budget[[#This Row],[Budget]]</f>
        <v>-0.13252018671602855</v>
      </c>
      <c r="N27" t="str">
        <f>IF(tbl_Budget[[#This Row],[Variance_%]]&gt;0.05,"Overspend",IF(tbl_Budget[[#This Row],[Variance_%]]&lt;-0.05,"Underspend","On Budget"))</f>
        <v>Underspend</v>
      </c>
    </row>
    <row r="28" spans="1:14" hidden="1">
      <c r="A28" s="1">
        <v>44927</v>
      </c>
      <c r="B28">
        <v>1</v>
      </c>
      <c r="C28" t="s">
        <v>11</v>
      </c>
      <c r="D28" t="s">
        <v>12</v>
      </c>
      <c r="E28">
        <v>2023</v>
      </c>
      <c r="F28" t="s">
        <v>24</v>
      </c>
      <c r="G28" t="s">
        <v>20</v>
      </c>
      <c r="H28" t="s">
        <v>18</v>
      </c>
      <c r="I28" t="s">
        <v>25</v>
      </c>
      <c r="J28">
        <v>27469.68</v>
      </c>
      <c r="K28">
        <v>24506.17</v>
      </c>
      <c r="L28" s="20">
        <f>tbl_Budget[[#This Row],[Actual]]-tbl_Budget[[#This Row],[Budget]]</f>
        <v>-2963.510000000002</v>
      </c>
      <c r="M28" s="3">
        <f>tbl_Budget[[#This Row],[Variance]]/tbl_Budget[[#This Row],[Budget]]</f>
        <v>-0.1078829458515717</v>
      </c>
      <c r="N28" t="str">
        <f>IF(tbl_Budget[[#This Row],[Variance_%]]&gt;0.05,"Overspend",IF(tbl_Budget[[#This Row],[Variance_%]]&lt;-0.05,"Underspend","On Budget"))</f>
        <v>Underspend</v>
      </c>
    </row>
    <row r="29" spans="1:14" hidden="1">
      <c r="A29" s="1">
        <v>44927</v>
      </c>
      <c r="B29">
        <v>1</v>
      </c>
      <c r="C29" t="s">
        <v>11</v>
      </c>
      <c r="D29" t="s">
        <v>12</v>
      </c>
      <c r="E29">
        <v>2023</v>
      </c>
      <c r="F29" t="s">
        <v>24</v>
      </c>
      <c r="G29" t="s">
        <v>20</v>
      </c>
      <c r="H29" t="s">
        <v>19</v>
      </c>
      <c r="I29" t="s">
        <v>25</v>
      </c>
      <c r="J29">
        <v>29127.79</v>
      </c>
      <c r="K29">
        <v>25771.35</v>
      </c>
      <c r="L29" s="20">
        <f>tbl_Budget[[#This Row],[Actual]]-tbl_Budget[[#This Row],[Budget]]</f>
        <v>-3356.4400000000023</v>
      </c>
      <c r="M29" s="3">
        <f>tbl_Budget[[#This Row],[Variance]]/tbl_Budget[[#This Row],[Budget]]</f>
        <v>-0.1152315366184665</v>
      </c>
      <c r="N29" t="str">
        <f>IF(tbl_Budget[[#This Row],[Variance_%]]&gt;0.05,"Overspend",IF(tbl_Budget[[#This Row],[Variance_%]]&lt;-0.05,"Underspend","On Budget"))</f>
        <v>Underspend</v>
      </c>
    </row>
    <row r="30" spans="1:14">
      <c r="A30" s="1">
        <v>44927</v>
      </c>
      <c r="B30">
        <v>1</v>
      </c>
      <c r="C30" t="s">
        <v>11</v>
      </c>
      <c r="D30" t="s">
        <v>12</v>
      </c>
      <c r="E30">
        <v>2023</v>
      </c>
      <c r="F30" t="s">
        <v>24</v>
      </c>
      <c r="G30" t="s">
        <v>21</v>
      </c>
      <c r="H30" t="s">
        <v>15</v>
      </c>
      <c r="I30" t="s">
        <v>25</v>
      </c>
      <c r="J30">
        <v>10625.35</v>
      </c>
      <c r="K30">
        <v>9119.76</v>
      </c>
      <c r="L30" s="20">
        <f>tbl_Budget[[#This Row],[Actual]]-tbl_Budget[[#This Row],[Budget]]</f>
        <v>-1505.5900000000001</v>
      </c>
      <c r="M30" s="3">
        <f>tbl_Budget[[#This Row],[Variance]]/tbl_Budget[[#This Row],[Budget]]</f>
        <v>-0.14169792053908814</v>
      </c>
      <c r="N30" t="str">
        <f>IF(tbl_Budget[[#This Row],[Variance_%]]&gt;0.05,"Overspend",IF(tbl_Budget[[#This Row],[Variance_%]]&lt;-0.05,"Underspend","On Budget"))</f>
        <v>Underspend</v>
      </c>
    </row>
    <row r="31" spans="1:14">
      <c r="A31" s="1">
        <v>44927</v>
      </c>
      <c r="B31">
        <v>1</v>
      </c>
      <c r="C31" t="s">
        <v>11</v>
      </c>
      <c r="D31" t="s">
        <v>12</v>
      </c>
      <c r="E31">
        <v>2023</v>
      </c>
      <c r="F31" t="s">
        <v>24</v>
      </c>
      <c r="G31" t="s">
        <v>21</v>
      </c>
      <c r="H31" t="s">
        <v>17</v>
      </c>
      <c r="I31" t="s">
        <v>25</v>
      </c>
      <c r="J31">
        <v>10383.790000000001</v>
      </c>
      <c r="K31">
        <v>8910.14</v>
      </c>
      <c r="L31" s="20">
        <f>tbl_Budget[[#This Row],[Actual]]-tbl_Budget[[#This Row],[Budget]]</f>
        <v>-1473.6500000000015</v>
      </c>
      <c r="M31" s="3">
        <f>tbl_Budget[[#This Row],[Variance]]/tbl_Budget[[#This Row],[Budget]]</f>
        <v>-0.14191831691511494</v>
      </c>
      <c r="N31" t="str">
        <f>IF(tbl_Budget[[#This Row],[Variance_%]]&gt;0.05,"Overspend",IF(tbl_Budget[[#This Row],[Variance_%]]&lt;-0.05,"Underspend","On Budget"))</f>
        <v>Underspend</v>
      </c>
    </row>
    <row r="32" spans="1:14">
      <c r="A32" s="1">
        <v>44927</v>
      </c>
      <c r="B32">
        <v>1</v>
      </c>
      <c r="C32" t="s">
        <v>11</v>
      </c>
      <c r="D32" t="s">
        <v>12</v>
      </c>
      <c r="E32">
        <v>2023</v>
      </c>
      <c r="F32" t="s">
        <v>24</v>
      </c>
      <c r="G32" t="s">
        <v>21</v>
      </c>
      <c r="H32" t="s">
        <v>18</v>
      </c>
      <c r="I32" t="s">
        <v>25</v>
      </c>
      <c r="J32">
        <v>10398.450000000001</v>
      </c>
      <c r="K32">
        <v>9190.81</v>
      </c>
      <c r="L32" s="20">
        <f>tbl_Budget[[#This Row],[Actual]]-tbl_Budget[[#This Row],[Budget]]</f>
        <v>-1207.6400000000012</v>
      </c>
      <c r="M32" s="3">
        <f>tbl_Budget[[#This Row],[Variance]]/tbl_Budget[[#This Row],[Budget]]</f>
        <v>-0.11613653958041835</v>
      </c>
      <c r="N32" t="str">
        <f>IF(tbl_Budget[[#This Row],[Variance_%]]&gt;0.05,"Overspend",IF(tbl_Budget[[#This Row],[Variance_%]]&lt;-0.05,"Underspend","On Budget"))</f>
        <v>Underspend</v>
      </c>
    </row>
    <row r="33" spans="1:14">
      <c r="A33" s="1">
        <v>44927</v>
      </c>
      <c r="B33">
        <v>1</v>
      </c>
      <c r="C33" t="s">
        <v>11</v>
      </c>
      <c r="D33" t="s">
        <v>12</v>
      </c>
      <c r="E33">
        <v>2023</v>
      </c>
      <c r="F33" t="s">
        <v>24</v>
      </c>
      <c r="G33" t="s">
        <v>21</v>
      </c>
      <c r="H33" t="s">
        <v>19</v>
      </c>
      <c r="I33" t="s">
        <v>25</v>
      </c>
      <c r="J33">
        <v>11282.28</v>
      </c>
      <c r="K33">
        <v>9785.4599999999991</v>
      </c>
      <c r="L33" s="20">
        <f>tbl_Budget[[#This Row],[Actual]]-tbl_Budget[[#This Row],[Budget]]</f>
        <v>-1496.8200000000015</v>
      </c>
      <c r="M33" s="3">
        <f>tbl_Budget[[#This Row],[Variance]]/tbl_Budget[[#This Row],[Budget]]</f>
        <v>-0.13266999223561207</v>
      </c>
      <c r="N33" t="str">
        <f>IF(tbl_Budget[[#This Row],[Variance_%]]&gt;0.05,"Overspend",IF(tbl_Budget[[#This Row],[Variance_%]]&lt;-0.05,"Underspend","On Budget"))</f>
        <v>Underspend</v>
      </c>
    </row>
    <row r="34" spans="1:14" hidden="1">
      <c r="A34" s="1">
        <v>44927</v>
      </c>
      <c r="B34">
        <v>1</v>
      </c>
      <c r="C34" t="s">
        <v>11</v>
      </c>
      <c r="D34" t="s">
        <v>12</v>
      </c>
      <c r="E34">
        <v>2023</v>
      </c>
      <c r="F34" t="s">
        <v>24</v>
      </c>
      <c r="G34" t="s">
        <v>22</v>
      </c>
      <c r="H34" t="s">
        <v>15</v>
      </c>
      <c r="I34" t="s">
        <v>25</v>
      </c>
      <c r="J34">
        <v>8437.26</v>
      </c>
      <c r="K34">
        <v>7153.57</v>
      </c>
      <c r="L34" s="20">
        <f>tbl_Budget[[#This Row],[Actual]]-tbl_Budget[[#This Row],[Budget]]</f>
        <v>-1283.6900000000005</v>
      </c>
      <c r="M34" s="3">
        <f>tbl_Budget[[#This Row],[Variance]]/tbl_Budget[[#This Row],[Budget]]</f>
        <v>-0.15214536472741155</v>
      </c>
      <c r="N34" t="str">
        <f>IF(tbl_Budget[[#This Row],[Variance_%]]&gt;0.05,"Overspend",IF(tbl_Budget[[#This Row],[Variance_%]]&lt;-0.05,"Underspend","On Budget"))</f>
        <v>Underspend</v>
      </c>
    </row>
    <row r="35" spans="1:14" hidden="1">
      <c r="A35" s="1">
        <v>44927</v>
      </c>
      <c r="B35">
        <v>1</v>
      </c>
      <c r="C35" t="s">
        <v>11</v>
      </c>
      <c r="D35" t="s">
        <v>12</v>
      </c>
      <c r="E35">
        <v>2023</v>
      </c>
      <c r="F35" t="s">
        <v>24</v>
      </c>
      <c r="G35" t="s">
        <v>22</v>
      </c>
      <c r="H35" t="s">
        <v>17</v>
      </c>
      <c r="I35" t="s">
        <v>25</v>
      </c>
      <c r="J35">
        <v>8319.14</v>
      </c>
      <c r="K35">
        <v>7478.95</v>
      </c>
      <c r="L35" s="20">
        <f>tbl_Budget[[#This Row],[Actual]]-tbl_Budget[[#This Row],[Budget]]</f>
        <v>-840.1899999999996</v>
      </c>
      <c r="M35" s="3">
        <f>tbl_Budget[[#This Row],[Variance]]/tbl_Budget[[#This Row],[Budget]]</f>
        <v>-0.10099481436783125</v>
      </c>
      <c r="N35" t="str">
        <f>IF(tbl_Budget[[#This Row],[Variance_%]]&gt;0.05,"Overspend",IF(tbl_Budget[[#This Row],[Variance_%]]&lt;-0.05,"Underspend","On Budget"))</f>
        <v>Underspend</v>
      </c>
    </row>
    <row r="36" spans="1:14" hidden="1">
      <c r="A36" s="1">
        <v>44927</v>
      </c>
      <c r="B36">
        <v>1</v>
      </c>
      <c r="C36" t="s">
        <v>11</v>
      </c>
      <c r="D36" t="s">
        <v>12</v>
      </c>
      <c r="E36">
        <v>2023</v>
      </c>
      <c r="F36" t="s">
        <v>24</v>
      </c>
      <c r="G36" t="s">
        <v>22</v>
      </c>
      <c r="H36" t="s">
        <v>18</v>
      </c>
      <c r="I36" t="s">
        <v>25</v>
      </c>
      <c r="J36">
        <v>8143.97</v>
      </c>
      <c r="K36">
        <v>7357.81</v>
      </c>
      <c r="L36" s="20">
        <f>tbl_Budget[[#This Row],[Actual]]-tbl_Budget[[#This Row],[Budget]]</f>
        <v>-786.15999999999985</v>
      </c>
      <c r="M36" s="3">
        <f>tbl_Budget[[#This Row],[Variance]]/tbl_Budget[[#This Row],[Budget]]</f>
        <v>-9.6532772100093672E-2</v>
      </c>
      <c r="N36" t="str">
        <f>IF(tbl_Budget[[#This Row],[Variance_%]]&gt;0.05,"Overspend",IF(tbl_Budget[[#This Row],[Variance_%]]&lt;-0.05,"Underspend","On Budget"))</f>
        <v>Underspend</v>
      </c>
    </row>
    <row r="37" spans="1:14" hidden="1">
      <c r="A37" s="1">
        <v>44927</v>
      </c>
      <c r="B37">
        <v>1</v>
      </c>
      <c r="C37" t="s">
        <v>11</v>
      </c>
      <c r="D37" t="s">
        <v>12</v>
      </c>
      <c r="E37">
        <v>2023</v>
      </c>
      <c r="F37" t="s">
        <v>24</v>
      </c>
      <c r="G37" t="s">
        <v>22</v>
      </c>
      <c r="H37" t="s">
        <v>19</v>
      </c>
      <c r="I37" t="s">
        <v>25</v>
      </c>
      <c r="J37">
        <v>8953.2199999999993</v>
      </c>
      <c r="K37">
        <v>7775.82</v>
      </c>
      <c r="L37" s="20">
        <f>tbl_Budget[[#This Row],[Actual]]-tbl_Budget[[#This Row],[Budget]]</f>
        <v>-1177.3999999999996</v>
      </c>
      <c r="M37" s="3">
        <f>tbl_Budget[[#This Row],[Variance]]/tbl_Budget[[#This Row],[Budget]]</f>
        <v>-0.13150575993888231</v>
      </c>
      <c r="N37" t="str">
        <f>IF(tbl_Budget[[#This Row],[Variance_%]]&gt;0.05,"Overspend",IF(tbl_Budget[[#This Row],[Variance_%]]&lt;-0.05,"Underspend","On Budget"))</f>
        <v>Underspend</v>
      </c>
    </row>
    <row r="38" spans="1:14" hidden="1">
      <c r="A38" s="1">
        <v>44927</v>
      </c>
      <c r="B38">
        <v>1</v>
      </c>
      <c r="C38" t="s">
        <v>11</v>
      </c>
      <c r="D38" t="s">
        <v>12</v>
      </c>
      <c r="E38">
        <v>2023</v>
      </c>
      <c r="F38" t="s">
        <v>24</v>
      </c>
      <c r="G38" t="s">
        <v>23</v>
      </c>
      <c r="H38" t="s">
        <v>15</v>
      </c>
      <c r="I38" t="s">
        <v>25</v>
      </c>
      <c r="J38">
        <v>7115.8</v>
      </c>
      <c r="K38">
        <v>6363.93</v>
      </c>
      <c r="L38" s="20">
        <f>tbl_Budget[[#This Row],[Actual]]-tbl_Budget[[#This Row],[Budget]]</f>
        <v>-751.86999999999989</v>
      </c>
      <c r="M38" s="3">
        <f>tbl_Budget[[#This Row],[Variance]]/tbl_Budget[[#This Row],[Budget]]</f>
        <v>-0.10566204783720733</v>
      </c>
      <c r="N38" t="str">
        <f>IF(tbl_Budget[[#This Row],[Variance_%]]&gt;0.05,"Overspend",IF(tbl_Budget[[#This Row],[Variance_%]]&lt;-0.05,"Underspend","On Budget"))</f>
        <v>Underspend</v>
      </c>
    </row>
    <row r="39" spans="1:14" hidden="1">
      <c r="A39" s="1">
        <v>44927</v>
      </c>
      <c r="B39">
        <v>1</v>
      </c>
      <c r="C39" t="s">
        <v>11</v>
      </c>
      <c r="D39" t="s">
        <v>12</v>
      </c>
      <c r="E39">
        <v>2023</v>
      </c>
      <c r="F39" t="s">
        <v>24</v>
      </c>
      <c r="G39" t="s">
        <v>23</v>
      </c>
      <c r="H39" t="s">
        <v>17</v>
      </c>
      <c r="I39" t="s">
        <v>25</v>
      </c>
      <c r="J39">
        <v>6814.49</v>
      </c>
      <c r="K39">
        <v>5905.91</v>
      </c>
      <c r="L39" s="20">
        <f>tbl_Budget[[#This Row],[Actual]]-tbl_Budget[[#This Row],[Budget]]</f>
        <v>-908.57999999999993</v>
      </c>
      <c r="M39" s="3">
        <f>tbl_Budget[[#This Row],[Variance]]/tbl_Budget[[#This Row],[Budget]]</f>
        <v>-0.13333059407233702</v>
      </c>
      <c r="N39" t="str">
        <f>IF(tbl_Budget[[#This Row],[Variance_%]]&gt;0.05,"Overspend",IF(tbl_Budget[[#This Row],[Variance_%]]&lt;-0.05,"Underspend","On Budget"))</f>
        <v>Underspend</v>
      </c>
    </row>
    <row r="40" spans="1:14" hidden="1">
      <c r="A40" s="1">
        <v>44927</v>
      </c>
      <c r="B40">
        <v>1</v>
      </c>
      <c r="C40" t="s">
        <v>11</v>
      </c>
      <c r="D40" t="s">
        <v>12</v>
      </c>
      <c r="E40">
        <v>2023</v>
      </c>
      <c r="F40" t="s">
        <v>24</v>
      </c>
      <c r="G40" t="s">
        <v>23</v>
      </c>
      <c r="H40" t="s">
        <v>18</v>
      </c>
      <c r="I40" t="s">
        <v>25</v>
      </c>
      <c r="J40">
        <v>6942.69</v>
      </c>
      <c r="K40">
        <v>6230.7</v>
      </c>
      <c r="L40" s="20">
        <f>tbl_Budget[[#This Row],[Actual]]-tbl_Budget[[#This Row],[Budget]]</f>
        <v>-711.98999999999978</v>
      </c>
      <c r="M40" s="3">
        <f>tbl_Budget[[#This Row],[Variance]]/tbl_Budget[[#This Row],[Budget]]</f>
        <v>-0.10255246885573169</v>
      </c>
      <c r="N40" t="str">
        <f>IF(tbl_Budget[[#This Row],[Variance_%]]&gt;0.05,"Overspend",IF(tbl_Budget[[#This Row],[Variance_%]]&lt;-0.05,"Underspend","On Budget"))</f>
        <v>Underspend</v>
      </c>
    </row>
    <row r="41" spans="1:14" hidden="1">
      <c r="A41" s="1">
        <v>44927</v>
      </c>
      <c r="B41">
        <v>1</v>
      </c>
      <c r="C41" t="s">
        <v>11</v>
      </c>
      <c r="D41" t="s">
        <v>12</v>
      </c>
      <c r="E41">
        <v>2023</v>
      </c>
      <c r="F41" t="s">
        <v>24</v>
      </c>
      <c r="G41" t="s">
        <v>23</v>
      </c>
      <c r="H41" t="s">
        <v>19</v>
      </c>
      <c r="I41" t="s">
        <v>25</v>
      </c>
      <c r="J41">
        <v>7675.35</v>
      </c>
      <c r="K41">
        <v>6706.9</v>
      </c>
      <c r="L41" s="20">
        <f>tbl_Budget[[#This Row],[Actual]]-tbl_Budget[[#This Row],[Budget]]</f>
        <v>-968.45000000000073</v>
      </c>
      <c r="M41" s="3">
        <f>tbl_Budget[[#This Row],[Variance]]/tbl_Budget[[#This Row],[Budget]]</f>
        <v>-0.12617665643912013</v>
      </c>
      <c r="N41" t="str">
        <f>IF(tbl_Budget[[#This Row],[Variance_%]]&gt;0.05,"Overspend",IF(tbl_Budget[[#This Row],[Variance_%]]&lt;-0.05,"Underspend","On Budget"))</f>
        <v>Underspend</v>
      </c>
    </row>
    <row r="42" spans="1:14" hidden="1">
      <c r="A42" s="1">
        <v>44927</v>
      </c>
      <c r="B42">
        <v>1</v>
      </c>
      <c r="C42" t="s">
        <v>11</v>
      </c>
      <c r="D42" t="s">
        <v>12</v>
      </c>
      <c r="E42">
        <v>2023</v>
      </c>
      <c r="F42" t="s">
        <v>26</v>
      </c>
      <c r="G42" t="s">
        <v>14</v>
      </c>
      <c r="H42" t="s">
        <v>15</v>
      </c>
      <c r="I42" t="s">
        <v>27</v>
      </c>
      <c r="J42">
        <v>44800.02</v>
      </c>
      <c r="K42">
        <v>44827.12</v>
      </c>
      <c r="L42" s="20">
        <f>tbl_Budget[[#This Row],[Actual]]-tbl_Budget[[#This Row],[Budget]]</f>
        <v>27.100000000005821</v>
      </c>
      <c r="M42" s="3">
        <f>tbl_Budget[[#This Row],[Variance]]/tbl_Budget[[#This Row],[Budget]]</f>
        <v>6.0491044423653878E-4</v>
      </c>
      <c r="N42" t="str">
        <f>IF(tbl_Budget[[#This Row],[Variance_%]]&gt;0.05,"Overspend",IF(tbl_Budget[[#This Row],[Variance_%]]&lt;-0.05,"Underspend","On Budget"))</f>
        <v>On Budget</v>
      </c>
    </row>
    <row r="43" spans="1:14" hidden="1">
      <c r="A43" s="1">
        <v>44927</v>
      </c>
      <c r="B43">
        <v>1</v>
      </c>
      <c r="C43" t="s">
        <v>11</v>
      </c>
      <c r="D43" t="s">
        <v>12</v>
      </c>
      <c r="E43">
        <v>2023</v>
      </c>
      <c r="F43" t="s">
        <v>26</v>
      </c>
      <c r="G43" t="s">
        <v>14</v>
      </c>
      <c r="H43" t="s">
        <v>17</v>
      </c>
      <c r="I43" t="s">
        <v>27</v>
      </c>
      <c r="J43">
        <v>42197.02</v>
      </c>
      <c r="K43">
        <v>41031.54</v>
      </c>
      <c r="L43" s="20">
        <f>tbl_Budget[[#This Row],[Actual]]-tbl_Budget[[#This Row],[Budget]]</f>
        <v>-1165.4799999999959</v>
      </c>
      <c r="M43" s="3">
        <f>tbl_Budget[[#This Row],[Variance]]/tbl_Budget[[#This Row],[Budget]]</f>
        <v>-2.7619959892902297E-2</v>
      </c>
      <c r="N43" t="str">
        <f>IF(tbl_Budget[[#This Row],[Variance_%]]&gt;0.05,"Overspend",IF(tbl_Budget[[#This Row],[Variance_%]]&lt;-0.05,"Underspend","On Budget"))</f>
        <v>On Budget</v>
      </c>
    </row>
    <row r="44" spans="1:14" hidden="1">
      <c r="A44" s="1">
        <v>44927</v>
      </c>
      <c r="B44">
        <v>1</v>
      </c>
      <c r="C44" t="s">
        <v>11</v>
      </c>
      <c r="D44" t="s">
        <v>12</v>
      </c>
      <c r="E44">
        <v>2023</v>
      </c>
      <c r="F44" t="s">
        <v>26</v>
      </c>
      <c r="G44" t="s">
        <v>14</v>
      </c>
      <c r="H44" t="s">
        <v>18</v>
      </c>
      <c r="I44" t="s">
        <v>27</v>
      </c>
      <c r="J44">
        <v>42835.02</v>
      </c>
      <c r="K44">
        <v>41588.89</v>
      </c>
      <c r="L44" s="20">
        <f>tbl_Budget[[#This Row],[Actual]]-tbl_Budget[[#This Row],[Budget]]</f>
        <v>-1246.1299999999974</v>
      </c>
      <c r="M44" s="3">
        <f>tbl_Budget[[#This Row],[Variance]]/tbl_Budget[[#This Row],[Budget]]</f>
        <v>-2.9091383638901007E-2</v>
      </c>
      <c r="N44" t="str">
        <f>IF(tbl_Budget[[#This Row],[Variance_%]]&gt;0.05,"Overspend",IF(tbl_Budget[[#This Row],[Variance_%]]&lt;-0.05,"Underspend","On Budget"))</f>
        <v>On Budget</v>
      </c>
    </row>
    <row r="45" spans="1:14" hidden="1">
      <c r="A45" s="1">
        <v>44927</v>
      </c>
      <c r="B45">
        <v>1</v>
      </c>
      <c r="C45" t="s">
        <v>11</v>
      </c>
      <c r="D45" t="s">
        <v>12</v>
      </c>
      <c r="E45">
        <v>2023</v>
      </c>
      <c r="F45" t="s">
        <v>26</v>
      </c>
      <c r="G45" t="s">
        <v>14</v>
      </c>
      <c r="H45" t="s">
        <v>19</v>
      </c>
      <c r="I45" t="s">
        <v>27</v>
      </c>
      <c r="J45">
        <v>46549.69</v>
      </c>
      <c r="K45">
        <v>46017.62</v>
      </c>
      <c r="L45" s="20">
        <f>tbl_Budget[[#This Row],[Actual]]-tbl_Budget[[#This Row],[Budget]]</f>
        <v>-532.06999999999971</v>
      </c>
      <c r="M45" s="3">
        <f>tbl_Budget[[#This Row],[Variance]]/tbl_Budget[[#This Row],[Budget]]</f>
        <v>-1.1430151307130073E-2</v>
      </c>
      <c r="N45" t="str">
        <f>IF(tbl_Budget[[#This Row],[Variance_%]]&gt;0.05,"Overspend",IF(tbl_Budget[[#This Row],[Variance_%]]&lt;-0.05,"Underspend","On Budget"))</f>
        <v>On Budget</v>
      </c>
    </row>
    <row r="46" spans="1:14" hidden="1">
      <c r="A46" s="1">
        <v>44927</v>
      </c>
      <c r="B46">
        <v>1</v>
      </c>
      <c r="C46" t="s">
        <v>11</v>
      </c>
      <c r="D46" t="s">
        <v>12</v>
      </c>
      <c r="E46">
        <v>2023</v>
      </c>
      <c r="F46" t="s">
        <v>26</v>
      </c>
      <c r="G46" t="s">
        <v>20</v>
      </c>
      <c r="H46" t="s">
        <v>15</v>
      </c>
      <c r="I46" t="s">
        <v>27</v>
      </c>
      <c r="J46">
        <v>15235.34</v>
      </c>
      <c r="K46">
        <v>15122.81</v>
      </c>
      <c r="L46" s="20">
        <f>tbl_Budget[[#This Row],[Actual]]-tbl_Budget[[#This Row],[Budget]]</f>
        <v>-112.53000000000065</v>
      </c>
      <c r="M46" s="3">
        <f>tbl_Budget[[#This Row],[Variance]]/tbl_Budget[[#This Row],[Budget]]</f>
        <v>-7.386116752235306E-3</v>
      </c>
      <c r="N46" t="str">
        <f>IF(tbl_Budget[[#This Row],[Variance_%]]&gt;0.05,"Overspend",IF(tbl_Budget[[#This Row],[Variance_%]]&lt;-0.05,"Underspend","On Budget"))</f>
        <v>On Budget</v>
      </c>
    </row>
    <row r="47" spans="1:14" hidden="1">
      <c r="A47" s="1">
        <v>44927</v>
      </c>
      <c r="B47">
        <v>1</v>
      </c>
      <c r="C47" t="s">
        <v>11</v>
      </c>
      <c r="D47" t="s">
        <v>12</v>
      </c>
      <c r="E47">
        <v>2023</v>
      </c>
      <c r="F47" t="s">
        <v>26</v>
      </c>
      <c r="G47" t="s">
        <v>20</v>
      </c>
      <c r="H47" t="s">
        <v>17</v>
      </c>
      <c r="I47" t="s">
        <v>27</v>
      </c>
      <c r="J47">
        <v>14012.57</v>
      </c>
      <c r="K47">
        <v>14393.01</v>
      </c>
      <c r="L47" s="20">
        <f>tbl_Budget[[#This Row],[Actual]]-tbl_Budget[[#This Row],[Budget]]</f>
        <v>380.44000000000051</v>
      </c>
      <c r="M47" s="3">
        <f>tbl_Budget[[#This Row],[Variance]]/tbl_Budget[[#This Row],[Budget]]</f>
        <v>2.7149908974585E-2</v>
      </c>
      <c r="N47" t="str">
        <f>IF(tbl_Budget[[#This Row],[Variance_%]]&gt;0.05,"Overspend",IF(tbl_Budget[[#This Row],[Variance_%]]&lt;-0.05,"Underspend","On Budget"))</f>
        <v>On Budget</v>
      </c>
    </row>
    <row r="48" spans="1:14" hidden="1">
      <c r="A48" s="1">
        <v>44927</v>
      </c>
      <c r="B48">
        <v>1</v>
      </c>
      <c r="C48" t="s">
        <v>11</v>
      </c>
      <c r="D48" t="s">
        <v>12</v>
      </c>
      <c r="E48">
        <v>2023</v>
      </c>
      <c r="F48" t="s">
        <v>26</v>
      </c>
      <c r="G48" t="s">
        <v>20</v>
      </c>
      <c r="H48" t="s">
        <v>18</v>
      </c>
      <c r="I48" t="s">
        <v>27</v>
      </c>
      <c r="J48">
        <v>14969.71</v>
      </c>
      <c r="K48">
        <v>14591.03</v>
      </c>
      <c r="L48" s="20">
        <f>tbl_Budget[[#This Row],[Actual]]-tbl_Budget[[#This Row],[Budget]]</f>
        <v>-378.67999999999847</v>
      </c>
      <c r="M48" s="3">
        <f>tbl_Budget[[#This Row],[Variance]]/tbl_Budget[[#This Row],[Budget]]</f>
        <v>-2.5296415227816605E-2</v>
      </c>
      <c r="N48" t="str">
        <f>IF(tbl_Budget[[#This Row],[Variance_%]]&gt;0.05,"Overspend",IF(tbl_Budget[[#This Row],[Variance_%]]&lt;-0.05,"Underspend","On Budget"))</f>
        <v>On Budget</v>
      </c>
    </row>
    <row r="49" spans="1:14" hidden="1">
      <c r="A49" s="1">
        <v>44927</v>
      </c>
      <c r="B49">
        <v>1</v>
      </c>
      <c r="C49" t="s">
        <v>11</v>
      </c>
      <c r="D49" t="s">
        <v>12</v>
      </c>
      <c r="E49">
        <v>2023</v>
      </c>
      <c r="F49" t="s">
        <v>26</v>
      </c>
      <c r="G49" t="s">
        <v>20</v>
      </c>
      <c r="H49" t="s">
        <v>19</v>
      </c>
      <c r="I49" t="s">
        <v>27</v>
      </c>
      <c r="J49">
        <v>15741.62</v>
      </c>
      <c r="K49">
        <v>16178.32</v>
      </c>
      <c r="L49" s="20">
        <f>tbl_Budget[[#This Row],[Actual]]-tbl_Budget[[#This Row],[Budget]]</f>
        <v>436.69999999999891</v>
      </c>
      <c r="M49" s="3">
        <f>tbl_Budget[[#This Row],[Variance]]/tbl_Budget[[#This Row],[Budget]]</f>
        <v>2.7741744496436762E-2</v>
      </c>
      <c r="N49" t="str">
        <f>IF(tbl_Budget[[#This Row],[Variance_%]]&gt;0.05,"Overspend",IF(tbl_Budget[[#This Row],[Variance_%]]&lt;-0.05,"Underspend","On Budget"))</f>
        <v>On Budget</v>
      </c>
    </row>
    <row r="50" spans="1:14">
      <c r="A50" s="1">
        <v>44927</v>
      </c>
      <c r="B50">
        <v>1</v>
      </c>
      <c r="C50" t="s">
        <v>11</v>
      </c>
      <c r="D50" t="s">
        <v>12</v>
      </c>
      <c r="E50">
        <v>2023</v>
      </c>
      <c r="F50" t="s">
        <v>26</v>
      </c>
      <c r="G50" t="s">
        <v>21</v>
      </c>
      <c r="H50" t="s">
        <v>15</v>
      </c>
      <c r="I50" t="s">
        <v>27</v>
      </c>
      <c r="J50">
        <v>8514.83</v>
      </c>
      <c r="K50">
        <v>8367.5</v>
      </c>
      <c r="L50" s="20">
        <f>tbl_Budget[[#This Row],[Actual]]-tbl_Budget[[#This Row],[Budget]]</f>
        <v>-147.32999999999993</v>
      </c>
      <c r="M50" s="3">
        <f>tbl_Budget[[#This Row],[Variance]]/tbl_Budget[[#This Row],[Budget]]</f>
        <v>-1.730275296159758E-2</v>
      </c>
      <c r="N50" t="str">
        <f>IF(tbl_Budget[[#This Row],[Variance_%]]&gt;0.05,"Overspend",IF(tbl_Budget[[#This Row],[Variance_%]]&lt;-0.05,"Underspend","On Budget"))</f>
        <v>On Budget</v>
      </c>
    </row>
    <row r="51" spans="1:14">
      <c r="A51" s="1">
        <v>44927</v>
      </c>
      <c r="B51">
        <v>1</v>
      </c>
      <c r="C51" t="s">
        <v>11</v>
      </c>
      <c r="D51" t="s">
        <v>12</v>
      </c>
      <c r="E51">
        <v>2023</v>
      </c>
      <c r="F51" t="s">
        <v>26</v>
      </c>
      <c r="G51" t="s">
        <v>21</v>
      </c>
      <c r="H51" t="s">
        <v>17</v>
      </c>
      <c r="I51" t="s">
        <v>27</v>
      </c>
      <c r="J51">
        <v>8124.46</v>
      </c>
      <c r="K51">
        <v>8017.23</v>
      </c>
      <c r="L51" s="20">
        <f>tbl_Budget[[#This Row],[Actual]]-tbl_Budget[[#This Row],[Budget]]</f>
        <v>-107.23000000000047</v>
      </c>
      <c r="M51" s="3">
        <f>tbl_Budget[[#This Row],[Variance]]/tbl_Budget[[#This Row],[Budget]]</f>
        <v>-1.3198415648547778E-2</v>
      </c>
      <c r="N51" t="str">
        <f>IF(tbl_Budget[[#This Row],[Variance_%]]&gt;0.05,"Overspend",IF(tbl_Budget[[#This Row],[Variance_%]]&lt;-0.05,"Underspend","On Budget"))</f>
        <v>On Budget</v>
      </c>
    </row>
    <row r="52" spans="1:14">
      <c r="A52" s="1">
        <v>44927</v>
      </c>
      <c r="B52">
        <v>1</v>
      </c>
      <c r="C52" t="s">
        <v>11</v>
      </c>
      <c r="D52" t="s">
        <v>12</v>
      </c>
      <c r="E52">
        <v>2023</v>
      </c>
      <c r="F52" t="s">
        <v>26</v>
      </c>
      <c r="G52" t="s">
        <v>21</v>
      </c>
      <c r="H52" t="s">
        <v>18</v>
      </c>
      <c r="I52" t="s">
        <v>27</v>
      </c>
      <c r="J52">
        <v>8442.1</v>
      </c>
      <c r="K52">
        <v>8580.58</v>
      </c>
      <c r="L52" s="20">
        <f>tbl_Budget[[#This Row],[Actual]]-tbl_Budget[[#This Row],[Budget]]</f>
        <v>138.47999999999956</v>
      </c>
      <c r="M52" s="3">
        <f>tbl_Budget[[#This Row],[Variance]]/tbl_Budget[[#This Row],[Budget]]</f>
        <v>1.6403501498442278E-2</v>
      </c>
      <c r="N52" t="str">
        <f>IF(tbl_Budget[[#This Row],[Variance_%]]&gt;0.05,"Overspend",IF(tbl_Budget[[#This Row],[Variance_%]]&lt;-0.05,"Underspend","On Budget"))</f>
        <v>On Budget</v>
      </c>
    </row>
    <row r="53" spans="1:14">
      <c r="A53" s="1">
        <v>44927</v>
      </c>
      <c r="B53">
        <v>1</v>
      </c>
      <c r="C53" t="s">
        <v>11</v>
      </c>
      <c r="D53" t="s">
        <v>12</v>
      </c>
      <c r="E53">
        <v>2023</v>
      </c>
      <c r="F53" t="s">
        <v>26</v>
      </c>
      <c r="G53" t="s">
        <v>21</v>
      </c>
      <c r="H53" t="s">
        <v>19</v>
      </c>
      <c r="I53" t="s">
        <v>27</v>
      </c>
      <c r="J53">
        <v>8888.32</v>
      </c>
      <c r="K53">
        <v>8709.4699999999993</v>
      </c>
      <c r="L53" s="20">
        <f>tbl_Budget[[#This Row],[Actual]]-tbl_Budget[[#This Row],[Budget]]</f>
        <v>-178.85000000000036</v>
      </c>
      <c r="M53" s="3">
        <f>tbl_Budget[[#This Row],[Variance]]/tbl_Budget[[#This Row],[Budget]]</f>
        <v>-2.0121912802419397E-2</v>
      </c>
      <c r="N53" t="str">
        <f>IF(tbl_Budget[[#This Row],[Variance_%]]&gt;0.05,"Overspend",IF(tbl_Budget[[#This Row],[Variance_%]]&lt;-0.05,"Underspend","On Budget"))</f>
        <v>On Budget</v>
      </c>
    </row>
    <row r="54" spans="1:14" hidden="1">
      <c r="A54" s="1">
        <v>44927</v>
      </c>
      <c r="B54">
        <v>1</v>
      </c>
      <c r="C54" t="s">
        <v>11</v>
      </c>
      <c r="D54" t="s">
        <v>12</v>
      </c>
      <c r="E54">
        <v>2023</v>
      </c>
      <c r="F54" t="s">
        <v>26</v>
      </c>
      <c r="G54" t="s">
        <v>22</v>
      </c>
      <c r="H54" t="s">
        <v>15</v>
      </c>
      <c r="I54" t="s">
        <v>27</v>
      </c>
      <c r="J54">
        <v>6546.13</v>
      </c>
      <c r="K54">
        <v>6638.75</v>
      </c>
      <c r="L54" s="20">
        <f>tbl_Budget[[#This Row],[Actual]]-tbl_Budget[[#This Row],[Budget]]</f>
        <v>92.619999999999891</v>
      </c>
      <c r="M54" s="3">
        <f>tbl_Budget[[#This Row],[Variance]]/tbl_Budget[[#This Row],[Budget]]</f>
        <v>1.414881769839583E-2</v>
      </c>
      <c r="N54" t="str">
        <f>IF(tbl_Budget[[#This Row],[Variance_%]]&gt;0.05,"Overspend",IF(tbl_Budget[[#This Row],[Variance_%]]&lt;-0.05,"Underspend","On Budget"))</f>
        <v>On Budget</v>
      </c>
    </row>
    <row r="55" spans="1:14" hidden="1">
      <c r="A55" s="1">
        <v>44927</v>
      </c>
      <c r="B55">
        <v>1</v>
      </c>
      <c r="C55" t="s">
        <v>11</v>
      </c>
      <c r="D55" t="s">
        <v>12</v>
      </c>
      <c r="E55">
        <v>2023</v>
      </c>
      <c r="F55" t="s">
        <v>26</v>
      </c>
      <c r="G55" t="s">
        <v>22</v>
      </c>
      <c r="H55" t="s">
        <v>17</v>
      </c>
      <c r="I55" t="s">
        <v>27</v>
      </c>
      <c r="J55">
        <v>6412.93</v>
      </c>
      <c r="K55">
        <v>6314.1</v>
      </c>
      <c r="L55" s="20">
        <f>tbl_Budget[[#This Row],[Actual]]-tbl_Budget[[#This Row],[Budget]]</f>
        <v>-98.829999999999927</v>
      </c>
      <c r="M55" s="3">
        <f>tbl_Budget[[#This Row],[Variance]]/tbl_Budget[[#This Row],[Budget]]</f>
        <v>-1.5411052358282395E-2</v>
      </c>
      <c r="N55" t="str">
        <f>IF(tbl_Budget[[#This Row],[Variance_%]]&gt;0.05,"Overspend",IF(tbl_Budget[[#This Row],[Variance_%]]&lt;-0.05,"Underspend","On Budget"))</f>
        <v>On Budget</v>
      </c>
    </row>
    <row r="56" spans="1:14" hidden="1">
      <c r="A56" s="1">
        <v>44927</v>
      </c>
      <c r="B56">
        <v>1</v>
      </c>
      <c r="C56" t="s">
        <v>11</v>
      </c>
      <c r="D56" t="s">
        <v>12</v>
      </c>
      <c r="E56">
        <v>2023</v>
      </c>
      <c r="F56" t="s">
        <v>26</v>
      </c>
      <c r="G56" t="s">
        <v>22</v>
      </c>
      <c r="H56" t="s">
        <v>18</v>
      </c>
      <c r="I56" t="s">
        <v>27</v>
      </c>
      <c r="J56">
        <v>6335.75</v>
      </c>
      <c r="K56">
        <v>6166.66</v>
      </c>
      <c r="L56" s="20">
        <f>tbl_Budget[[#This Row],[Actual]]-tbl_Budget[[#This Row],[Budget]]</f>
        <v>-169.09000000000015</v>
      </c>
      <c r="M56" s="3">
        <f>tbl_Budget[[#This Row],[Variance]]/tbl_Budget[[#This Row],[Budget]]</f>
        <v>-2.6688237383103837E-2</v>
      </c>
      <c r="N56" t="str">
        <f>IF(tbl_Budget[[#This Row],[Variance_%]]&gt;0.05,"Overspend",IF(tbl_Budget[[#This Row],[Variance_%]]&lt;-0.05,"Underspend","On Budget"))</f>
        <v>On Budget</v>
      </c>
    </row>
    <row r="57" spans="1:14" hidden="1">
      <c r="A57" s="1">
        <v>44927</v>
      </c>
      <c r="B57">
        <v>1</v>
      </c>
      <c r="C57" t="s">
        <v>11</v>
      </c>
      <c r="D57" t="s">
        <v>12</v>
      </c>
      <c r="E57">
        <v>2023</v>
      </c>
      <c r="F57" t="s">
        <v>26</v>
      </c>
      <c r="G57" t="s">
        <v>22</v>
      </c>
      <c r="H57" t="s">
        <v>19</v>
      </c>
      <c r="I57" t="s">
        <v>27</v>
      </c>
      <c r="J57">
        <v>6837.43</v>
      </c>
      <c r="K57">
        <v>7015.71</v>
      </c>
      <c r="L57" s="20">
        <f>tbl_Budget[[#This Row],[Actual]]-tbl_Budget[[#This Row],[Budget]]</f>
        <v>178.27999999999975</v>
      </c>
      <c r="M57" s="3">
        <f>tbl_Budget[[#This Row],[Variance]]/tbl_Budget[[#This Row],[Budget]]</f>
        <v>2.6074124342040757E-2</v>
      </c>
      <c r="N57" t="str">
        <f>IF(tbl_Budget[[#This Row],[Variance_%]]&gt;0.05,"Overspend",IF(tbl_Budget[[#This Row],[Variance_%]]&lt;-0.05,"Underspend","On Budget"))</f>
        <v>On Budget</v>
      </c>
    </row>
    <row r="58" spans="1:14" hidden="1">
      <c r="A58" s="1">
        <v>44927</v>
      </c>
      <c r="B58">
        <v>1</v>
      </c>
      <c r="C58" t="s">
        <v>11</v>
      </c>
      <c r="D58" t="s">
        <v>12</v>
      </c>
      <c r="E58">
        <v>2023</v>
      </c>
      <c r="F58" t="s">
        <v>26</v>
      </c>
      <c r="G58" t="s">
        <v>23</v>
      </c>
      <c r="H58" t="s">
        <v>15</v>
      </c>
      <c r="I58" t="s">
        <v>27</v>
      </c>
      <c r="J58">
        <v>5623.22</v>
      </c>
      <c r="K58">
        <v>5751.87</v>
      </c>
      <c r="L58" s="20">
        <f>tbl_Budget[[#This Row],[Actual]]-tbl_Budget[[#This Row],[Budget]]</f>
        <v>128.64999999999964</v>
      </c>
      <c r="M58" s="3">
        <f>tbl_Budget[[#This Row],[Variance]]/tbl_Budget[[#This Row],[Budget]]</f>
        <v>2.2878350838131823E-2</v>
      </c>
      <c r="N58" t="str">
        <f>IF(tbl_Budget[[#This Row],[Variance_%]]&gt;0.05,"Overspend",IF(tbl_Budget[[#This Row],[Variance_%]]&lt;-0.05,"Underspend","On Budget"))</f>
        <v>On Budget</v>
      </c>
    </row>
    <row r="59" spans="1:14" hidden="1">
      <c r="A59" s="1">
        <v>44927</v>
      </c>
      <c r="B59">
        <v>1</v>
      </c>
      <c r="C59" t="s">
        <v>11</v>
      </c>
      <c r="D59" t="s">
        <v>12</v>
      </c>
      <c r="E59">
        <v>2023</v>
      </c>
      <c r="F59" t="s">
        <v>26</v>
      </c>
      <c r="G59" t="s">
        <v>23</v>
      </c>
      <c r="H59" t="s">
        <v>17</v>
      </c>
      <c r="I59" t="s">
        <v>27</v>
      </c>
      <c r="J59">
        <v>5414.49</v>
      </c>
      <c r="K59">
        <v>5381.74</v>
      </c>
      <c r="L59" s="20">
        <f>tbl_Budget[[#This Row],[Actual]]-tbl_Budget[[#This Row],[Budget]]</f>
        <v>-32.75</v>
      </c>
      <c r="M59" s="3">
        <f>tbl_Budget[[#This Row],[Variance]]/tbl_Budget[[#This Row],[Budget]]</f>
        <v>-6.0485844465499065E-3</v>
      </c>
      <c r="N59" t="str">
        <f>IF(tbl_Budget[[#This Row],[Variance_%]]&gt;0.05,"Overspend",IF(tbl_Budget[[#This Row],[Variance_%]]&lt;-0.05,"Underspend","On Budget"))</f>
        <v>On Budget</v>
      </c>
    </row>
    <row r="60" spans="1:14" hidden="1">
      <c r="A60" s="1">
        <v>44927</v>
      </c>
      <c r="B60">
        <v>1</v>
      </c>
      <c r="C60" t="s">
        <v>11</v>
      </c>
      <c r="D60" t="s">
        <v>12</v>
      </c>
      <c r="E60">
        <v>2023</v>
      </c>
      <c r="F60" t="s">
        <v>26</v>
      </c>
      <c r="G60" t="s">
        <v>23</v>
      </c>
      <c r="H60" t="s">
        <v>18</v>
      </c>
      <c r="I60" t="s">
        <v>27</v>
      </c>
      <c r="J60">
        <v>5408.92</v>
      </c>
      <c r="K60">
        <v>5254.4</v>
      </c>
      <c r="L60" s="20">
        <f>tbl_Budget[[#This Row],[Actual]]-tbl_Budget[[#This Row],[Budget]]</f>
        <v>-154.52000000000044</v>
      </c>
      <c r="M60" s="3">
        <f>tbl_Budget[[#This Row],[Variance]]/tbl_Budget[[#This Row],[Budget]]</f>
        <v>-2.8567625330010508E-2</v>
      </c>
      <c r="N60" t="str">
        <f>IF(tbl_Budget[[#This Row],[Variance_%]]&gt;0.05,"Overspend",IF(tbl_Budget[[#This Row],[Variance_%]]&lt;-0.05,"Underspend","On Budget"))</f>
        <v>On Budget</v>
      </c>
    </row>
    <row r="61" spans="1:14" hidden="1">
      <c r="A61" s="1">
        <v>44927</v>
      </c>
      <c r="B61">
        <v>1</v>
      </c>
      <c r="C61" t="s">
        <v>11</v>
      </c>
      <c r="D61" t="s">
        <v>12</v>
      </c>
      <c r="E61">
        <v>2023</v>
      </c>
      <c r="F61" t="s">
        <v>26</v>
      </c>
      <c r="G61" t="s">
        <v>23</v>
      </c>
      <c r="H61" t="s">
        <v>19</v>
      </c>
      <c r="I61" t="s">
        <v>27</v>
      </c>
      <c r="J61">
        <v>6080.89</v>
      </c>
      <c r="K61">
        <v>6254.74</v>
      </c>
      <c r="L61" s="20">
        <f>tbl_Budget[[#This Row],[Actual]]-tbl_Budget[[#This Row],[Budget]]</f>
        <v>173.84999999999945</v>
      </c>
      <c r="M61" s="3">
        <f>tbl_Budget[[#This Row],[Variance]]/tbl_Budget[[#This Row],[Budget]]</f>
        <v>2.8589565014331693E-2</v>
      </c>
      <c r="N61" t="str">
        <f>IF(tbl_Budget[[#This Row],[Variance_%]]&gt;0.05,"Overspend",IF(tbl_Budget[[#This Row],[Variance_%]]&lt;-0.05,"Underspend","On Budget"))</f>
        <v>On Budget</v>
      </c>
    </row>
    <row r="62" spans="1:14" hidden="1">
      <c r="A62" s="1">
        <v>44927</v>
      </c>
      <c r="B62">
        <v>1</v>
      </c>
      <c r="C62" t="s">
        <v>11</v>
      </c>
      <c r="D62" t="s">
        <v>12</v>
      </c>
      <c r="E62">
        <v>2023</v>
      </c>
      <c r="F62" t="s">
        <v>28</v>
      </c>
      <c r="G62" t="s">
        <v>14</v>
      </c>
      <c r="H62" t="s">
        <v>15</v>
      </c>
      <c r="I62" t="s">
        <v>29</v>
      </c>
      <c r="J62">
        <v>55342.93</v>
      </c>
      <c r="K62">
        <v>63441.54</v>
      </c>
      <c r="L62" s="20">
        <f>tbl_Budget[[#This Row],[Actual]]-tbl_Budget[[#This Row],[Budget]]</f>
        <v>8098.6100000000006</v>
      </c>
      <c r="M62" s="3">
        <f>tbl_Budget[[#This Row],[Variance]]/tbl_Budget[[#This Row],[Budget]]</f>
        <v>0.14633504225381636</v>
      </c>
      <c r="N62" t="str">
        <f>IF(tbl_Budget[[#This Row],[Variance_%]]&gt;0.05,"Overspend",IF(tbl_Budget[[#This Row],[Variance_%]]&lt;-0.05,"Underspend","On Budget"))</f>
        <v>Overspend</v>
      </c>
    </row>
    <row r="63" spans="1:14" hidden="1">
      <c r="A63" s="1">
        <v>44927</v>
      </c>
      <c r="B63">
        <v>1</v>
      </c>
      <c r="C63" t="s">
        <v>11</v>
      </c>
      <c r="D63" t="s">
        <v>12</v>
      </c>
      <c r="E63">
        <v>2023</v>
      </c>
      <c r="F63" t="s">
        <v>28</v>
      </c>
      <c r="G63" t="s">
        <v>14</v>
      </c>
      <c r="H63" t="s">
        <v>17</v>
      </c>
      <c r="I63" t="s">
        <v>29</v>
      </c>
      <c r="J63">
        <v>50881.77</v>
      </c>
      <c r="K63">
        <v>56510.48</v>
      </c>
      <c r="L63" s="20">
        <f>tbl_Budget[[#This Row],[Actual]]-tbl_Budget[[#This Row],[Budget]]</f>
        <v>5628.7100000000064</v>
      </c>
      <c r="M63" s="3">
        <f>tbl_Budget[[#This Row],[Variance]]/tbl_Budget[[#This Row],[Budget]]</f>
        <v>0.11062331361507288</v>
      </c>
      <c r="N63" t="str">
        <f>IF(tbl_Budget[[#This Row],[Variance_%]]&gt;0.05,"Overspend",IF(tbl_Budget[[#This Row],[Variance_%]]&lt;-0.05,"Underspend","On Budget"))</f>
        <v>Overspend</v>
      </c>
    </row>
    <row r="64" spans="1:14" hidden="1">
      <c r="A64" s="1">
        <v>44927</v>
      </c>
      <c r="B64">
        <v>1</v>
      </c>
      <c r="C64" t="s">
        <v>11</v>
      </c>
      <c r="D64" t="s">
        <v>12</v>
      </c>
      <c r="E64">
        <v>2023</v>
      </c>
      <c r="F64" t="s">
        <v>28</v>
      </c>
      <c r="G64" t="s">
        <v>14</v>
      </c>
      <c r="H64" t="s">
        <v>18</v>
      </c>
      <c r="I64" t="s">
        <v>29</v>
      </c>
      <c r="J64">
        <v>52102.02</v>
      </c>
      <c r="K64">
        <v>46611.68</v>
      </c>
      <c r="L64" s="20">
        <f>tbl_Budget[[#This Row],[Actual]]-tbl_Budget[[#This Row],[Budget]]</f>
        <v>-5490.3399999999965</v>
      </c>
      <c r="M64" s="3">
        <f>tbl_Budget[[#This Row],[Variance]]/tbl_Budget[[#This Row],[Budget]]</f>
        <v>-0.10537672051870535</v>
      </c>
      <c r="N64" t="str">
        <f>IF(tbl_Budget[[#This Row],[Variance_%]]&gt;0.05,"Overspend",IF(tbl_Budget[[#This Row],[Variance_%]]&lt;-0.05,"Underspend","On Budget"))</f>
        <v>Underspend</v>
      </c>
    </row>
    <row r="65" spans="1:14" hidden="1">
      <c r="A65" s="1">
        <v>44927</v>
      </c>
      <c r="B65">
        <v>1</v>
      </c>
      <c r="C65" t="s">
        <v>11</v>
      </c>
      <c r="D65" t="s">
        <v>12</v>
      </c>
      <c r="E65">
        <v>2023</v>
      </c>
      <c r="F65" t="s">
        <v>28</v>
      </c>
      <c r="G65" t="s">
        <v>14</v>
      </c>
      <c r="H65" t="s">
        <v>19</v>
      </c>
      <c r="I65" t="s">
        <v>29</v>
      </c>
      <c r="J65">
        <v>55374.37</v>
      </c>
      <c r="K65">
        <v>63889.39</v>
      </c>
      <c r="L65" s="20">
        <f>tbl_Budget[[#This Row],[Actual]]-tbl_Budget[[#This Row],[Budget]]</f>
        <v>8515.0199999999968</v>
      </c>
      <c r="M65" s="3">
        <f>tbl_Budget[[#This Row],[Variance]]/tbl_Budget[[#This Row],[Budget]]</f>
        <v>0.15377186232547652</v>
      </c>
      <c r="N65" t="str">
        <f>IF(tbl_Budget[[#This Row],[Variance_%]]&gt;0.05,"Overspend",IF(tbl_Budget[[#This Row],[Variance_%]]&lt;-0.05,"Underspend","On Budget"))</f>
        <v>Overspend</v>
      </c>
    </row>
    <row r="66" spans="1:14" hidden="1">
      <c r="A66" s="1">
        <v>44927</v>
      </c>
      <c r="B66">
        <v>1</v>
      </c>
      <c r="C66" t="s">
        <v>11</v>
      </c>
      <c r="D66" t="s">
        <v>12</v>
      </c>
      <c r="E66">
        <v>2023</v>
      </c>
      <c r="F66" t="s">
        <v>28</v>
      </c>
      <c r="G66" t="s">
        <v>20</v>
      </c>
      <c r="H66" t="s">
        <v>15</v>
      </c>
      <c r="I66" t="s">
        <v>29</v>
      </c>
      <c r="J66">
        <v>20133.73</v>
      </c>
      <c r="K66">
        <v>22512.5</v>
      </c>
      <c r="L66" s="20">
        <f>tbl_Budget[[#This Row],[Actual]]-tbl_Budget[[#This Row],[Budget]]</f>
        <v>2378.7700000000004</v>
      </c>
      <c r="M66" s="3">
        <f>tbl_Budget[[#This Row],[Variance]]/tbl_Budget[[#This Row],[Budget]]</f>
        <v>0.11814850005438637</v>
      </c>
      <c r="N66" t="str">
        <f>IF(tbl_Budget[[#This Row],[Variance_%]]&gt;0.05,"Overspend",IF(tbl_Budget[[#This Row],[Variance_%]]&lt;-0.05,"Underspend","On Budget"))</f>
        <v>Overspend</v>
      </c>
    </row>
    <row r="67" spans="1:14" hidden="1">
      <c r="A67" s="1">
        <v>44927</v>
      </c>
      <c r="B67">
        <v>1</v>
      </c>
      <c r="C67" t="s">
        <v>11</v>
      </c>
      <c r="D67" t="s">
        <v>12</v>
      </c>
      <c r="E67">
        <v>2023</v>
      </c>
      <c r="F67" t="s">
        <v>28</v>
      </c>
      <c r="G67" t="s">
        <v>20</v>
      </c>
      <c r="H67" t="s">
        <v>17</v>
      </c>
      <c r="I67" t="s">
        <v>29</v>
      </c>
      <c r="J67">
        <v>19222.82</v>
      </c>
      <c r="K67">
        <v>20370.07</v>
      </c>
      <c r="L67" s="20">
        <f>tbl_Budget[[#This Row],[Actual]]-tbl_Budget[[#This Row],[Budget]]</f>
        <v>1147.25</v>
      </c>
      <c r="M67" s="3">
        <f>tbl_Budget[[#This Row],[Variance]]/tbl_Budget[[#This Row],[Budget]]</f>
        <v>5.9681670015117448E-2</v>
      </c>
      <c r="N67" t="str">
        <f>IF(tbl_Budget[[#This Row],[Variance_%]]&gt;0.05,"Overspend",IF(tbl_Budget[[#This Row],[Variance_%]]&lt;-0.05,"Underspend","On Budget"))</f>
        <v>Overspend</v>
      </c>
    </row>
    <row r="68" spans="1:14" hidden="1">
      <c r="A68" s="1">
        <v>44927</v>
      </c>
      <c r="B68">
        <v>1</v>
      </c>
      <c r="C68" t="s">
        <v>11</v>
      </c>
      <c r="D68" t="s">
        <v>12</v>
      </c>
      <c r="E68">
        <v>2023</v>
      </c>
      <c r="F68" t="s">
        <v>28</v>
      </c>
      <c r="G68" t="s">
        <v>20</v>
      </c>
      <c r="H68" t="s">
        <v>18</v>
      </c>
      <c r="I68" t="s">
        <v>29</v>
      </c>
      <c r="J68">
        <v>19635.72</v>
      </c>
      <c r="K68">
        <v>18941.12</v>
      </c>
      <c r="L68" s="20">
        <f>tbl_Budget[[#This Row],[Actual]]-tbl_Budget[[#This Row],[Budget]]</f>
        <v>-694.60000000000218</v>
      </c>
      <c r="M68" s="3">
        <f>tbl_Budget[[#This Row],[Variance]]/tbl_Budget[[#This Row],[Budget]]</f>
        <v>-3.53743076393431E-2</v>
      </c>
      <c r="N68" t="str">
        <f>IF(tbl_Budget[[#This Row],[Variance_%]]&gt;0.05,"Overspend",IF(tbl_Budget[[#This Row],[Variance_%]]&lt;-0.05,"Underspend","On Budget"))</f>
        <v>On Budget</v>
      </c>
    </row>
    <row r="69" spans="1:14" hidden="1">
      <c r="A69" s="1">
        <v>44927</v>
      </c>
      <c r="B69">
        <v>1</v>
      </c>
      <c r="C69" t="s">
        <v>11</v>
      </c>
      <c r="D69" t="s">
        <v>12</v>
      </c>
      <c r="E69">
        <v>2023</v>
      </c>
      <c r="F69" t="s">
        <v>28</v>
      </c>
      <c r="G69" t="s">
        <v>20</v>
      </c>
      <c r="H69" t="s">
        <v>19</v>
      </c>
      <c r="I69" t="s">
        <v>29</v>
      </c>
      <c r="J69">
        <v>22005.83</v>
      </c>
      <c r="K69">
        <v>22291.27</v>
      </c>
      <c r="L69" s="20">
        <f>tbl_Budget[[#This Row],[Actual]]-tbl_Budget[[#This Row],[Budget]]</f>
        <v>285.43999999999869</v>
      </c>
      <c r="M69" s="3">
        <f>tbl_Budget[[#This Row],[Variance]]/tbl_Budget[[#This Row],[Budget]]</f>
        <v>1.2971108110896006E-2</v>
      </c>
      <c r="N69" t="str">
        <f>IF(tbl_Budget[[#This Row],[Variance_%]]&gt;0.05,"Overspend",IF(tbl_Budget[[#This Row],[Variance_%]]&lt;-0.05,"Underspend","On Budget"))</f>
        <v>On Budget</v>
      </c>
    </row>
    <row r="70" spans="1:14">
      <c r="A70" s="1">
        <v>44927</v>
      </c>
      <c r="B70">
        <v>1</v>
      </c>
      <c r="C70" t="s">
        <v>11</v>
      </c>
      <c r="D70" t="s">
        <v>12</v>
      </c>
      <c r="E70">
        <v>2023</v>
      </c>
      <c r="F70" t="s">
        <v>28</v>
      </c>
      <c r="G70" t="s">
        <v>21</v>
      </c>
      <c r="H70" t="s">
        <v>15</v>
      </c>
      <c r="I70" t="s">
        <v>29</v>
      </c>
      <c r="J70">
        <v>11249.56</v>
      </c>
      <c r="K70">
        <v>10424.02</v>
      </c>
      <c r="L70" s="20">
        <f>tbl_Budget[[#This Row],[Actual]]-tbl_Budget[[#This Row],[Budget]]</f>
        <v>-825.53999999999905</v>
      </c>
      <c r="M70" s="3">
        <f>tbl_Budget[[#This Row],[Variance]]/tbl_Budget[[#This Row],[Budget]]</f>
        <v>-7.3384203471069012E-2</v>
      </c>
      <c r="N70" t="str">
        <f>IF(tbl_Budget[[#This Row],[Variance_%]]&gt;0.05,"Overspend",IF(tbl_Budget[[#This Row],[Variance_%]]&lt;-0.05,"Underspend","On Budget"))</f>
        <v>Underspend</v>
      </c>
    </row>
    <row r="71" spans="1:14">
      <c r="A71" s="1">
        <v>44927</v>
      </c>
      <c r="B71">
        <v>1</v>
      </c>
      <c r="C71" t="s">
        <v>11</v>
      </c>
      <c r="D71" t="s">
        <v>12</v>
      </c>
      <c r="E71">
        <v>2023</v>
      </c>
      <c r="F71" t="s">
        <v>28</v>
      </c>
      <c r="G71" t="s">
        <v>21</v>
      </c>
      <c r="H71" t="s">
        <v>17</v>
      </c>
      <c r="I71" t="s">
        <v>29</v>
      </c>
      <c r="J71">
        <v>11142.52</v>
      </c>
      <c r="K71">
        <v>10018.24</v>
      </c>
      <c r="L71" s="20">
        <f>tbl_Budget[[#This Row],[Actual]]-tbl_Budget[[#This Row],[Budget]]</f>
        <v>-1124.2800000000007</v>
      </c>
      <c r="M71" s="3">
        <f>tbl_Budget[[#This Row],[Variance]]/tbl_Budget[[#This Row],[Budget]]</f>
        <v>-0.10089997594799027</v>
      </c>
      <c r="N71" t="str">
        <f>IF(tbl_Budget[[#This Row],[Variance_%]]&gt;0.05,"Overspend",IF(tbl_Budget[[#This Row],[Variance_%]]&lt;-0.05,"Underspend","On Budget"))</f>
        <v>Underspend</v>
      </c>
    </row>
    <row r="72" spans="1:14">
      <c r="A72" s="1">
        <v>44927</v>
      </c>
      <c r="B72">
        <v>1</v>
      </c>
      <c r="C72" t="s">
        <v>11</v>
      </c>
      <c r="D72" t="s">
        <v>12</v>
      </c>
      <c r="E72">
        <v>2023</v>
      </c>
      <c r="F72" t="s">
        <v>28</v>
      </c>
      <c r="G72" t="s">
        <v>21</v>
      </c>
      <c r="H72" t="s">
        <v>18</v>
      </c>
      <c r="I72" t="s">
        <v>29</v>
      </c>
      <c r="J72">
        <v>11381.13</v>
      </c>
      <c r="K72">
        <v>11832.7</v>
      </c>
      <c r="L72" s="20">
        <f>tbl_Budget[[#This Row],[Actual]]-tbl_Budget[[#This Row],[Budget]]</f>
        <v>451.57000000000153</v>
      </c>
      <c r="M72" s="3">
        <f>tbl_Budget[[#This Row],[Variance]]/tbl_Budget[[#This Row],[Budget]]</f>
        <v>3.9677079516708937E-2</v>
      </c>
      <c r="N72" t="str">
        <f>IF(tbl_Budget[[#This Row],[Variance_%]]&gt;0.05,"Overspend",IF(tbl_Budget[[#This Row],[Variance_%]]&lt;-0.05,"Underspend","On Budget"))</f>
        <v>On Budget</v>
      </c>
    </row>
    <row r="73" spans="1:14">
      <c r="A73" s="1">
        <v>44927</v>
      </c>
      <c r="B73">
        <v>1</v>
      </c>
      <c r="C73" t="s">
        <v>11</v>
      </c>
      <c r="D73" t="s">
        <v>12</v>
      </c>
      <c r="E73">
        <v>2023</v>
      </c>
      <c r="F73" t="s">
        <v>28</v>
      </c>
      <c r="G73" t="s">
        <v>21</v>
      </c>
      <c r="H73" t="s">
        <v>19</v>
      </c>
      <c r="I73" t="s">
        <v>29</v>
      </c>
      <c r="J73">
        <v>12257.15</v>
      </c>
      <c r="K73">
        <v>13410.98</v>
      </c>
      <c r="L73" s="20">
        <f>tbl_Budget[[#This Row],[Actual]]-tbl_Budget[[#This Row],[Budget]]</f>
        <v>1153.83</v>
      </c>
      <c r="M73" s="3">
        <f>tbl_Budget[[#This Row],[Variance]]/tbl_Budget[[#This Row],[Budget]]</f>
        <v>9.4135259827937162E-2</v>
      </c>
      <c r="N73" t="str">
        <f>IF(tbl_Budget[[#This Row],[Variance_%]]&gt;0.05,"Overspend",IF(tbl_Budget[[#This Row],[Variance_%]]&lt;-0.05,"Underspend","On Budget"))</f>
        <v>Overspend</v>
      </c>
    </row>
    <row r="74" spans="1:14" hidden="1">
      <c r="A74" s="1">
        <v>44927</v>
      </c>
      <c r="B74">
        <v>1</v>
      </c>
      <c r="C74" t="s">
        <v>11</v>
      </c>
      <c r="D74" t="s">
        <v>12</v>
      </c>
      <c r="E74">
        <v>2023</v>
      </c>
      <c r="F74" t="s">
        <v>28</v>
      </c>
      <c r="G74" t="s">
        <v>22</v>
      </c>
      <c r="H74" t="s">
        <v>15</v>
      </c>
      <c r="I74" t="s">
        <v>29</v>
      </c>
      <c r="J74">
        <v>11897.54</v>
      </c>
      <c r="K74">
        <v>10794.57</v>
      </c>
      <c r="L74" s="20">
        <f>tbl_Budget[[#This Row],[Actual]]-tbl_Budget[[#This Row],[Budget]]</f>
        <v>-1102.9700000000012</v>
      </c>
      <c r="M74" s="3">
        <f>tbl_Budget[[#This Row],[Variance]]/tbl_Budget[[#This Row],[Budget]]</f>
        <v>-9.2705718997372663E-2</v>
      </c>
      <c r="N74" t="str">
        <f>IF(tbl_Budget[[#This Row],[Variance_%]]&gt;0.05,"Overspend",IF(tbl_Budget[[#This Row],[Variance_%]]&lt;-0.05,"Underspend","On Budget"))</f>
        <v>Underspend</v>
      </c>
    </row>
    <row r="75" spans="1:14" hidden="1">
      <c r="A75" s="1">
        <v>44927</v>
      </c>
      <c r="B75">
        <v>1</v>
      </c>
      <c r="C75" t="s">
        <v>11</v>
      </c>
      <c r="D75" t="s">
        <v>12</v>
      </c>
      <c r="E75">
        <v>2023</v>
      </c>
      <c r="F75" t="s">
        <v>28</v>
      </c>
      <c r="G75" t="s">
        <v>22</v>
      </c>
      <c r="H75" t="s">
        <v>17</v>
      </c>
      <c r="I75" t="s">
        <v>29</v>
      </c>
      <c r="J75">
        <v>11505.11</v>
      </c>
      <c r="K75">
        <v>10999.87</v>
      </c>
      <c r="L75" s="20">
        <f>tbl_Budget[[#This Row],[Actual]]-tbl_Budget[[#This Row],[Budget]]</f>
        <v>-505.23999999999978</v>
      </c>
      <c r="M75" s="3">
        <f>tbl_Budget[[#This Row],[Variance]]/tbl_Budget[[#This Row],[Budget]]</f>
        <v>-4.3914399775404123E-2</v>
      </c>
      <c r="N75" t="str">
        <f>IF(tbl_Budget[[#This Row],[Variance_%]]&gt;0.05,"Overspend",IF(tbl_Budget[[#This Row],[Variance_%]]&lt;-0.05,"Underspend","On Budget"))</f>
        <v>On Budget</v>
      </c>
    </row>
    <row r="76" spans="1:14" hidden="1">
      <c r="A76" s="1">
        <v>44927</v>
      </c>
      <c r="B76">
        <v>1</v>
      </c>
      <c r="C76" t="s">
        <v>11</v>
      </c>
      <c r="D76" t="s">
        <v>12</v>
      </c>
      <c r="E76">
        <v>2023</v>
      </c>
      <c r="F76" t="s">
        <v>28</v>
      </c>
      <c r="G76" t="s">
        <v>22</v>
      </c>
      <c r="H76" t="s">
        <v>18</v>
      </c>
      <c r="I76" t="s">
        <v>29</v>
      </c>
      <c r="J76">
        <v>11927.93</v>
      </c>
      <c r="K76">
        <v>13846.18</v>
      </c>
      <c r="L76" s="20">
        <f>tbl_Budget[[#This Row],[Actual]]-tbl_Budget[[#This Row],[Budget]]</f>
        <v>1918.25</v>
      </c>
      <c r="M76" s="3">
        <f>tbl_Budget[[#This Row],[Variance]]/tbl_Budget[[#This Row],[Budget]]</f>
        <v>0.16082002493307723</v>
      </c>
      <c r="N76" t="str">
        <f>IF(tbl_Budget[[#This Row],[Variance_%]]&gt;0.05,"Overspend",IF(tbl_Budget[[#This Row],[Variance_%]]&lt;-0.05,"Underspend","On Budget"))</f>
        <v>Overspend</v>
      </c>
    </row>
    <row r="77" spans="1:14" hidden="1">
      <c r="A77" s="1">
        <v>44927</v>
      </c>
      <c r="B77">
        <v>1</v>
      </c>
      <c r="C77" t="s">
        <v>11</v>
      </c>
      <c r="D77" t="s">
        <v>12</v>
      </c>
      <c r="E77">
        <v>2023</v>
      </c>
      <c r="F77" t="s">
        <v>28</v>
      </c>
      <c r="G77" t="s">
        <v>22</v>
      </c>
      <c r="H77" t="s">
        <v>19</v>
      </c>
      <c r="I77" t="s">
        <v>29</v>
      </c>
      <c r="J77">
        <v>12961.53</v>
      </c>
      <c r="K77">
        <v>11262.44</v>
      </c>
      <c r="L77" s="20">
        <f>tbl_Budget[[#This Row],[Actual]]-tbl_Budget[[#This Row],[Budget]]</f>
        <v>-1699.0900000000001</v>
      </c>
      <c r="M77" s="3">
        <f>tbl_Budget[[#This Row],[Variance]]/tbl_Budget[[#This Row],[Budget]]</f>
        <v>-0.13108714789071971</v>
      </c>
      <c r="N77" t="str">
        <f>IF(tbl_Budget[[#This Row],[Variance_%]]&gt;0.05,"Overspend",IF(tbl_Budget[[#This Row],[Variance_%]]&lt;-0.05,"Underspend","On Budget"))</f>
        <v>Underspend</v>
      </c>
    </row>
    <row r="78" spans="1:14" hidden="1">
      <c r="A78" s="1">
        <v>44927</v>
      </c>
      <c r="B78">
        <v>1</v>
      </c>
      <c r="C78" t="s">
        <v>11</v>
      </c>
      <c r="D78" t="s">
        <v>12</v>
      </c>
      <c r="E78">
        <v>2023</v>
      </c>
      <c r="F78" t="s">
        <v>28</v>
      </c>
      <c r="G78" t="s">
        <v>23</v>
      </c>
      <c r="H78" t="s">
        <v>15</v>
      </c>
      <c r="I78" t="s">
        <v>29</v>
      </c>
      <c r="J78">
        <v>7787.1</v>
      </c>
      <c r="K78">
        <v>6910.72</v>
      </c>
      <c r="L78" s="20">
        <f>tbl_Budget[[#This Row],[Actual]]-tbl_Budget[[#This Row],[Budget]]</f>
        <v>-876.38000000000011</v>
      </c>
      <c r="M78" s="3">
        <f>tbl_Budget[[#This Row],[Variance]]/tbl_Budget[[#This Row],[Budget]]</f>
        <v>-0.11254253830052267</v>
      </c>
      <c r="N78" t="str">
        <f>IF(tbl_Budget[[#This Row],[Variance_%]]&gt;0.05,"Overspend",IF(tbl_Budget[[#This Row],[Variance_%]]&lt;-0.05,"Underspend","On Budget"))</f>
        <v>Underspend</v>
      </c>
    </row>
    <row r="79" spans="1:14" hidden="1">
      <c r="A79" s="1">
        <v>44927</v>
      </c>
      <c r="B79">
        <v>1</v>
      </c>
      <c r="C79" t="s">
        <v>11</v>
      </c>
      <c r="D79" t="s">
        <v>12</v>
      </c>
      <c r="E79">
        <v>2023</v>
      </c>
      <c r="F79" t="s">
        <v>28</v>
      </c>
      <c r="G79" t="s">
        <v>23</v>
      </c>
      <c r="H79" t="s">
        <v>17</v>
      </c>
      <c r="I79" t="s">
        <v>29</v>
      </c>
      <c r="J79">
        <v>7314.33</v>
      </c>
      <c r="K79">
        <v>8568.2999999999993</v>
      </c>
      <c r="L79" s="20">
        <f>tbl_Budget[[#This Row],[Actual]]-tbl_Budget[[#This Row],[Budget]]</f>
        <v>1253.9699999999993</v>
      </c>
      <c r="M79" s="3">
        <f>tbl_Budget[[#This Row],[Variance]]/tbl_Budget[[#This Row],[Budget]]</f>
        <v>0.17144017292082794</v>
      </c>
      <c r="N79" t="str">
        <f>IF(tbl_Budget[[#This Row],[Variance_%]]&gt;0.05,"Overspend",IF(tbl_Budget[[#This Row],[Variance_%]]&lt;-0.05,"Underspend","On Budget"))</f>
        <v>Overspend</v>
      </c>
    </row>
    <row r="80" spans="1:14" hidden="1">
      <c r="A80" s="1">
        <v>44927</v>
      </c>
      <c r="B80">
        <v>1</v>
      </c>
      <c r="C80" t="s">
        <v>11</v>
      </c>
      <c r="D80" t="s">
        <v>12</v>
      </c>
      <c r="E80">
        <v>2023</v>
      </c>
      <c r="F80" t="s">
        <v>28</v>
      </c>
      <c r="G80" t="s">
        <v>23</v>
      </c>
      <c r="H80" t="s">
        <v>18</v>
      </c>
      <c r="I80" t="s">
        <v>29</v>
      </c>
      <c r="J80">
        <v>7694.86</v>
      </c>
      <c r="K80">
        <v>8592.59</v>
      </c>
      <c r="L80" s="20">
        <f>tbl_Budget[[#This Row],[Actual]]-tbl_Budget[[#This Row],[Budget]]</f>
        <v>897.73000000000047</v>
      </c>
      <c r="M80" s="3">
        <f>tbl_Budget[[#This Row],[Variance]]/tbl_Budget[[#This Row],[Budget]]</f>
        <v>0.1166661901581056</v>
      </c>
      <c r="N80" t="str">
        <f>IF(tbl_Budget[[#This Row],[Variance_%]]&gt;0.05,"Overspend",IF(tbl_Budget[[#This Row],[Variance_%]]&lt;-0.05,"Underspend","On Budget"))</f>
        <v>Overspend</v>
      </c>
    </row>
    <row r="81" spans="1:14" hidden="1">
      <c r="A81" s="1">
        <v>44927</v>
      </c>
      <c r="B81">
        <v>1</v>
      </c>
      <c r="C81" t="s">
        <v>11</v>
      </c>
      <c r="D81" t="s">
        <v>12</v>
      </c>
      <c r="E81">
        <v>2023</v>
      </c>
      <c r="F81" t="s">
        <v>28</v>
      </c>
      <c r="G81" t="s">
        <v>23</v>
      </c>
      <c r="H81" t="s">
        <v>19</v>
      </c>
      <c r="I81" t="s">
        <v>29</v>
      </c>
      <c r="J81">
        <v>8162.11</v>
      </c>
      <c r="K81">
        <v>7010.77</v>
      </c>
      <c r="L81" s="20">
        <f>tbl_Budget[[#This Row],[Actual]]-tbl_Budget[[#This Row],[Budget]]</f>
        <v>-1151.3399999999992</v>
      </c>
      <c r="M81" s="3">
        <f>tbl_Budget[[#This Row],[Variance]]/tbl_Budget[[#This Row],[Budget]]</f>
        <v>-0.14105911339102259</v>
      </c>
      <c r="N81" t="str">
        <f>IF(tbl_Budget[[#This Row],[Variance_%]]&gt;0.05,"Overspend",IF(tbl_Budget[[#This Row],[Variance_%]]&lt;-0.05,"Underspend","On Budget"))</f>
        <v>Underspend</v>
      </c>
    </row>
    <row r="82" spans="1:14" hidden="1">
      <c r="A82" s="1">
        <v>44927</v>
      </c>
      <c r="B82">
        <v>1</v>
      </c>
      <c r="C82" t="s">
        <v>11</v>
      </c>
      <c r="D82" t="s">
        <v>12</v>
      </c>
      <c r="E82">
        <v>2023</v>
      </c>
      <c r="F82" t="s">
        <v>30</v>
      </c>
      <c r="G82" t="s">
        <v>14</v>
      </c>
      <c r="H82" t="s">
        <v>15</v>
      </c>
      <c r="I82" t="s">
        <v>31</v>
      </c>
      <c r="J82">
        <v>44115.06</v>
      </c>
      <c r="K82">
        <v>45181.58</v>
      </c>
      <c r="L82" s="20">
        <f>tbl_Budget[[#This Row],[Actual]]-tbl_Budget[[#This Row],[Budget]]</f>
        <v>1066.5200000000041</v>
      </c>
      <c r="M82" s="3">
        <f>tbl_Budget[[#This Row],[Variance]]/tbl_Budget[[#This Row],[Budget]]</f>
        <v>2.4175871006409243E-2</v>
      </c>
      <c r="N82" t="str">
        <f>IF(tbl_Budget[[#This Row],[Variance_%]]&gt;0.05,"Overspend",IF(tbl_Budget[[#This Row],[Variance_%]]&lt;-0.05,"Underspend","On Budget"))</f>
        <v>On Budget</v>
      </c>
    </row>
    <row r="83" spans="1:14" hidden="1">
      <c r="A83" s="1">
        <v>44927</v>
      </c>
      <c r="B83">
        <v>1</v>
      </c>
      <c r="C83" t="s">
        <v>11</v>
      </c>
      <c r="D83" t="s">
        <v>12</v>
      </c>
      <c r="E83">
        <v>2023</v>
      </c>
      <c r="F83" t="s">
        <v>30</v>
      </c>
      <c r="G83" t="s">
        <v>14</v>
      </c>
      <c r="H83" t="s">
        <v>17</v>
      </c>
      <c r="I83" t="s">
        <v>31</v>
      </c>
      <c r="J83">
        <v>41235.99</v>
      </c>
      <c r="K83">
        <v>41979.65</v>
      </c>
      <c r="L83" s="20">
        <f>tbl_Budget[[#This Row],[Actual]]-tbl_Budget[[#This Row],[Budget]]</f>
        <v>743.66000000000349</v>
      </c>
      <c r="M83" s="3">
        <f>tbl_Budget[[#This Row],[Variance]]/tbl_Budget[[#This Row],[Budget]]</f>
        <v>1.8034246297954859E-2</v>
      </c>
      <c r="N83" t="str">
        <f>IF(tbl_Budget[[#This Row],[Variance_%]]&gt;0.05,"Overspend",IF(tbl_Budget[[#This Row],[Variance_%]]&lt;-0.05,"Underspend","On Budget"))</f>
        <v>On Budget</v>
      </c>
    </row>
    <row r="84" spans="1:14" hidden="1">
      <c r="A84" s="1">
        <v>44927</v>
      </c>
      <c r="B84">
        <v>1</v>
      </c>
      <c r="C84" t="s">
        <v>11</v>
      </c>
      <c r="D84" t="s">
        <v>12</v>
      </c>
      <c r="E84">
        <v>2023</v>
      </c>
      <c r="F84" t="s">
        <v>30</v>
      </c>
      <c r="G84" t="s">
        <v>14</v>
      </c>
      <c r="H84" t="s">
        <v>18</v>
      </c>
      <c r="I84" t="s">
        <v>31</v>
      </c>
      <c r="J84">
        <v>42259.83</v>
      </c>
      <c r="K84">
        <v>41784.949999999997</v>
      </c>
      <c r="L84" s="20">
        <f>tbl_Budget[[#This Row],[Actual]]-tbl_Budget[[#This Row],[Budget]]</f>
        <v>-474.88000000000466</v>
      </c>
      <c r="M84" s="3">
        <f>tbl_Budget[[#This Row],[Variance]]/tbl_Budget[[#This Row],[Budget]]</f>
        <v>-1.1237148847972285E-2</v>
      </c>
      <c r="N84" t="str">
        <f>IF(tbl_Budget[[#This Row],[Variance_%]]&gt;0.05,"Overspend",IF(tbl_Budget[[#This Row],[Variance_%]]&lt;-0.05,"Underspend","On Budget"))</f>
        <v>On Budget</v>
      </c>
    </row>
    <row r="85" spans="1:14" hidden="1">
      <c r="A85" s="1">
        <v>44927</v>
      </c>
      <c r="B85">
        <v>1</v>
      </c>
      <c r="C85" t="s">
        <v>11</v>
      </c>
      <c r="D85" t="s">
        <v>12</v>
      </c>
      <c r="E85">
        <v>2023</v>
      </c>
      <c r="F85" t="s">
        <v>30</v>
      </c>
      <c r="G85" t="s">
        <v>14</v>
      </c>
      <c r="H85" t="s">
        <v>19</v>
      </c>
      <c r="I85" t="s">
        <v>31</v>
      </c>
      <c r="J85">
        <v>44740.15</v>
      </c>
      <c r="K85">
        <v>45753.72</v>
      </c>
      <c r="L85" s="20">
        <f>tbl_Budget[[#This Row],[Actual]]-tbl_Budget[[#This Row],[Budget]]</f>
        <v>1013.5699999999997</v>
      </c>
      <c r="M85" s="3">
        <f>tbl_Budget[[#This Row],[Variance]]/tbl_Budget[[#This Row],[Budget]]</f>
        <v>2.2654595480792971E-2</v>
      </c>
      <c r="N85" t="str">
        <f>IF(tbl_Budget[[#This Row],[Variance_%]]&gt;0.05,"Overspend",IF(tbl_Budget[[#This Row],[Variance_%]]&lt;-0.05,"Underspend","On Budget"))</f>
        <v>On Budget</v>
      </c>
    </row>
    <row r="86" spans="1:14" hidden="1">
      <c r="A86" s="1">
        <v>44927</v>
      </c>
      <c r="B86">
        <v>1</v>
      </c>
      <c r="C86" t="s">
        <v>11</v>
      </c>
      <c r="D86" t="s">
        <v>12</v>
      </c>
      <c r="E86">
        <v>2023</v>
      </c>
      <c r="F86" t="s">
        <v>30</v>
      </c>
      <c r="G86" t="s">
        <v>20</v>
      </c>
      <c r="H86" t="s">
        <v>15</v>
      </c>
      <c r="I86" t="s">
        <v>31</v>
      </c>
      <c r="J86">
        <v>16434.41</v>
      </c>
      <c r="K86">
        <v>15935.63</v>
      </c>
      <c r="L86" s="20">
        <f>tbl_Budget[[#This Row],[Actual]]-tbl_Budget[[#This Row],[Budget]]</f>
        <v>-498.78000000000065</v>
      </c>
      <c r="M86" s="3">
        <f>tbl_Budget[[#This Row],[Variance]]/tbl_Budget[[#This Row],[Budget]]</f>
        <v>-3.0349735706970964E-2</v>
      </c>
      <c r="N86" t="str">
        <f>IF(tbl_Budget[[#This Row],[Variance_%]]&gt;0.05,"Overspend",IF(tbl_Budget[[#This Row],[Variance_%]]&lt;-0.05,"Underspend","On Budget"))</f>
        <v>On Budget</v>
      </c>
    </row>
    <row r="87" spans="1:14" hidden="1">
      <c r="A87" s="1">
        <v>44927</v>
      </c>
      <c r="B87">
        <v>1</v>
      </c>
      <c r="C87" t="s">
        <v>11</v>
      </c>
      <c r="D87" t="s">
        <v>12</v>
      </c>
      <c r="E87">
        <v>2023</v>
      </c>
      <c r="F87" t="s">
        <v>30</v>
      </c>
      <c r="G87" t="s">
        <v>20</v>
      </c>
      <c r="H87" t="s">
        <v>17</v>
      </c>
      <c r="I87" t="s">
        <v>31</v>
      </c>
      <c r="J87">
        <v>15911.45</v>
      </c>
      <c r="K87">
        <v>16285.57</v>
      </c>
      <c r="L87" s="20">
        <f>tbl_Budget[[#This Row],[Actual]]-tbl_Budget[[#This Row],[Budget]]</f>
        <v>374.11999999999898</v>
      </c>
      <c r="M87" s="3">
        <f>tbl_Budget[[#This Row],[Variance]]/tbl_Budget[[#This Row],[Budget]]</f>
        <v>2.3512627698921151E-2</v>
      </c>
      <c r="N87" t="str">
        <f>IF(tbl_Budget[[#This Row],[Variance_%]]&gt;0.05,"Overspend",IF(tbl_Budget[[#This Row],[Variance_%]]&lt;-0.05,"Underspend","On Budget"))</f>
        <v>On Budget</v>
      </c>
    </row>
    <row r="88" spans="1:14" hidden="1">
      <c r="A88" s="1">
        <v>44927</v>
      </c>
      <c r="B88">
        <v>1</v>
      </c>
      <c r="C88" t="s">
        <v>11</v>
      </c>
      <c r="D88" t="s">
        <v>12</v>
      </c>
      <c r="E88">
        <v>2023</v>
      </c>
      <c r="F88" t="s">
        <v>30</v>
      </c>
      <c r="G88" t="s">
        <v>20</v>
      </c>
      <c r="H88" t="s">
        <v>18</v>
      </c>
      <c r="I88" t="s">
        <v>31</v>
      </c>
      <c r="J88">
        <v>15583.9</v>
      </c>
      <c r="K88">
        <v>15619.74</v>
      </c>
      <c r="L88" s="20">
        <f>tbl_Budget[[#This Row],[Actual]]-tbl_Budget[[#This Row],[Budget]]</f>
        <v>35.840000000000146</v>
      </c>
      <c r="M88" s="3">
        <f>tbl_Budget[[#This Row],[Variance]]/tbl_Budget[[#This Row],[Budget]]</f>
        <v>2.2998094186949445E-3</v>
      </c>
      <c r="N88" t="str">
        <f>IF(tbl_Budget[[#This Row],[Variance_%]]&gt;0.05,"Overspend",IF(tbl_Budget[[#This Row],[Variance_%]]&lt;-0.05,"Underspend","On Budget"))</f>
        <v>On Budget</v>
      </c>
    </row>
    <row r="89" spans="1:14" hidden="1">
      <c r="A89" s="1">
        <v>44927</v>
      </c>
      <c r="B89">
        <v>1</v>
      </c>
      <c r="C89" t="s">
        <v>11</v>
      </c>
      <c r="D89" t="s">
        <v>12</v>
      </c>
      <c r="E89">
        <v>2023</v>
      </c>
      <c r="F89" t="s">
        <v>30</v>
      </c>
      <c r="G89" t="s">
        <v>20</v>
      </c>
      <c r="H89" t="s">
        <v>19</v>
      </c>
      <c r="I89" t="s">
        <v>31</v>
      </c>
      <c r="J89">
        <v>17453.5</v>
      </c>
      <c r="K89">
        <v>17000.509999999998</v>
      </c>
      <c r="L89" s="20">
        <f>tbl_Budget[[#This Row],[Actual]]-tbl_Budget[[#This Row],[Budget]]</f>
        <v>-452.9900000000016</v>
      </c>
      <c r="M89" s="3">
        <f>tbl_Budget[[#This Row],[Variance]]/tbl_Budget[[#This Row],[Budget]]</f>
        <v>-2.5954106626178221E-2</v>
      </c>
      <c r="N89" t="str">
        <f>IF(tbl_Budget[[#This Row],[Variance_%]]&gt;0.05,"Overspend",IF(tbl_Budget[[#This Row],[Variance_%]]&lt;-0.05,"Underspend","On Budget"))</f>
        <v>On Budget</v>
      </c>
    </row>
    <row r="90" spans="1:14">
      <c r="A90" s="1">
        <v>44927</v>
      </c>
      <c r="B90">
        <v>1</v>
      </c>
      <c r="C90" t="s">
        <v>11</v>
      </c>
      <c r="D90" t="s">
        <v>12</v>
      </c>
      <c r="E90">
        <v>2023</v>
      </c>
      <c r="F90" t="s">
        <v>30</v>
      </c>
      <c r="G90" t="s">
        <v>21</v>
      </c>
      <c r="H90" t="s">
        <v>15</v>
      </c>
      <c r="I90" t="s">
        <v>31</v>
      </c>
      <c r="J90">
        <v>7128.11</v>
      </c>
      <c r="K90">
        <v>6860.03</v>
      </c>
      <c r="L90" s="20">
        <f>tbl_Budget[[#This Row],[Actual]]-tbl_Budget[[#This Row],[Budget]]</f>
        <v>-268.07999999999993</v>
      </c>
      <c r="M90" s="3">
        <f>tbl_Budget[[#This Row],[Variance]]/tbl_Budget[[#This Row],[Budget]]</f>
        <v>-3.7608847225982754E-2</v>
      </c>
      <c r="N90" t="str">
        <f>IF(tbl_Budget[[#This Row],[Variance_%]]&gt;0.05,"Overspend",IF(tbl_Budget[[#This Row],[Variance_%]]&lt;-0.05,"Underspend","On Budget"))</f>
        <v>On Budget</v>
      </c>
    </row>
    <row r="91" spans="1:14">
      <c r="A91" s="1">
        <v>44927</v>
      </c>
      <c r="B91">
        <v>1</v>
      </c>
      <c r="C91" t="s">
        <v>11</v>
      </c>
      <c r="D91" t="s">
        <v>12</v>
      </c>
      <c r="E91">
        <v>2023</v>
      </c>
      <c r="F91" t="s">
        <v>30</v>
      </c>
      <c r="G91" t="s">
        <v>21</v>
      </c>
      <c r="H91" t="s">
        <v>17</v>
      </c>
      <c r="I91" t="s">
        <v>31</v>
      </c>
      <c r="J91">
        <v>6477.52</v>
      </c>
      <c r="K91">
        <v>6168.8</v>
      </c>
      <c r="L91" s="20">
        <f>tbl_Budget[[#This Row],[Actual]]-tbl_Budget[[#This Row],[Budget]]</f>
        <v>-308.72000000000025</v>
      </c>
      <c r="M91" s="3">
        <f>tbl_Budget[[#This Row],[Variance]]/tbl_Budget[[#This Row],[Budget]]</f>
        <v>-4.7660215638083744E-2</v>
      </c>
      <c r="N91" t="str">
        <f>IF(tbl_Budget[[#This Row],[Variance_%]]&gt;0.05,"Overspend",IF(tbl_Budget[[#This Row],[Variance_%]]&lt;-0.05,"Underspend","On Budget"))</f>
        <v>On Budget</v>
      </c>
    </row>
    <row r="92" spans="1:14">
      <c r="A92" s="1">
        <v>44927</v>
      </c>
      <c r="B92">
        <v>1</v>
      </c>
      <c r="C92" t="s">
        <v>11</v>
      </c>
      <c r="D92" t="s">
        <v>12</v>
      </c>
      <c r="E92">
        <v>2023</v>
      </c>
      <c r="F92" t="s">
        <v>30</v>
      </c>
      <c r="G92" t="s">
        <v>21</v>
      </c>
      <c r="H92" t="s">
        <v>18</v>
      </c>
      <c r="I92" t="s">
        <v>31</v>
      </c>
      <c r="J92">
        <v>6569.94</v>
      </c>
      <c r="K92">
        <v>6299.41</v>
      </c>
      <c r="L92" s="20">
        <f>tbl_Budget[[#This Row],[Actual]]-tbl_Budget[[#This Row],[Budget]]</f>
        <v>-270.52999999999975</v>
      </c>
      <c r="M92" s="3">
        <f>tbl_Budget[[#This Row],[Variance]]/tbl_Budget[[#This Row],[Budget]]</f>
        <v>-4.1176936166844716E-2</v>
      </c>
      <c r="N92" t="str">
        <f>IF(tbl_Budget[[#This Row],[Variance_%]]&gt;0.05,"Overspend",IF(tbl_Budget[[#This Row],[Variance_%]]&lt;-0.05,"Underspend","On Budget"))</f>
        <v>On Budget</v>
      </c>
    </row>
    <row r="93" spans="1:14">
      <c r="A93" s="1">
        <v>44927</v>
      </c>
      <c r="B93">
        <v>1</v>
      </c>
      <c r="C93" t="s">
        <v>11</v>
      </c>
      <c r="D93" t="s">
        <v>12</v>
      </c>
      <c r="E93">
        <v>2023</v>
      </c>
      <c r="F93" t="s">
        <v>30</v>
      </c>
      <c r="G93" t="s">
        <v>21</v>
      </c>
      <c r="H93" t="s">
        <v>19</v>
      </c>
      <c r="I93" t="s">
        <v>31</v>
      </c>
      <c r="J93">
        <v>7262</v>
      </c>
      <c r="K93">
        <v>7377.51</v>
      </c>
      <c r="L93" s="20">
        <f>tbl_Budget[[#This Row],[Actual]]-tbl_Budget[[#This Row],[Budget]]</f>
        <v>115.51000000000022</v>
      </c>
      <c r="M93" s="3">
        <f>tbl_Budget[[#This Row],[Variance]]/tbl_Budget[[#This Row],[Budget]]</f>
        <v>1.5906086477554423E-2</v>
      </c>
      <c r="N93" t="str">
        <f>IF(tbl_Budget[[#This Row],[Variance_%]]&gt;0.05,"Overspend",IF(tbl_Budget[[#This Row],[Variance_%]]&lt;-0.05,"Underspend","On Budget"))</f>
        <v>On Budget</v>
      </c>
    </row>
    <row r="94" spans="1:14" hidden="1">
      <c r="A94" s="1">
        <v>44927</v>
      </c>
      <c r="B94">
        <v>1</v>
      </c>
      <c r="C94" t="s">
        <v>11</v>
      </c>
      <c r="D94" t="s">
        <v>12</v>
      </c>
      <c r="E94">
        <v>2023</v>
      </c>
      <c r="F94" t="s">
        <v>30</v>
      </c>
      <c r="G94" t="s">
        <v>22</v>
      </c>
      <c r="H94" t="s">
        <v>15</v>
      </c>
      <c r="I94" t="s">
        <v>31</v>
      </c>
      <c r="J94">
        <v>7131.26</v>
      </c>
      <c r="K94">
        <v>7188</v>
      </c>
      <c r="L94" s="20">
        <f>tbl_Budget[[#This Row],[Actual]]-tbl_Budget[[#This Row],[Budget]]</f>
        <v>56.739999999999782</v>
      </c>
      <c r="M94" s="3">
        <f>tbl_Budget[[#This Row],[Variance]]/tbl_Budget[[#This Row],[Budget]]</f>
        <v>7.9565182029542863E-3</v>
      </c>
      <c r="N94" t="str">
        <f>IF(tbl_Budget[[#This Row],[Variance_%]]&gt;0.05,"Overspend",IF(tbl_Budget[[#This Row],[Variance_%]]&lt;-0.05,"Underspend","On Budget"))</f>
        <v>On Budget</v>
      </c>
    </row>
    <row r="95" spans="1:14" hidden="1">
      <c r="A95" s="1">
        <v>44927</v>
      </c>
      <c r="B95">
        <v>1</v>
      </c>
      <c r="C95" t="s">
        <v>11</v>
      </c>
      <c r="D95" t="s">
        <v>12</v>
      </c>
      <c r="E95">
        <v>2023</v>
      </c>
      <c r="F95" t="s">
        <v>30</v>
      </c>
      <c r="G95" t="s">
        <v>22</v>
      </c>
      <c r="H95" t="s">
        <v>17</v>
      </c>
      <c r="I95" t="s">
        <v>31</v>
      </c>
      <c r="J95">
        <v>7004.53</v>
      </c>
      <c r="K95">
        <v>6642.17</v>
      </c>
      <c r="L95" s="20">
        <f>tbl_Budget[[#This Row],[Actual]]-tbl_Budget[[#This Row],[Budget]]</f>
        <v>-362.35999999999967</v>
      </c>
      <c r="M95" s="3">
        <f>tbl_Budget[[#This Row],[Variance]]/tbl_Budget[[#This Row],[Budget]]</f>
        <v>-5.1732236138613108E-2</v>
      </c>
      <c r="N95" t="str">
        <f>IF(tbl_Budget[[#This Row],[Variance_%]]&gt;0.05,"Overspend",IF(tbl_Budget[[#This Row],[Variance_%]]&lt;-0.05,"Underspend","On Budget"))</f>
        <v>Underspend</v>
      </c>
    </row>
    <row r="96" spans="1:14" hidden="1">
      <c r="A96" s="1">
        <v>44927</v>
      </c>
      <c r="B96">
        <v>1</v>
      </c>
      <c r="C96" t="s">
        <v>11</v>
      </c>
      <c r="D96" t="s">
        <v>12</v>
      </c>
      <c r="E96">
        <v>2023</v>
      </c>
      <c r="F96" t="s">
        <v>30</v>
      </c>
      <c r="G96" t="s">
        <v>22</v>
      </c>
      <c r="H96" t="s">
        <v>18</v>
      </c>
      <c r="I96" t="s">
        <v>31</v>
      </c>
      <c r="J96">
        <v>6889.43</v>
      </c>
      <c r="K96">
        <v>6726.34</v>
      </c>
      <c r="L96" s="20">
        <f>tbl_Budget[[#This Row],[Actual]]-tbl_Budget[[#This Row],[Budget]]</f>
        <v>-163.09000000000015</v>
      </c>
      <c r="M96" s="3">
        <f>tbl_Budget[[#This Row],[Variance]]/tbl_Budget[[#This Row],[Budget]]</f>
        <v>-2.3672495402377286E-2</v>
      </c>
      <c r="N96" t="str">
        <f>IF(tbl_Budget[[#This Row],[Variance_%]]&gt;0.05,"Overspend",IF(tbl_Budget[[#This Row],[Variance_%]]&lt;-0.05,"Underspend","On Budget"))</f>
        <v>On Budget</v>
      </c>
    </row>
    <row r="97" spans="1:14" hidden="1">
      <c r="A97" s="1">
        <v>44927</v>
      </c>
      <c r="B97">
        <v>1</v>
      </c>
      <c r="C97" t="s">
        <v>11</v>
      </c>
      <c r="D97" t="s">
        <v>12</v>
      </c>
      <c r="E97">
        <v>2023</v>
      </c>
      <c r="F97" t="s">
        <v>30</v>
      </c>
      <c r="G97" t="s">
        <v>22</v>
      </c>
      <c r="H97" t="s">
        <v>19</v>
      </c>
      <c r="I97" t="s">
        <v>31</v>
      </c>
      <c r="J97">
        <v>7452.37</v>
      </c>
      <c r="K97">
        <v>7098.47</v>
      </c>
      <c r="L97" s="20">
        <f>tbl_Budget[[#This Row],[Actual]]-tbl_Budget[[#This Row],[Budget]]</f>
        <v>-353.89999999999964</v>
      </c>
      <c r="M97" s="3">
        <f>tbl_Budget[[#This Row],[Variance]]/tbl_Budget[[#This Row],[Budget]]</f>
        <v>-4.7488248704774409E-2</v>
      </c>
      <c r="N97" t="str">
        <f>IF(tbl_Budget[[#This Row],[Variance_%]]&gt;0.05,"Overspend",IF(tbl_Budget[[#This Row],[Variance_%]]&lt;-0.05,"Underspend","On Budget"))</f>
        <v>On Budget</v>
      </c>
    </row>
    <row r="98" spans="1:14" hidden="1">
      <c r="A98" s="1">
        <v>44927</v>
      </c>
      <c r="B98">
        <v>1</v>
      </c>
      <c r="C98" t="s">
        <v>11</v>
      </c>
      <c r="D98" t="s">
        <v>12</v>
      </c>
      <c r="E98">
        <v>2023</v>
      </c>
      <c r="F98" t="s">
        <v>30</v>
      </c>
      <c r="G98" t="s">
        <v>23</v>
      </c>
      <c r="H98" t="s">
        <v>15</v>
      </c>
      <c r="I98" t="s">
        <v>31</v>
      </c>
      <c r="J98">
        <v>6188.81</v>
      </c>
      <c r="K98">
        <v>5981.92</v>
      </c>
      <c r="L98" s="20">
        <f>tbl_Budget[[#This Row],[Actual]]-tbl_Budget[[#This Row],[Budget]]</f>
        <v>-206.89000000000033</v>
      </c>
      <c r="M98" s="3">
        <f>tbl_Budget[[#This Row],[Variance]]/tbl_Budget[[#This Row],[Budget]]</f>
        <v>-3.3429690037341642E-2</v>
      </c>
      <c r="N98" t="str">
        <f>IF(tbl_Budget[[#This Row],[Variance_%]]&gt;0.05,"Overspend",IF(tbl_Budget[[#This Row],[Variance_%]]&lt;-0.05,"Underspend","On Budget"))</f>
        <v>On Budget</v>
      </c>
    </row>
    <row r="99" spans="1:14" hidden="1">
      <c r="A99" s="1">
        <v>44927</v>
      </c>
      <c r="B99">
        <v>1</v>
      </c>
      <c r="C99" t="s">
        <v>11</v>
      </c>
      <c r="D99" t="s">
        <v>12</v>
      </c>
      <c r="E99">
        <v>2023</v>
      </c>
      <c r="F99" t="s">
        <v>30</v>
      </c>
      <c r="G99" t="s">
        <v>23</v>
      </c>
      <c r="H99" t="s">
        <v>17</v>
      </c>
      <c r="I99" t="s">
        <v>31</v>
      </c>
      <c r="J99">
        <v>5721.93</v>
      </c>
      <c r="K99">
        <v>5917.2</v>
      </c>
      <c r="L99" s="20">
        <f>tbl_Budget[[#This Row],[Actual]]-tbl_Budget[[#This Row],[Budget]]</f>
        <v>195.26999999999953</v>
      </c>
      <c r="M99" s="3">
        <f>tbl_Budget[[#This Row],[Variance]]/tbl_Budget[[#This Row],[Budget]]</f>
        <v>3.4126597144669632E-2</v>
      </c>
      <c r="N99" t="str">
        <f>IF(tbl_Budget[[#This Row],[Variance_%]]&gt;0.05,"Overspend",IF(tbl_Budget[[#This Row],[Variance_%]]&lt;-0.05,"Underspend","On Budget"))</f>
        <v>On Budget</v>
      </c>
    </row>
    <row r="100" spans="1:14" hidden="1">
      <c r="A100" s="1">
        <v>44927</v>
      </c>
      <c r="B100">
        <v>1</v>
      </c>
      <c r="C100" t="s">
        <v>11</v>
      </c>
      <c r="D100" t="s">
        <v>12</v>
      </c>
      <c r="E100">
        <v>2023</v>
      </c>
      <c r="F100" t="s">
        <v>30</v>
      </c>
      <c r="G100" t="s">
        <v>23</v>
      </c>
      <c r="H100" t="s">
        <v>18</v>
      </c>
      <c r="I100" t="s">
        <v>31</v>
      </c>
      <c r="J100">
        <v>6123.69</v>
      </c>
      <c r="K100">
        <v>6431.36</v>
      </c>
      <c r="L100" s="20">
        <f>tbl_Budget[[#This Row],[Actual]]-tbl_Budget[[#This Row],[Budget]]</f>
        <v>307.67000000000007</v>
      </c>
      <c r="M100" s="3">
        <f>tbl_Budget[[#This Row],[Variance]]/tbl_Budget[[#This Row],[Budget]]</f>
        <v>5.0242582495194907E-2</v>
      </c>
      <c r="N100" t="str">
        <f>IF(tbl_Budget[[#This Row],[Variance_%]]&gt;0.05,"Overspend",IF(tbl_Budget[[#This Row],[Variance_%]]&lt;-0.05,"Underspend","On Budget"))</f>
        <v>Overspend</v>
      </c>
    </row>
    <row r="101" spans="1:14" hidden="1">
      <c r="A101" s="1">
        <v>44927</v>
      </c>
      <c r="B101">
        <v>1</v>
      </c>
      <c r="C101" t="s">
        <v>11</v>
      </c>
      <c r="D101" t="s">
        <v>12</v>
      </c>
      <c r="E101">
        <v>2023</v>
      </c>
      <c r="F101" t="s">
        <v>30</v>
      </c>
      <c r="G101" t="s">
        <v>23</v>
      </c>
      <c r="H101" t="s">
        <v>19</v>
      </c>
      <c r="I101" t="s">
        <v>31</v>
      </c>
      <c r="J101">
        <v>6536.34</v>
      </c>
      <c r="K101">
        <v>6738.16</v>
      </c>
      <c r="L101" s="20">
        <f>tbl_Budget[[#This Row],[Actual]]-tbl_Budget[[#This Row],[Budget]]</f>
        <v>201.81999999999971</v>
      </c>
      <c r="M101" s="3">
        <f>tbl_Budget[[#This Row],[Variance]]/tbl_Budget[[#This Row],[Budget]]</f>
        <v>3.0876606786060655E-2</v>
      </c>
      <c r="N101" t="str">
        <f>IF(tbl_Budget[[#This Row],[Variance_%]]&gt;0.05,"Overspend",IF(tbl_Budget[[#This Row],[Variance_%]]&lt;-0.05,"Underspend","On Budget"))</f>
        <v>On Budget</v>
      </c>
    </row>
    <row r="102" spans="1:14" hidden="1">
      <c r="A102" s="1">
        <v>44958</v>
      </c>
      <c r="B102">
        <v>2</v>
      </c>
      <c r="C102" t="s">
        <v>32</v>
      </c>
      <c r="D102" t="s">
        <v>33</v>
      </c>
      <c r="E102">
        <v>2023</v>
      </c>
      <c r="F102" t="s">
        <v>13</v>
      </c>
      <c r="G102" t="s">
        <v>14</v>
      </c>
      <c r="H102" t="s">
        <v>15</v>
      </c>
      <c r="I102" t="s">
        <v>16</v>
      </c>
      <c r="J102">
        <v>49754.89</v>
      </c>
      <c r="K102">
        <v>55439.81</v>
      </c>
      <c r="L102" s="20">
        <f>tbl_Budget[[#This Row],[Actual]]-tbl_Budget[[#This Row],[Budget]]</f>
        <v>5684.9199999999983</v>
      </c>
      <c r="M102" s="3">
        <f>tbl_Budget[[#This Row],[Variance]]/tbl_Budget[[#This Row],[Budget]]</f>
        <v>0.11425851810746639</v>
      </c>
      <c r="N102" t="str">
        <f>IF(tbl_Budget[[#This Row],[Variance_%]]&gt;0.05,"Overspend",IF(tbl_Budget[[#This Row],[Variance_%]]&lt;-0.05,"Underspend","On Budget"))</f>
        <v>Overspend</v>
      </c>
    </row>
    <row r="103" spans="1:14" hidden="1">
      <c r="A103" s="1">
        <v>44958</v>
      </c>
      <c r="B103">
        <v>2</v>
      </c>
      <c r="C103" t="s">
        <v>32</v>
      </c>
      <c r="D103" t="s">
        <v>33</v>
      </c>
      <c r="E103">
        <v>2023</v>
      </c>
      <c r="F103" t="s">
        <v>13</v>
      </c>
      <c r="G103" t="s">
        <v>14</v>
      </c>
      <c r="H103" t="s">
        <v>17</v>
      </c>
      <c r="I103" t="s">
        <v>16</v>
      </c>
      <c r="J103">
        <v>46599.93</v>
      </c>
      <c r="K103">
        <v>55215.09</v>
      </c>
      <c r="L103" s="20">
        <f>tbl_Budget[[#This Row],[Actual]]-tbl_Budget[[#This Row],[Budget]]</f>
        <v>8615.1599999999962</v>
      </c>
      <c r="M103" s="3">
        <f>tbl_Budget[[#This Row],[Variance]]/tbl_Budget[[#This Row],[Budget]]</f>
        <v>0.184874955820749</v>
      </c>
      <c r="N103" t="str">
        <f>IF(tbl_Budget[[#This Row],[Variance_%]]&gt;0.05,"Overspend",IF(tbl_Budget[[#This Row],[Variance_%]]&lt;-0.05,"Underspend","On Budget"))</f>
        <v>Overspend</v>
      </c>
    </row>
    <row r="104" spans="1:14" hidden="1">
      <c r="A104" s="1">
        <v>44958</v>
      </c>
      <c r="B104">
        <v>2</v>
      </c>
      <c r="C104" t="s">
        <v>32</v>
      </c>
      <c r="D104" t="s">
        <v>33</v>
      </c>
      <c r="E104">
        <v>2023</v>
      </c>
      <c r="F104" t="s">
        <v>13</v>
      </c>
      <c r="G104" t="s">
        <v>14</v>
      </c>
      <c r="H104" t="s">
        <v>18</v>
      </c>
      <c r="I104" t="s">
        <v>16</v>
      </c>
      <c r="J104">
        <v>47182.83</v>
      </c>
      <c r="K104">
        <v>54662.239999999998</v>
      </c>
      <c r="L104" s="20">
        <f>tbl_Budget[[#This Row],[Actual]]-tbl_Budget[[#This Row],[Budget]]</f>
        <v>7479.4099999999962</v>
      </c>
      <c r="M104" s="3">
        <f>tbl_Budget[[#This Row],[Variance]]/tbl_Budget[[#This Row],[Budget]]</f>
        <v>0.15851974118551168</v>
      </c>
      <c r="N104" t="str">
        <f>IF(tbl_Budget[[#This Row],[Variance_%]]&gt;0.05,"Overspend",IF(tbl_Budget[[#This Row],[Variance_%]]&lt;-0.05,"Underspend","On Budget"))</f>
        <v>Overspend</v>
      </c>
    </row>
    <row r="105" spans="1:14" hidden="1">
      <c r="A105" s="1">
        <v>44958</v>
      </c>
      <c r="B105">
        <v>2</v>
      </c>
      <c r="C105" t="s">
        <v>32</v>
      </c>
      <c r="D105" t="s">
        <v>33</v>
      </c>
      <c r="E105">
        <v>2023</v>
      </c>
      <c r="F105" t="s">
        <v>13</v>
      </c>
      <c r="G105" t="s">
        <v>14</v>
      </c>
      <c r="H105" t="s">
        <v>19</v>
      </c>
      <c r="I105" t="s">
        <v>16</v>
      </c>
      <c r="J105">
        <v>49737.36</v>
      </c>
      <c r="K105">
        <v>56993.04</v>
      </c>
      <c r="L105" s="20">
        <f>tbl_Budget[[#This Row],[Actual]]-tbl_Budget[[#This Row],[Budget]]</f>
        <v>7255.68</v>
      </c>
      <c r="M105" s="3">
        <f>tbl_Budget[[#This Row],[Variance]]/tbl_Budget[[#This Row],[Budget]]</f>
        <v>0.14587987782222459</v>
      </c>
      <c r="N105" t="str">
        <f>IF(tbl_Budget[[#This Row],[Variance_%]]&gt;0.05,"Overspend",IF(tbl_Budget[[#This Row],[Variance_%]]&lt;-0.05,"Underspend","On Budget"))</f>
        <v>Overspend</v>
      </c>
    </row>
    <row r="106" spans="1:14" hidden="1">
      <c r="A106" s="1">
        <v>44958</v>
      </c>
      <c r="B106">
        <v>2</v>
      </c>
      <c r="C106" t="s">
        <v>32</v>
      </c>
      <c r="D106" t="s">
        <v>33</v>
      </c>
      <c r="E106">
        <v>2023</v>
      </c>
      <c r="F106" t="s">
        <v>13</v>
      </c>
      <c r="G106" t="s">
        <v>20</v>
      </c>
      <c r="H106" t="s">
        <v>15</v>
      </c>
      <c r="I106" t="s">
        <v>16</v>
      </c>
      <c r="J106">
        <v>18343.05</v>
      </c>
      <c r="K106">
        <v>20795.77</v>
      </c>
      <c r="L106" s="20">
        <f>tbl_Budget[[#This Row],[Actual]]-tbl_Budget[[#This Row],[Budget]]</f>
        <v>2452.7200000000012</v>
      </c>
      <c r="M106" s="3">
        <f>tbl_Budget[[#This Row],[Variance]]/tbl_Budget[[#This Row],[Budget]]</f>
        <v>0.13371385892749577</v>
      </c>
      <c r="N106" t="str">
        <f>IF(tbl_Budget[[#This Row],[Variance_%]]&gt;0.05,"Overspend",IF(tbl_Budget[[#This Row],[Variance_%]]&lt;-0.05,"Underspend","On Budget"))</f>
        <v>Overspend</v>
      </c>
    </row>
    <row r="107" spans="1:14" hidden="1">
      <c r="A107" s="1">
        <v>44958</v>
      </c>
      <c r="B107">
        <v>2</v>
      </c>
      <c r="C107" t="s">
        <v>32</v>
      </c>
      <c r="D107" t="s">
        <v>33</v>
      </c>
      <c r="E107">
        <v>2023</v>
      </c>
      <c r="F107" t="s">
        <v>13</v>
      </c>
      <c r="G107" t="s">
        <v>20</v>
      </c>
      <c r="H107" t="s">
        <v>17</v>
      </c>
      <c r="I107" t="s">
        <v>16</v>
      </c>
      <c r="J107">
        <v>17553.63</v>
      </c>
      <c r="K107">
        <v>20049.3</v>
      </c>
      <c r="L107" s="20">
        <f>tbl_Budget[[#This Row],[Actual]]-tbl_Budget[[#This Row],[Budget]]</f>
        <v>2495.6699999999983</v>
      </c>
      <c r="M107" s="3">
        <f>tbl_Budget[[#This Row],[Variance]]/tbl_Budget[[#This Row],[Budget]]</f>
        <v>0.14217401187104878</v>
      </c>
      <c r="N107" t="str">
        <f>IF(tbl_Budget[[#This Row],[Variance_%]]&gt;0.05,"Overspend",IF(tbl_Budget[[#This Row],[Variance_%]]&lt;-0.05,"Underspend","On Budget"))</f>
        <v>Overspend</v>
      </c>
    </row>
    <row r="108" spans="1:14" hidden="1">
      <c r="A108" s="1">
        <v>44958</v>
      </c>
      <c r="B108">
        <v>2</v>
      </c>
      <c r="C108" t="s">
        <v>32</v>
      </c>
      <c r="D108" t="s">
        <v>33</v>
      </c>
      <c r="E108">
        <v>2023</v>
      </c>
      <c r="F108" t="s">
        <v>13</v>
      </c>
      <c r="G108" t="s">
        <v>20</v>
      </c>
      <c r="H108" t="s">
        <v>18</v>
      </c>
      <c r="I108" t="s">
        <v>16</v>
      </c>
      <c r="J108">
        <v>17878.62</v>
      </c>
      <c r="K108">
        <v>21540.799999999999</v>
      </c>
      <c r="L108" s="20">
        <f>tbl_Budget[[#This Row],[Actual]]-tbl_Budget[[#This Row],[Budget]]</f>
        <v>3662.1800000000003</v>
      </c>
      <c r="M108" s="3">
        <f>tbl_Budget[[#This Row],[Variance]]/tbl_Budget[[#This Row],[Budget]]</f>
        <v>0.20483571998286224</v>
      </c>
      <c r="N108" t="str">
        <f>IF(tbl_Budget[[#This Row],[Variance_%]]&gt;0.05,"Overspend",IF(tbl_Budget[[#This Row],[Variance_%]]&lt;-0.05,"Underspend","On Budget"))</f>
        <v>Overspend</v>
      </c>
    </row>
    <row r="109" spans="1:14" hidden="1">
      <c r="A109" s="1">
        <v>44958</v>
      </c>
      <c r="B109">
        <v>2</v>
      </c>
      <c r="C109" t="s">
        <v>32</v>
      </c>
      <c r="D109" t="s">
        <v>33</v>
      </c>
      <c r="E109">
        <v>2023</v>
      </c>
      <c r="F109" t="s">
        <v>13</v>
      </c>
      <c r="G109" t="s">
        <v>20</v>
      </c>
      <c r="H109" t="s">
        <v>19</v>
      </c>
      <c r="I109" t="s">
        <v>16</v>
      </c>
      <c r="J109">
        <v>19343.96</v>
      </c>
      <c r="K109">
        <v>21929.07</v>
      </c>
      <c r="L109" s="20">
        <f>tbl_Budget[[#This Row],[Actual]]-tbl_Budget[[#This Row],[Budget]]</f>
        <v>2585.1100000000006</v>
      </c>
      <c r="M109" s="3">
        <f>tbl_Budget[[#This Row],[Variance]]/tbl_Budget[[#This Row],[Budget]]</f>
        <v>0.13363913076743339</v>
      </c>
      <c r="N109" t="str">
        <f>IF(tbl_Budget[[#This Row],[Variance_%]]&gt;0.05,"Overspend",IF(tbl_Budget[[#This Row],[Variance_%]]&lt;-0.05,"Underspend","On Budget"))</f>
        <v>Overspend</v>
      </c>
    </row>
    <row r="110" spans="1:14">
      <c r="A110" s="1">
        <v>44958</v>
      </c>
      <c r="B110">
        <v>2</v>
      </c>
      <c r="C110" t="s">
        <v>32</v>
      </c>
      <c r="D110" t="s">
        <v>33</v>
      </c>
      <c r="E110">
        <v>2023</v>
      </c>
      <c r="F110" t="s">
        <v>13</v>
      </c>
      <c r="G110" t="s">
        <v>21</v>
      </c>
      <c r="H110" t="s">
        <v>15</v>
      </c>
      <c r="I110" t="s">
        <v>16</v>
      </c>
      <c r="J110">
        <v>10705.53</v>
      </c>
      <c r="K110">
        <v>12550.66</v>
      </c>
      <c r="L110" s="20">
        <f>tbl_Budget[[#This Row],[Actual]]-tbl_Budget[[#This Row],[Budget]]</f>
        <v>1845.1299999999992</v>
      </c>
      <c r="M110" s="3">
        <f>tbl_Budget[[#This Row],[Variance]]/tbl_Budget[[#This Row],[Budget]]</f>
        <v>0.17235298018874348</v>
      </c>
      <c r="N110" t="str">
        <f>IF(tbl_Budget[[#This Row],[Variance_%]]&gt;0.05,"Overspend",IF(tbl_Budget[[#This Row],[Variance_%]]&lt;-0.05,"Underspend","On Budget"))</f>
        <v>Overspend</v>
      </c>
    </row>
    <row r="111" spans="1:14">
      <c r="A111" s="1">
        <v>44958</v>
      </c>
      <c r="B111">
        <v>2</v>
      </c>
      <c r="C111" t="s">
        <v>32</v>
      </c>
      <c r="D111" t="s">
        <v>33</v>
      </c>
      <c r="E111">
        <v>2023</v>
      </c>
      <c r="F111" t="s">
        <v>13</v>
      </c>
      <c r="G111" t="s">
        <v>21</v>
      </c>
      <c r="H111" t="s">
        <v>17</v>
      </c>
      <c r="I111" t="s">
        <v>16</v>
      </c>
      <c r="J111">
        <v>9996.77</v>
      </c>
      <c r="K111">
        <v>11579.89</v>
      </c>
      <c r="L111" s="20">
        <f>tbl_Budget[[#This Row],[Actual]]-tbl_Budget[[#This Row],[Budget]]</f>
        <v>1583.119999999999</v>
      </c>
      <c r="M111" s="3">
        <f>tbl_Budget[[#This Row],[Variance]]/tbl_Budget[[#This Row],[Budget]]</f>
        <v>0.1583631512978691</v>
      </c>
      <c r="N111" t="str">
        <f>IF(tbl_Budget[[#This Row],[Variance_%]]&gt;0.05,"Overspend",IF(tbl_Budget[[#This Row],[Variance_%]]&lt;-0.05,"Underspend","On Budget"))</f>
        <v>Overspend</v>
      </c>
    </row>
    <row r="112" spans="1:14">
      <c r="A112" s="1">
        <v>44958</v>
      </c>
      <c r="B112">
        <v>2</v>
      </c>
      <c r="C112" t="s">
        <v>32</v>
      </c>
      <c r="D112" t="s">
        <v>33</v>
      </c>
      <c r="E112">
        <v>2023</v>
      </c>
      <c r="F112" t="s">
        <v>13</v>
      </c>
      <c r="G112" t="s">
        <v>21</v>
      </c>
      <c r="H112" t="s">
        <v>18</v>
      </c>
      <c r="I112" t="s">
        <v>16</v>
      </c>
      <c r="J112">
        <v>10324.280000000001</v>
      </c>
      <c r="K112">
        <v>11610.74</v>
      </c>
      <c r="L112" s="20">
        <f>tbl_Budget[[#This Row],[Actual]]-tbl_Budget[[#This Row],[Budget]]</f>
        <v>1286.4599999999991</v>
      </c>
      <c r="M112" s="3">
        <f>tbl_Budget[[#This Row],[Variance]]/tbl_Budget[[#This Row],[Budget]]</f>
        <v>0.12460529935259398</v>
      </c>
      <c r="N112" t="str">
        <f>IF(tbl_Budget[[#This Row],[Variance_%]]&gt;0.05,"Overspend",IF(tbl_Budget[[#This Row],[Variance_%]]&lt;-0.05,"Underspend","On Budget"))</f>
        <v>Overspend</v>
      </c>
    </row>
    <row r="113" spans="1:14">
      <c r="A113" s="1">
        <v>44958</v>
      </c>
      <c r="B113">
        <v>2</v>
      </c>
      <c r="C113" t="s">
        <v>32</v>
      </c>
      <c r="D113" t="s">
        <v>33</v>
      </c>
      <c r="E113">
        <v>2023</v>
      </c>
      <c r="F113" t="s">
        <v>13</v>
      </c>
      <c r="G113" t="s">
        <v>21</v>
      </c>
      <c r="H113" t="s">
        <v>19</v>
      </c>
      <c r="I113" t="s">
        <v>16</v>
      </c>
      <c r="J113">
        <v>11129.22</v>
      </c>
      <c r="K113">
        <v>12417.5</v>
      </c>
      <c r="L113" s="20">
        <f>tbl_Budget[[#This Row],[Actual]]-tbl_Budget[[#This Row],[Budget]]</f>
        <v>1288.2800000000007</v>
      </c>
      <c r="M113" s="3">
        <f>tbl_Budget[[#This Row],[Variance]]/tbl_Budget[[#This Row],[Budget]]</f>
        <v>0.11575653999112254</v>
      </c>
      <c r="N113" t="str">
        <f>IF(tbl_Budget[[#This Row],[Variance_%]]&gt;0.05,"Overspend",IF(tbl_Budget[[#This Row],[Variance_%]]&lt;-0.05,"Underspend","On Budget"))</f>
        <v>Overspend</v>
      </c>
    </row>
    <row r="114" spans="1:14" hidden="1">
      <c r="A114" s="1">
        <v>44958</v>
      </c>
      <c r="B114">
        <v>2</v>
      </c>
      <c r="C114" t="s">
        <v>32</v>
      </c>
      <c r="D114" t="s">
        <v>33</v>
      </c>
      <c r="E114">
        <v>2023</v>
      </c>
      <c r="F114" t="s">
        <v>13</v>
      </c>
      <c r="G114" t="s">
        <v>22</v>
      </c>
      <c r="H114" t="s">
        <v>15</v>
      </c>
      <c r="I114" t="s">
        <v>16</v>
      </c>
      <c r="J114">
        <v>7957.81</v>
      </c>
      <c r="K114">
        <v>9253.56</v>
      </c>
      <c r="L114" s="20">
        <f>tbl_Budget[[#This Row],[Actual]]-tbl_Budget[[#This Row],[Budget]]</f>
        <v>1295.7499999999991</v>
      </c>
      <c r="M114" s="3">
        <f>tbl_Budget[[#This Row],[Variance]]/tbl_Budget[[#This Row],[Budget]]</f>
        <v>0.16282746132415815</v>
      </c>
      <c r="N114" t="str">
        <f>IF(tbl_Budget[[#This Row],[Variance_%]]&gt;0.05,"Overspend",IF(tbl_Budget[[#This Row],[Variance_%]]&lt;-0.05,"Underspend","On Budget"))</f>
        <v>Overspend</v>
      </c>
    </row>
    <row r="115" spans="1:14" hidden="1">
      <c r="A115" s="1">
        <v>44958</v>
      </c>
      <c r="B115">
        <v>2</v>
      </c>
      <c r="C115" t="s">
        <v>32</v>
      </c>
      <c r="D115" t="s">
        <v>33</v>
      </c>
      <c r="E115">
        <v>2023</v>
      </c>
      <c r="F115" t="s">
        <v>13</v>
      </c>
      <c r="G115" t="s">
        <v>22</v>
      </c>
      <c r="H115" t="s">
        <v>17</v>
      </c>
      <c r="I115" t="s">
        <v>16</v>
      </c>
      <c r="J115">
        <v>7963.01</v>
      </c>
      <c r="K115">
        <v>8950.1200000000008</v>
      </c>
      <c r="L115" s="20">
        <f>tbl_Budget[[#This Row],[Actual]]-tbl_Budget[[#This Row],[Budget]]</f>
        <v>987.11000000000058</v>
      </c>
      <c r="M115" s="3">
        <f>tbl_Budget[[#This Row],[Variance]]/tbl_Budget[[#This Row],[Budget]]</f>
        <v>0.12396191892261853</v>
      </c>
      <c r="N115" t="str">
        <f>IF(tbl_Budget[[#This Row],[Variance_%]]&gt;0.05,"Overspend",IF(tbl_Budget[[#This Row],[Variance_%]]&lt;-0.05,"Underspend","On Budget"))</f>
        <v>Overspend</v>
      </c>
    </row>
    <row r="116" spans="1:14" hidden="1">
      <c r="A116" s="1">
        <v>44958</v>
      </c>
      <c r="B116">
        <v>2</v>
      </c>
      <c r="C116" t="s">
        <v>32</v>
      </c>
      <c r="D116" t="s">
        <v>33</v>
      </c>
      <c r="E116">
        <v>2023</v>
      </c>
      <c r="F116" t="s">
        <v>13</v>
      </c>
      <c r="G116" t="s">
        <v>22</v>
      </c>
      <c r="H116" t="s">
        <v>18</v>
      </c>
      <c r="I116" t="s">
        <v>16</v>
      </c>
      <c r="J116">
        <v>8061.35</v>
      </c>
      <c r="K116">
        <v>9398.9</v>
      </c>
      <c r="L116" s="20">
        <f>tbl_Budget[[#This Row],[Actual]]-tbl_Budget[[#This Row],[Budget]]</f>
        <v>1337.5499999999993</v>
      </c>
      <c r="M116" s="3">
        <f>tbl_Budget[[#This Row],[Variance]]/tbl_Budget[[#This Row],[Budget]]</f>
        <v>0.16592134071836592</v>
      </c>
      <c r="N116" t="str">
        <f>IF(tbl_Budget[[#This Row],[Variance_%]]&gt;0.05,"Overspend",IF(tbl_Budget[[#This Row],[Variance_%]]&lt;-0.05,"Underspend","On Budget"))</f>
        <v>Overspend</v>
      </c>
    </row>
    <row r="117" spans="1:14" hidden="1">
      <c r="A117" s="1">
        <v>44958</v>
      </c>
      <c r="B117">
        <v>2</v>
      </c>
      <c r="C117" t="s">
        <v>32</v>
      </c>
      <c r="D117" t="s">
        <v>33</v>
      </c>
      <c r="E117">
        <v>2023</v>
      </c>
      <c r="F117" t="s">
        <v>13</v>
      </c>
      <c r="G117" t="s">
        <v>22</v>
      </c>
      <c r="H117" t="s">
        <v>19</v>
      </c>
      <c r="I117" t="s">
        <v>16</v>
      </c>
      <c r="J117">
        <v>8622.7099999999991</v>
      </c>
      <c r="K117">
        <v>10249.91</v>
      </c>
      <c r="L117" s="20">
        <f>tbl_Budget[[#This Row],[Actual]]-tbl_Budget[[#This Row],[Budget]]</f>
        <v>1627.2000000000007</v>
      </c>
      <c r="M117" s="3">
        <f>tbl_Budget[[#This Row],[Variance]]/tbl_Budget[[#This Row],[Budget]]</f>
        <v>0.18871097369620465</v>
      </c>
      <c r="N117" t="str">
        <f>IF(tbl_Budget[[#This Row],[Variance_%]]&gt;0.05,"Overspend",IF(tbl_Budget[[#This Row],[Variance_%]]&lt;-0.05,"Underspend","On Budget"))</f>
        <v>Overspend</v>
      </c>
    </row>
    <row r="118" spans="1:14" hidden="1">
      <c r="A118" s="1">
        <v>44958</v>
      </c>
      <c r="B118">
        <v>2</v>
      </c>
      <c r="C118" t="s">
        <v>32</v>
      </c>
      <c r="D118" t="s">
        <v>33</v>
      </c>
      <c r="E118">
        <v>2023</v>
      </c>
      <c r="F118" t="s">
        <v>13</v>
      </c>
      <c r="G118" t="s">
        <v>23</v>
      </c>
      <c r="H118" t="s">
        <v>15</v>
      </c>
      <c r="I118" t="s">
        <v>16</v>
      </c>
      <c r="J118">
        <v>8434.32</v>
      </c>
      <c r="K118">
        <v>9379.66</v>
      </c>
      <c r="L118" s="20">
        <f>tbl_Budget[[#This Row],[Actual]]-tbl_Budget[[#This Row],[Budget]]</f>
        <v>945.34000000000015</v>
      </c>
      <c r="M118" s="3">
        <f>tbl_Budget[[#This Row],[Variance]]/tbl_Budget[[#This Row],[Budget]]</f>
        <v>0.11208253895986875</v>
      </c>
      <c r="N118" t="str">
        <f>IF(tbl_Budget[[#This Row],[Variance_%]]&gt;0.05,"Overspend",IF(tbl_Budget[[#This Row],[Variance_%]]&lt;-0.05,"Underspend","On Budget"))</f>
        <v>Overspend</v>
      </c>
    </row>
    <row r="119" spans="1:14" hidden="1">
      <c r="A119" s="1">
        <v>44958</v>
      </c>
      <c r="B119">
        <v>2</v>
      </c>
      <c r="C119" t="s">
        <v>32</v>
      </c>
      <c r="D119" t="s">
        <v>33</v>
      </c>
      <c r="E119">
        <v>2023</v>
      </c>
      <c r="F119" t="s">
        <v>13</v>
      </c>
      <c r="G119" t="s">
        <v>23</v>
      </c>
      <c r="H119" t="s">
        <v>17</v>
      </c>
      <c r="I119" t="s">
        <v>16</v>
      </c>
      <c r="J119">
        <v>7824.33</v>
      </c>
      <c r="K119">
        <v>9061.91</v>
      </c>
      <c r="L119" s="20">
        <f>tbl_Budget[[#This Row],[Actual]]-tbl_Budget[[#This Row],[Budget]]</f>
        <v>1237.58</v>
      </c>
      <c r="M119" s="3">
        <f>tbl_Budget[[#This Row],[Variance]]/tbl_Budget[[#This Row],[Budget]]</f>
        <v>0.15817073155145553</v>
      </c>
      <c r="N119" t="str">
        <f>IF(tbl_Budget[[#This Row],[Variance_%]]&gt;0.05,"Overspend",IF(tbl_Budget[[#This Row],[Variance_%]]&lt;-0.05,"Underspend","On Budget"))</f>
        <v>Overspend</v>
      </c>
    </row>
    <row r="120" spans="1:14" hidden="1">
      <c r="A120" s="1">
        <v>44958</v>
      </c>
      <c r="B120">
        <v>2</v>
      </c>
      <c r="C120" t="s">
        <v>32</v>
      </c>
      <c r="D120" t="s">
        <v>33</v>
      </c>
      <c r="E120">
        <v>2023</v>
      </c>
      <c r="F120" t="s">
        <v>13</v>
      </c>
      <c r="G120" t="s">
        <v>23</v>
      </c>
      <c r="H120" t="s">
        <v>18</v>
      </c>
      <c r="I120" t="s">
        <v>16</v>
      </c>
      <c r="J120">
        <v>8128.02</v>
      </c>
      <c r="K120">
        <v>9415.0499999999993</v>
      </c>
      <c r="L120" s="20">
        <f>tbl_Budget[[#This Row],[Actual]]-tbl_Budget[[#This Row],[Budget]]</f>
        <v>1287.0299999999988</v>
      </c>
      <c r="M120" s="3">
        <f>tbl_Budget[[#This Row],[Variance]]/tbl_Budget[[#This Row],[Budget]]</f>
        <v>0.15834483674990943</v>
      </c>
      <c r="N120" t="str">
        <f>IF(tbl_Budget[[#This Row],[Variance_%]]&gt;0.05,"Overspend",IF(tbl_Budget[[#This Row],[Variance_%]]&lt;-0.05,"Underspend","On Budget"))</f>
        <v>Overspend</v>
      </c>
    </row>
    <row r="121" spans="1:14" hidden="1">
      <c r="A121" s="1">
        <v>44958</v>
      </c>
      <c r="B121">
        <v>2</v>
      </c>
      <c r="C121" t="s">
        <v>32</v>
      </c>
      <c r="D121" t="s">
        <v>33</v>
      </c>
      <c r="E121">
        <v>2023</v>
      </c>
      <c r="F121" t="s">
        <v>13</v>
      </c>
      <c r="G121" t="s">
        <v>23</v>
      </c>
      <c r="H121" t="s">
        <v>19</v>
      </c>
      <c r="I121" t="s">
        <v>16</v>
      </c>
      <c r="J121">
        <v>8871.24</v>
      </c>
      <c r="K121">
        <v>10215.27</v>
      </c>
      <c r="L121" s="20">
        <f>tbl_Budget[[#This Row],[Actual]]-tbl_Budget[[#This Row],[Budget]]</f>
        <v>1344.0300000000007</v>
      </c>
      <c r="M121" s="3">
        <f>tbl_Budget[[#This Row],[Variance]]/tbl_Budget[[#This Row],[Budget]]</f>
        <v>0.15150418656241976</v>
      </c>
      <c r="N121" t="str">
        <f>IF(tbl_Budget[[#This Row],[Variance_%]]&gt;0.05,"Overspend",IF(tbl_Budget[[#This Row],[Variance_%]]&lt;-0.05,"Underspend","On Budget"))</f>
        <v>Overspend</v>
      </c>
    </row>
    <row r="122" spans="1:14" hidden="1">
      <c r="A122" s="1">
        <v>44958</v>
      </c>
      <c r="B122">
        <v>2</v>
      </c>
      <c r="C122" t="s">
        <v>32</v>
      </c>
      <c r="D122" t="s">
        <v>33</v>
      </c>
      <c r="E122">
        <v>2023</v>
      </c>
      <c r="F122" t="s">
        <v>24</v>
      </c>
      <c r="G122" t="s">
        <v>14</v>
      </c>
      <c r="H122" t="s">
        <v>15</v>
      </c>
      <c r="I122" t="s">
        <v>25</v>
      </c>
      <c r="J122">
        <v>52891.27</v>
      </c>
      <c r="K122">
        <v>44927.519999999997</v>
      </c>
      <c r="L122" s="20">
        <f>tbl_Budget[[#This Row],[Actual]]-tbl_Budget[[#This Row],[Budget]]</f>
        <v>-7963.75</v>
      </c>
      <c r="M122" s="3">
        <f>tbl_Budget[[#This Row],[Variance]]/tbl_Budget[[#This Row],[Budget]]</f>
        <v>-0.150568326304133</v>
      </c>
      <c r="N122" t="str">
        <f>IF(tbl_Budget[[#This Row],[Variance_%]]&gt;0.05,"Overspend",IF(tbl_Budget[[#This Row],[Variance_%]]&lt;-0.05,"Underspend","On Budget"))</f>
        <v>Underspend</v>
      </c>
    </row>
    <row r="123" spans="1:14" hidden="1">
      <c r="A123" s="1">
        <v>44958</v>
      </c>
      <c r="B123">
        <v>2</v>
      </c>
      <c r="C123" t="s">
        <v>32</v>
      </c>
      <c r="D123" t="s">
        <v>33</v>
      </c>
      <c r="E123">
        <v>2023</v>
      </c>
      <c r="F123" t="s">
        <v>24</v>
      </c>
      <c r="G123" t="s">
        <v>14</v>
      </c>
      <c r="H123" t="s">
        <v>17</v>
      </c>
      <c r="I123" t="s">
        <v>25</v>
      </c>
      <c r="J123">
        <v>47841</v>
      </c>
      <c r="K123">
        <v>42169.73</v>
      </c>
      <c r="L123" s="20">
        <f>tbl_Budget[[#This Row],[Actual]]-tbl_Budget[[#This Row],[Budget]]</f>
        <v>-5671.2699999999968</v>
      </c>
      <c r="M123" s="3">
        <f>tbl_Budget[[#This Row],[Variance]]/tbl_Budget[[#This Row],[Budget]]</f>
        <v>-0.11854413578311483</v>
      </c>
      <c r="N123" t="str">
        <f>IF(tbl_Budget[[#This Row],[Variance_%]]&gt;0.05,"Overspend",IF(tbl_Budget[[#This Row],[Variance_%]]&lt;-0.05,"Underspend","On Budget"))</f>
        <v>Underspend</v>
      </c>
    </row>
    <row r="124" spans="1:14" hidden="1">
      <c r="A124" s="1">
        <v>44958</v>
      </c>
      <c r="B124">
        <v>2</v>
      </c>
      <c r="C124" t="s">
        <v>32</v>
      </c>
      <c r="D124" t="s">
        <v>33</v>
      </c>
      <c r="E124">
        <v>2023</v>
      </c>
      <c r="F124" t="s">
        <v>24</v>
      </c>
      <c r="G124" t="s">
        <v>14</v>
      </c>
      <c r="H124" t="s">
        <v>18</v>
      </c>
      <c r="I124" t="s">
        <v>25</v>
      </c>
      <c r="J124">
        <v>50879.48</v>
      </c>
      <c r="K124">
        <v>44805.58</v>
      </c>
      <c r="L124" s="20">
        <f>tbl_Budget[[#This Row],[Actual]]-tbl_Budget[[#This Row],[Budget]]</f>
        <v>-6073.9000000000015</v>
      </c>
      <c r="M124" s="3">
        <f>tbl_Budget[[#This Row],[Variance]]/tbl_Budget[[#This Row],[Budget]]</f>
        <v>-0.11937818546887667</v>
      </c>
      <c r="N124" t="str">
        <f>IF(tbl_Budget[[#This Row],[Variance_%]]&gt;0.05,"Overspend",IF(tbl_Budget[[#This Row],[Variance_%]]&lt;-0.05,"Underspend","On Budget"))</f>
        <v>Underspend</v>
      </c>
    </row>
    <row r="125" spans="1:14" hidden="1">
      <c r="A125" s="1">
        <v>44958</v>
      </c>
      <c r="B125">
        <v>2</v>
      </c>
      <c r="C125" t="s">
        <v>32</v>
      </c>
      <c r="D125" t="s">
        <v>33</v>
      </c>
      <c r="E125">
        <v>2023</v>
      </c>
      <c r="F125" t="s">
        <v>24</v>
      </c>
      <c r="G125" t="s">
        <v>14</v>
      </c>
      <c r="H125" t="s">
        <v>19</v>
      </c>
      <c r="I125" t="s">
        <v>25</v>
      </c>
      <c r="J125">
        <v>54839.67</v>
      </c>
      <c r="K125">
        <v>48481.05</v>
      </c>
      <c r="L125" s="20">
        <f>tbl_Budget[[#This Row],[Actual]]-tbl_Budget[[#This Row],[Budget]]</f>
        <v>-6358.6199999999953</v>
      </c>
      <c r="M125" s="3">
        <f>tbl_Budget[[#This Row],[Variance]]/tbl_Budget[[#This Row],[Budget]]</f>
        <v>-0.11594927540592413</v>
      </c>
      <c r="N125" t="str">
        <f>IF(tbl_Budget[[#This Row],[Variance_%]]&gt;0.05,"Overspend",IF(tbl_Budget[[#This Row],[Variance_%]]&lt;-0.05,"Underspend","On Budget"))</f>
        <v>Underspend</v>
      </c>
    </row>
    <row r="126" spans="1:14" hidden="1">
      <c r="A126" s="1">
        <v>44958</v>
      </c>
      <c r="B126">
        <v>2</v>
      </c>
      <c r="C126" t="s">
        <v>32</v>
      </c>
      <c r="D126" t="s">
        <v>33</v>
      </c>
      <c r="E126">
        <v>2023</v>
      </c>
      <c r="F126" t="s">
        <v>24</v>
      </c>
      <c r="G126" t="s">
        <v>20</v>
      </c>
      <c r="H126" t="s">
        <v>15</v>
      </c>
      <c r="I126" t="s">
        <v>25</v>
      </c>
      <c r="J126">
        <v>28247.19</v>
      </c>
      <c r="K126">
        <v>24286.76</v>
      </c>
      <c r="L126" s="20">
        <f>tbl_Budget[[#This Row],[Actual]]-tbl_Budget[[#This Row],[Budget]]</f>
        <v>-3960.4300000000003</v>
      </c>
      <c r="M126" s="3">
        <f>tbl_Budget[[#This Row],[Variance]]/tbl_Budget[[#This Row],[Budget]]</f>
        <v>-0.14020615855948859</v>
      </c>
      <c r="N126" t="str">
        <f>IF(tbl_Budget[[#This Row],[Variance_%]]&gt;0.05,"Overspend",IF(tbl_Budget[[#This Row],[Variance_%]]&lt;-0.05,"Underspend","On Budget"))</f>
        <v>Underspend</v>
      </c>
    </row>
    <row r="127" spans="1:14" hidden="1">
      <c r="A127" s="1">
        <v>44958</v>
      </c>
      <c r="B127">
        <v>2</v>
      </c>
      <c r="C127" t="s">
        <v>32</v>
      </c>
      <c r="D127" t="s">
        <v>33</v>
      </c>
      <c r="E127">
        <v>2023</v>
      </c>
      <c r="F127" t="s">
        <v>24</v>
      </c>
      <c r="G127" t="s">
        <v>20</v>
      </c>
      <c r="H127" t="s">
        <v>17</v>
      </c>
      <c r="I127" t="s">
        <v>25</v>
      </c>
      <c r="J127">
        <v>26524.13</v>
      </c>
      <c r="K127">
        <v>23757.47</v>
      </c>
      <c r="L127" s="20">
        <f>tbl_Budget[[#This Row],[Actual]]-tbl_Budget[[#This Row],[Budget]]</f>
        <v>-2766.66</v>
      </c>
      <c r="M127" s="3">
        <f>tbl_Budget[[#This Row],[Variance]]/tbl_Budget[[#This Row],[Budget]]</f>
        <v>-0.10430728547929752</v>
      </c>
      <c r="N127" t="str">
        <f>IF(tbl_Budget[[#This Row],[Variance_%]]&gt;0.05,"Overspend",IF(tbl_Budget[[#This Row],[Variance_%]]&lt;-0.05,"Underspend","On Budget"))</f>
        <v>Underspend</v>
      </c>
    </row>
    <row r="128" spans="1:14" hidden="1">
      <c r="A128" s="1">
        <v>44958</v>
      </c>
      <c r="B128">
        <v>2</v>
      </c>
      <c r="C128" t="s">
        <v>32</v>
      </c>
      <c r="D128" t="s">
        <v>33</v>
      </c>
      <c r="E128">
        <v>2023</v>
      </c>
      <c r="F128" t="s">
        <v>24</v>
      </c>
      <c r="G128" t="s">
        <v>20</v>
      </c>
      <c r="H128" t="s">
        <v>18</v>
      </c>
      <c r="I128" t="s">
        <v>25</v>
      </c>
      <c r="J128">
        <v>27456.19</v>
      </c>
      <c r="K128">
        <v>24365.279999999999</v>
      </c>
      <c r="L128" s="20">
        <f>tbl_Budget[[#This Row],[Actual]]-tbl_Budget[[#This Row],[Budget]]</f>
        <v>-3090.91</v>
      </c>
      <c r="M128" s="3">
        <f>tbl_Budget[[#This Row],[Variance]]/tbl_Budget[[#This Row],[Budget]]</f>
        <v>-0.11257607118831855</v>
      </c>
      <c r="N128" t="str">
        <f>IF(tbl_Budget[[#This Row],[Variance_%]]&gt;0.05,"Overspend",IF(tbl_Budget[[#This Row],[Variance_%]]&lt;-0.05,"Underspend","On Budget"))</f>
        <v>Underspend</v>
      </c>
    </row>
    <row r="129" spans="1:14" hidden="1">
      <c r="A129" s="1">
        <v>44958</v>
      </c>
      <c r="B129">
        <v>2</v>
      </c>
      <c r="C129" t="s">
        <v>32</v>
      </c>
      <c r="D129" t="s">
        <v>33</v>
      </c>
      <c r="E129">
        <v>2023</v>
      </c>
      <c r="F129" t="s">
        <v>24</v>
      </c>
      <c r="G129" t="s">
        <v>20</v>
      </c>
      <c r="H129" t="s">
        <v>19</v>
      </c>
      <c r="I129" t="s">
        <v>25</v>
      </c>
      <c r="J129">
        <v>30359.439999999999</v>
      </c>
      <c r="K129">
        <v>26978.86</v>
      </c>
      <c r="L129" s="20">
        <f>tbl_Budget[[#This Row],[Actual]]-tbl_Budget[[#This Row],[Budget]]</f>
        <v>-3380.5799999999981</v>
      </c>
      <c r="M129" s="3">
        <f>tbl_Budget[[#This Row],[Variance]]/tbl_Budget[[#This Row],[Budget]]</f>
        <v>-0.11135185629247438</v>
      </c>
      <c r="N129" t="str">
        <f>IF(tbl_Budget[[#This Row],[Variance_%]]&gt;0.05,"Overspend",IF(tbl_Budget[[#This Row],[Variance_%]]&lt;-0.05,"Underspend","On Budget"))</f>
        <v>Underspend</v>
      </c>
    </row>
    <row r="130" spans="1:14">
      <c r="A130" s="1">
        <v>44958</v>
      </c>
      <c r="B130">
        <v>2</v>
      </c>
      <c r="C130" t="s">
        <v>32</v>
      </c>
      <c r="D130" t="s">
        <v>33</v>
      </c>
      <c r="E130">
        <v>2023</v>
      </c>
      <c r="F130" t="s">
        <v>24</v>
      </c>
      <c r="G130" t="s">
        <v>21</v>
      </c>
      <c r="H130" t="s">
        <v>15</v>
      </c>
      <c r="I130" t="s">
        <v>25</v>
      </c>
      <c r="J130">
        <v>10966.03</v>
      </c>
      <c r="K130">
        <v>9905.0499999999993</v>
      </c>
      <c r="L130" s="20">
        <f>tbl_Budget[[#This Row],[Actual]]-tbl_Budget[[#This Row],[Budget]]</f>
        <v>-1060.9800000000014</v>
      </c>
      <c r="M130" s="3">
        <f>tbl_Budget[[#This Row],[Variance]]/tbl_Budget[[#This Row],[Budget]]</f>
        <v>-9.6751513537716133E-2</v>
      </c>
      <c r="N130" t="str">
        <f>IF(tbl_Budget[[#This Row],[Variance_%]]&gt;0.05,"Overspend",IF(tbl_Budget[[#This Row],[Variance_%]]&lt;-0.05,"Underspend","On Budget"))</f>
        <v>Underspend</v>
      </c>
    </row>
    <row r="131" spans="1:14">
      <c r="A131" s="1">
        <v>44958</v>
      </c>
      <c r="B131">
        <v>2</v>
      </c>
      <c r="C131" t="s">
        <v>32</v>
      </c>
      <c r="D131" t="s">
        <v>33</v>
      </c>
      <c r="E131">
        <v>2023</v>
      </c>
      <c r="F131" t="s">
        <v>24</v>
      </c>
      <c r="G131" t="s">
        <v>21</v>
      </c>
      <c r="H131" t="s">
        <v>17</v>
      </c>
      <c r="I131" t="s">
        <v>25</v>
      </c>
      <c r="J131">
        <v>10796.24</v>
      </c>
      <c r="K131">
        <v>9305.5400000000009</v>
      </c>
      <c r="L131" s="20">
        <f>tbl_Budget[[#This Row],[Actual]]-tbl_Budget[[#This Row],[Budget]]</f>
        <v>-1490.6999999999989</v>
      </c>
      <c r="M131" s="3">
        <f>tbl_Budget[[#This Row],[Variance]]/tbl_Budget[[#This Row],[Budget]]</f>
        <v>-0.13807584862878178</v>
      </c>
      <c r="N131" t="str">
        <f>IF(tbl_Budget[[#This Row],[Variance_%]]&gt;0.05,"Overspend",IF(tbl_Budget[[#This Row],[Variance_%]]&lt;-0.05,"Underspend","On Budget"))</f>
        <v>Underspend</v>
      </c>
    </row>
    <row r="132" spans="1:14">
      <c r="A132" s="1">
        <v>44958</v>
      </c>
      <c r="B132">
        <v>2</v>
      </c>
      <c r="C132" t="s">
        <v>32</v>
      </c>
      <c r="D132" t="s">
        <v>33</v>
      </c>
      <c r="E132">
        <v>2023</v>
      </c>
      <c r="F132" t="s">
        <v>24</v>
      </c>
      <c r="G132" t="s">
        <v>21</v>
      </c>
      <c r="H132" t="s">
        <v>18</v>
      </c>
      <c r="I132" t="s">
        <v>25</v>
      </c>
      <c r="J132">
        <v>10814.42</v>
      </c>
      <c r="K132">
        <v>9274.52</v>
      </c>
      <c r="L132" s="20">
        <f>tbl_Budget[[#This Row],[Actual]]-tbl_Budget[[#This Row],[Budget]]</f>
        <v>-1539.8999999999996</v>
      </c>
      <c r="M132" s="3">
        <f>tbl_Budget[[#This Row],[Variance]]/tbl_Budget[[#This Row],[Budget]]</f>
        <v>-0.14239321202616503</v>
      </c>
      <c r="N132" t="str">
        <f>IF(tbl_Budget[[#This Row],[Variance_%]]&gt;0.05,"Overspend",IF(tbl_Budget[[#This Row],[Variance_%]]&lt;-0.05,"Underspend","On Budget"))</f>
        <v>Underspend</v>
      </c>
    </row>
    <row r="133" spans="1:14">
      <c r="A133" s="1">
        <v>44958</v>
      </c>
      <c r="B133">
        <v>2</v>
      </c>
      <c r="C133" t="s">
        <v>32</v>
      </c>
      <c r="D133" t="s">
        <v>33</v>
      </c>
      <c r="E133">
        <v>2023</v>
      </c>
      <c r="F133" t="s">
        <v>24</v>
      </c>
      <c r="G133" t="s">
        <v>21</v>
      </c>
      <c r="H133" t="s">
        <v>19</v>
      </c>
      <c r="I133" t="s">
        <v>25</v>
      </c>
      <c r="J133">
        <v>11605.18</v>
      </c>
      <c r="K133">
        <v>9862.52</v>
      </c>
      <c r="L133" s="20">
        <f>tbl_Budget[[#This Row],[Actual]]-tbl_Budget[[#This Row],[Budget]]</f>
        <v>-1742.6599999999999</v>
      </c>
      <c r="M133" s="3">
        <f>tbl_Budget[[#This Row],[Variance]]/tbl_Budget[[#This Row],[Budget]]</f>
        <v>-0.15016225513089843</v>
      </c>
      <c r="N133" t="str">
        <f>IF(tbl_Budget[[#This Row],[Variance_%]]&gt;0.05,"Overspend",IF(tbl_Budget[[#This Row],[Variance_%]]&lt;-0.05,"Underspend","On Budget"))</f>
        <v>Underspend</v>
      </c>
    </row>
    <row r="134" spans="1:14" hidden="1">
      <c r="A134" s="1">
        <v>44958</v>
      </c>
      <c r="B134">
        <v>2</v>
      </c>
      <c r="C134" t="s">
        <v>32</v>
      </c>
      <c r="D134" t="s">
        <v>33</v>
      </c>
      <c r="E134">
        <v>2023</v>
      </c>
      <c r="F134" t="s">
        <v>24</v>
      </c>
      <c r="G134" t="s">
        <v>22</v>
      </c>
      <c r="H134" t="s">
        <v>15</v>
      </c>
      <c r="I134" t="s">
        <v>25</v>
      </c>
      <c r="J134">
        <v>8760.65</v>
      </c>
      <c r="K134">
        <v>7569.65</v>
      </c>
      <c r="L134" s="20">
        <f>tbl_Budget[[#This Row],[Actual]]-tbl_Budget[[#This Row],[Budget]]</f>
        <v>-1191</v>
      </c>
      <c r="M134" s="3">
        <f>tbl_Budget[[#This Row],[Variance]]/tbl_Budget[[#This Row],[Budget]]</f>
        <v>-0.1359488165832444</v>
      </c>
      <c r="N134" t="str">
        <f>IF(tbl_Budget[[#This Row],[Variance_%]]&gt;0.05,"Overspend",IF(tbl_Budget[[#This Row],[Variance_%]]&lt;-0.05,"Underspend","On Budget"))</f>
        <v>Underspend</v>
      </c>
    </row>
    <row r="135" spans="1:14" hidden="1">
      <c r="A135" s="1">
        <v>44958</v>
      </c>
      <c r="B135">
        <v>2</v>
      </c>
      <c r="C135" t="s">
        <v>32</v>
      </c>
      <c r="D135" t="s">
        <v>33</v>
      </c>
      <c r="E135">
        <v>2023</v>
      </c>
      <c r="F135" t="s">
        <v>24</v>
      </c>
      <c r="G135" t="s">
        <v>22</v>
      </c>
      <c r="H135" t="s">
        <v>17</v>
      </c>
      <c r="I135" t="s">
        <v>25</v>
      </c>
      <c r="J135">
        <v>8147.45</v>
      </c>
      <c r="K135">
        <v>7107.32</v>
      </c>
      <c r="L135" s="20">
        <f>tbl_Budget[[#This Row],[Actual]]-tbl_Budget[[#This Row],[Budget]]</f>
        <v>-1040.1300000000001</v>
      </c>
      <c r="M135" s="3">
        <f>tbl_Budget[[#This Row],[Variance]]/tbl_Budget[[#This Row],[Budget]]</f>
        <v>-0.12766325660175884</v>
      </c>
      <c r="N135" t="str">
        <f>IF(tbl_Budget[[#This Row],[Variance_%]]&gt;0.05,"Overspend",IF(tbl_Budget[[#This Row],[Variance_%]]&lt;-0.05,"Underspend","On Budget"))</f>
        <v>Underspend</v>
      </c>
    </row>
    <row r="136" spans="1:14" hidden="1">
      <c r="A136" s="1">
        <v>44958</v>
      </c>
      <c r="B136">
        <v>2</v>
      </c>
      <c r="C136" t="s">
        <v>32</v>
      </c>
      <c r="D136" t="s">
        <v>33</v>
      </c>
      <c r="E136">
        <v>2023</v>
      </c>
      <c r="F136" t="s">
        <v>24</v>
      </c>
      <c r="G136" t="s">
        <v>22</v>
      </c>
      <c r="H136" t="s">
        <v>18</v>
      </c>
      <c r="I136" t="s">
        <v>25</v>
      </c>
      <c r="J136">
        <v>8483.4</v>
      </c>
      <c r="K136">
        <v>7329.95</v>
      </c>
      <c r="L136" s="20">
        <f>tbl_Budget[[#This Row],[Actual]]-tbl_Budget[[#This Row],[Budget]]</f>
        <v>-1153.4499999999998</v>
      </c>
      <c r="M136" s="3">
        <f>tbl_Budget[[#This Row],[Variance]]/tbl_Budget[[#This Row],[Budget]]</f>
        <v>-0.13596553268736589</v>
      </c>
      <c r="N136" t="str">
        <f>IF(tbl_Budget[[#This Row],[Variance_%]]&gt;0.05,"Overspend",IF(tbl_Budget[[#This Row],[Variance_%]]&lt;-0.05,"Underspend","On Budget"))</f>
        <v>Underspend</v>
      </c>
    </row>
    <row r="137" spans="1:14" hidden="1">
      <c r="A137" s="1">
        <v>44958</v>
      </c>
      <c r="B137">
        <v>2</v>
      </c>
      <c r="C137" t="s">
        <v>32</v>
      </c>
      <c r="D137" t="s">
        <v>33</v>
      </c>
      <c r="E137">
        <v>2023</v>
      </c>
      <c r="F137" t="s">
        <v>24</v>
      </c>
      <c r="G137" t="s">
        <v>22</v>
      </c>
      <c r="H137" t="s">
        <v>19</v>
      </c>
      <c r="I137" t="s">
        <v>25</v>
      </c>
      <c r="J137">
        <v>9129.68</v>
      </c>
      <c r="K137">
        <v>7942.99</v>
      </c>
      <c r="L137" s="20">
        <f>tbl_Budget[[#This Row],[Actual]]-tbl_Budget[[#This Row],[Budget]]</f>
        <v>-1186.6900000000005</v>
      </c>
      <c r="M137" s="3">
        <f>tbl_Budget[[#This Row],[Variance]]/tbl_Budget[[#This Row],[Budget]]</f>
        <v>-0.12998155466566194</v>
      </c>
      <c r="N137" t="str">
        <f>IF(tbl_Budget[[#This Row],[Variance_%]]&gt;0.05,"Overspend",IF(tbl_Budget[[#This Row],[Variance_%]]&lt;-0.05,"Underspend","On Budget"))</f>
        <v>Underspend</v>
      </c>
    </row>
    <row r="138" spans="1:14" hidden="1">
      <c r="A138" s="1">
        <v>44958</v>
      </c>
      <c r="B138">
        <v>2</v>
      </c>
      <c r="C138" t="s">
        <v>32</v>
      </c>
      <c r="D138" t="s">
        <v>33</v>
      </c>
      <c r="E138">
        <v>2023</v>
      </c>
      <c r="F138" t="s">
        <v>24</v>
      </c>
      <c r="G138" t="s">
        <v>23</v>
      </c>
      <c r="H138" t="s">
        <v>15</v>
      </c>
      <c r="I138" t="s">
        <v>25</v>
      </c>
      <c r="J138">
        <v>7191.39</v>
      </c>
      <c r="K138">
        <v>6493.38</v>
      </c>
      <c r="L138" s="20">
        <f>tbl_Budget[[#This Row],[Actual]]-tbl_Budget[[#This Row],[Budget]]</f>
        <v>-698.01000000000022</v>
      </c>
      <c r="M138" s="3">
        <f>tbl_Budget[[#This Row],[Variance]]/tbl_Budget[[#This Row],[Budget]]</f>
        <v>-9.70619031925678E-2</v>
      </c>
      <c r="N138" t="str">
        <f>IF(tbl_Budget[[#This Row],[Variance_%]]&gt;0.05,"Overspend",IF(tbl_Budget[[#This Row],[Variance_%]]&lt;-0.05,"Underspend","On Budget"))</f>
        <v>Underspend</v>
      </c>
    </row>
    <row r="139" spans="1:14" hidden="1">
      <c r="A139" s="1">
        <v>44958</v>
      </c>
      <c r="B139">
        <v>2</v>
      </c>
      <c r="C139" t="s">
        <v>32</v>
      </c>
      <c r="D139" t="s">
        <v>33</v>
      </c>
      <c r="E139">
        <v>2023</v>
      </c>
      <c r="F139" t="s">
        <v>24</v>
      </c>
      <c r="G139" t="s">
        <v>23</v>
      </c>
      <c r="H139" t="s">
        <v>17</v>
      </c>
      <c r="I139" t="s">
        <v>25</v>
      </c>
      <c r="J139">
        <v>7070.91</v>
      </c>
      <c r="K139">
        <v>6090.23</v>
      </c>
      <c r="L139" s="20">
        <f>tbl_Budget[[#This Row],[Actual]]-tbl_Budget[[#This Row],[Budget]]</f>
        <v>-980.68000000000029</v>
      </c>
      <c r="M139" s="3">
        <f>tbl_Budget[[#This Row],[Variance]]/tbl_Budget[[#This Row],[Budget]]</f>
        <v>-0.13869219096269084</v>
      </c>
      <c r="N139" t="str">
        <f>IF(tbl_Budget[[#This Row],[Variance_%]]&gt;0.05,"Overspend",IF(tbl_Budget[[#This Row],[Variance_%]]&lt;-0.05,"Underspend","On Budget"))</f>
        <v>Underspend</v>
      </c>
    </row>
    <row r="140" spans="1:14" hidden="1">
      <c r="A140" s="1">
        <v>44958</v>
      </c>
      <c r="B140">
        <v>2</v>
      </c>
      <c r="C140" t="s">
        <v>32</v>
      </c>
      <c r="D140" t="s">
        <v>33</v>
      </c>
      <c r="E140">
        <v>2023</v>
      </c>
      <c r="F140" t="s">
        <v>24</v>
      </c>
      <c r="G140" t="s">
        <v>23</v>
      </c>
      <c r="H140" t="s">
        <v>18</v>
      </c>
      <c r="I140" t="s">
        <v>25</v>
      </c>
      <c r="J140">
        <v>6948.72</v>
      </c>
      <c r="K140">
        <v>5947.32</v>
      </c>
      <c r="L140" s="20">
        <f>tbl_Budget[[#This Row],[Actual]]-tbl_Budget[[#This Row],[Budget]]</f>
        <v>-1001.4000000000005</v>
      </c>
      <c r="M140" s="3">
        <f>tbl_Budget[[#This Row],[Variance]]/tbl_Budget[[#This Row],[Budget]]</f>
        <v>-0.14411287258660596</v>
      </c>
      <c r="N140" t="str">
        <f>IF(tbl_Budget[[#This Row],[Variance_%]]&gt;0.05,"Overspend",IF(tbl_Budget[[#This Row],[Variance_%]]&lt;-0.05,"Underspend","On Budget"))</f>
        <v>Underspend</v>
      </c>
    </row>
    <row r="141" spans="1:14" hidden="1">
      <c r="A141" s="1">
        <v>44958</v>
      </c>
      <c r="B141">
        <v>2</v>
      </c>
      <c r="C141" t="s">
        <v>32</v>
      </c>
      <c r="D141" t="s">
        <v>33</v>
      </c>
      <c r="E141">
        <v>2023</v>
      </c>
      <c r="F141" t="s">
        <v>24</v>
      </c>
      <c r="G141" t="s">
        <v>23</v>
      </c>
      <c r="H141" t="s">
        <v>19</v>
      </c>
      <c r="I141" t="s">
        <v>25</v>
      </c>
      <c r="J141">
        <v>7778.42</v>
      </c>
      <c r="K141">
        <v>6743.68</v>
      </c>
      <c r="L141" s="20">
        <f>tbl_Budget[[#This Row],[Actual]]-tbl_Budget[[#This Row],[Budget]]</f>
        <v>-1034.7399999999998</v>
      </c>
      <c r="M141" s="3">
        <f>tbl_Budget[[#This Row],[Variance]]/tbl_Budget[[#This Row],[Budget]]</f>
        <v>-0.13302701576926931</v>
      </c>
      <c r="N141" t="str">
        <f>IF(tbl_Budget[[#This Row],[Variance_%]]&gt;0.05,"Overspend",IF(tbl_Budget[[#This Row],[Variance_%]]&lt;-0.05,"Underspend","On Budget"))</f>
        <v>Underspend</v>
      </c>
    </row>
    <row r="142" spans="1:14" hidden="1">
      <c r="A142" s="1">
        <v>44958</v>
      </c>
      <c r="B142">
        <v>2</v>
      </c>
      <c r="C142" t="s">
        <v>32</v>
      </c>
      <c r="D142" t="s">
        <v>33</v>
      </c>
      <c r="E142">
        <v>2023</v>
      </c>
      <c r="F142" t="s">
        <v>26</v>
      </c>
      <c r="G142" t="s">
        <v>14</v>
      </c>
      <c r="H142" t="s">
        <v>15</v>
      </c>
      <c r="I142" t="s">
        <v>27</v>
      </c>
      <c r="J142">
        <v>45442.98</v>
      </c>
      <c r="K142">
        <v>43741.31</v>
      </c>
      <c r="L142" s="20">
        <f>tbl_Budget[[#This Row],[Actual]]-tbl_Budget[[#This Row],[Budget]]</f>
        <v>-1701.6700000000055</v>
      </c>
      <c r="M142" s="3">
        <f>tbl_Budget[[#This Row],[Variance]]/tbl_Budget[[#This Row],[Budget]]</f>
        <v>-3.7446267828386372E-2</v>
      </c>
      <c r="N142" t="str">
        <f>IF(tbl_Budget[[#This Row],[Variance_%]]&gt;0.05,"Overspend",IF(tbl_Budget[[#This Row],[Variance_%]]&lt;-0.05,"Underspend","On Budget"))</f>
        <v>On Budget</v>
      </c>
    </row>
    <row r="143" spans="1:14" hidden="1">
      <c r="A143" s="1">
        <v>44958</v>
      </c>
      <c r="B143">
        <v>2</v>
      </c>
      <c r="C143" t="s">
        <v>32</v>
      </c>
      <c r="D143" t="s">
        <v>33</v>
      </c>
      <c r="E143">
        <v>2023</v>
      </c>
      <c r="F143" t="s">
        <v>26</v>
      </c>
      <c r="G143" t="s">
        <v>14</v>
      </c>
      <c r="H143" t="s">
        <v>17</v>
      </c>
      <c r="I143" t="s">
        <v>27</v>
      </c>
      <c r="J143">
        <v>41683.08</v>
      </c>
      <c r="K143">
        <v>42200.93</v>
      </c>
      <c r="L143" s="20">
        <f>tbl_Budget[[#This Row],[Actual]]-tbl_Budget[[#This Row],[Budget]]</f>
        <v>517.84999999999854</v>
      </c>
      <c r="M143" s="3">
        <f>tbl_Budget[[#This Row],[Variance]]/tbl_Budget[[#This Row],[Budget]]</f>
        <v>1.2423506132464264E-2</v>
      </c>
      <c r="N143" t="str">
        <f>IF(tbl_Budget[[#This Row],[Variance_%]]&gt;0.05,"Overspend",IF(tbl_Budget[[#This Row],[Variance_%]]&lt;-0.05,"Underspend","On Budget"))</f>
        <v>On Budget</v>
      </c>
    </row>
    <row r="144" spans="1:14" hidden="1">
      <c r="A144" s="1">
        <v>44958</v>
      </c>
      <c r="B144">
        <v>2</v>
      </c>
      <c r="C144" t="s">
        <v>32</v>
      </c>
      <c r="D144" t="s">
        <v>33</v>
      </c>
      <c r="E144">
        <v>2023</v>
      </c>
      <c r="F144" t="s">
        <v>26</v>
      </c>
      <c r="G144" t="s">
        <v>14</v>
      </c>
      <c r="H144" t="s">
        <v>18</v>
      </c>
      <c r="I144" t="s">
        <v>27</v>
      </c>
      <c r="J144">
        <v>43023.9</v>
      </c>
      <c r="K144">
        <v>43536.9</v>
      </c>
      <c r="L144" s="20">
        <f>tbl_Budget[[#This Row],[Actual]]-tbl_Budget[[#This Row],[Budget]]</f>
        <v>513</v>
      </c>
      <c r="M144" s="3">
        <f>tbl_Budget[[#This Row],[Variance]]/tbl_Budget[[#This Row],[Budget]]</f>
        <v>1.1923605251964606E-2</v>
      </c>
      <c r="N144" t="str">
        <f>IF(tbl_Budget[[#This Row],[Variance_%]]&gt;0.05,"Overspend",IF(tbl_Budget[[#This Row],[Variance_%]]&lt;-0.05,"Underspend","On Budget"))</f>
        <v>On Budget</v>
      </c>
    </row>
    <row r="145" spans="1:14" hidden="1">
      <c r="A145" s="1">
        <v>44958</v>
      </c>
      <c r="B145">
        <v>2</v>
      </c>
      <c r="C145" t="s">
        <v>32</v>
      </c>
      <c r="D145" t="s">
        <v>33</v>
      </c>
      <c r="E145">
        <v>2023</v>
      </c>
      <c r="F145" t="s">
        <v>26</v>
      </c>
      <c r="G145" t="s">
        <v>14</v>
      </c>
      <c r="H145" t="s">
        <v>19</v>
      </c>
      <c r="I145" t="s">
        <v>27</v>
      </c>
      <c r="J145">
        <v>47613.79</v>
      </c>
      <c r="K145">
        <v>49101.7</v>
      </c>
      <c r="L145" s="20">
        <f>tbl_Budget[[#This Row],[Actual]]-tbl_Budget[[#This Row],[Budget]]</f>
        <v>1487.9099999999962</v>
      </c>
      <c r="M145" s="3">
        <f>tbl_Budget[[#This Row],[Variance]]/tbl_Budget[[#This Row],[Budget]]</f>
        <v>3.1249560263948664E-2</v>
      </c>
      <c r="N145" t="str">
        <f>IF(tbl_Budget[[#This Row],[Variance_%]]&gt;0.05,"Overspend",IF(tbl_Budget[[#This Row],[Variance_%]]&lt;-0.05,"Underspend","On Budget"))</f>
        <v>On Budget</v>
      </c>
    </row>
    <row r="146" spans="1:14" hidden="1">
      <c r="A146" s="1">
        <v>44958</v>
      </c>
      <c r="B146">
        <v>2</v>
      </c>
      <c r="C146" t="s">
        <v>32</v>
      </c>
      <c r="D146" t="s">
        <v>33</v>
      </c>
      <c r="E146">
        <v>2023</v>
      </c>
      <c r="F146" t="s">
        <v>26</v>
      </c>
      <c r="G146" t="s">
        <v>20</v>
      </c>
      <c r="H146" t="s">
        <v>15</v>
      </c>
      <c r="I146" t="s">
        <v>27</v>
      </c>
      <c r="J146">
        <v>15495.25</v>
      </c>
      <c r="K146">
        <v>15664.08</v>
      </c>
      <c r="L146" s="20">
        <f>tbl_Budget[[#This Row],[Actual]]-tbl_Budget[[#This Row],[Budget]]</f>
        <v>168.82999999999993</v>
      </c>
      <c r="M146" s="3">
        <f>tbl_Budget[[#This Row],[Variance]]/tbl_Budget[[#This Row],[Budget]]</f>
        <v>1.0895597037801902E-2</v>
      </c>
      <c r="N146" t="str">
        <f>IF(tbl_Budget[[#This Row],[Variance_%]]&gt;0.05,"Overspend",IF(tbl_Budget[[#This Row],[Variance_%]]&lt;-0.05,"Underspend","On Budget"))</f>
        <v>On Budget</v>
      </c>
    </row>
    <row r="147" spans="1:14" hidden="1">
      <c r="A147" s="1">
        <v>44958</v>
      </c>
      <c r="B147">
        <v>2</v>
      </c>
      <c r="C147" t="s">
        <v>32</v>
      </c>
      <c r="D147" t="s">
        <v>33</v>
      </c>
      <c r="E147">
        <v>2023</v>
      </c>
      <c r="F147" t="s">
        <v>26</v>
      </c>
      <c r="G147" t="s">
        <v>20</v>
      </c>
      <c r="H147" t="s">
        <v>17</v>
      </c>
      <c r="I147" t="s">
        <v>27</v>
      </c>
      <c r="J147">
        <v>14309.16</v>
      </c>
      <c r="K147">
        <v>13988.41</v>
      </c>
      <c r="L147" s="20">
        <f>tbl_Budget[[#This Row],[Actual]]-tbl_Budget[[#This Row],[Budget]]</f>
        <v>-320.75</v>
      </c>
      <c r="M147" s="3">
        <f>tbl_Budget[[#This Row],[Variance]]/tbl_Budget[[#This Row],[Budget]]</f>
        <v>-2.2415711334557723E-2</v>
      </c>
      <c r="N147" t="str">
        <f>IF(tbl_Budget[[#This Row],[Variance_%]]&gt;0.05,"Overspend",IF(tbl_Budget[[#This Row],[Variance_%]]&lt;-0.05,"Underspend","On Budget"))</f>
        <v>On Budget</v>
      </c>
    </row>
    <row r="148" spans="1:14" hidden="1">
      <c r="A148" s="1">
        <v>44958</v>
      </c>
      <c r="B148">
        <v>2</v>
      </c>
      <c r="C148" t="s">
        <v>32</v>
      </c>
      <c r="D148" t="s">
        <v>33</v>
      </c>
      <c r="E148">
        <v>2023</v>
      </c>
      <c r="F148" t="s">
        <v>26</v>
      </c>
      <c r="G148" t="s">
        <v>20</v>
      </c>
      <c r="H148" t="s">
        <v>18</v>
      </c>
      <c r="I148" t="s">
        <v>27</v>
      </c>
      <c r="J148">
        <v>15085.92</v>
      </c>
      <c r="K148">
        <v>15310.37</v>
      </c>
      <c r="L148" s="20">
        <f>tbl_Budget[[#This Row],[Actual]]-tbl_Budget[[#This Row],[Budget]]</f>
        <v>224.45000000000073</v>
      </c>
      <c r="M148" s="3">
        <f>tbl_Budget[[#This Row],[Variance]]/tbl_Budget[[#This Row],[Budget]]</f>
        <v>1.4878111510600662E-2</v>
      </c>
      <c r="N148" t="str">
        <f>IF(tbl_Budget[[#This Row],[Variance_%]]&gt;0.05,"Overspend",IF(tbl_Budget[[#This Row],[Variance_%]]&lt;-0.05,"Underspend","On Budget"))</f>
        <v>On Budget</v>
      </c>
    </row>
    <row r="149" spans="1:14" hidden="1">
      <c r="A149" s="1">
        <v>44958</v>
      </c>
      <c r="B149">
        <v>2</v>
      </c>
      <c r="C149" t="s">
        <v>32</v>
      </c>
      <c r="D149" t="s">
        <v>33</v>
      </c>
      <c r="E149">
        <v>2023</v>
      </c>
      <c r="F149" t="s">
        <v>26</v>
      </c>
      <c r="G149" t="s">
        <v>20</v>
      </c>
      <c r="H149" t="s">
        <v>19</v>
      </c>
      <c r="I149" t="s">
        <v>27</v>
      </c>
      <c r="J149">
        <v>15578.81</v>
      </c>
      <c r="K149">
        <v>15701.13</v>
      </c>
      <c r="L149" s="20">
        <f>tbl_Budget[[#This Row],[Actual]]-tbl_Budget[[#This Row],[Budget]]</f>
        <v>122.31999999999971</v>
      </c>
      <c r="M149" s="3">
        <f>tbl_Budget[[#This Row],[Variance]]/tbl_Budget[[#This Row],[Budget]]</f>
        <v>7.8516908544362315E-3</v>
      </c>
      <c r="N149" t="str">
        <f>IF(tbl_Budget[[#This Row],[Variance_%]]&gt;0.05,"Overspend",IF(tbl_Budget[[#This Row],[Variance_%]]&lt;-0.05,"Underspend","On Budget"))</f>
        <v>On Budget</v>
      </c>
    </row>
    <row r="150" spans="1:14">
      <c r="A150" s="1">
        <v>44958</v>
      </c>
      <c r="B150">
        <v>2</v>
      </c>
      <c r="C150" t="s">
        <v>32</v>
      </c>
      <c r="D150" t="s">
        <v>33</v>
      </c>
      <c r="E150">
        <v>2023</v>
      </c>
      <c r="F150" t="s">
        <v>26</v>
      </c>
      <c r="G150" t="s">
        <v>21</v>
      </c>
      <c r="H150" t="s">
        <v>15</v>
      </c>
      <c r="I150" t="s">
        <v>27</v>
      </c>
      <c r="J150">
        <v>8495.2099999999991</v>
      </c>
      <c r="K150">
        <v>8684.82</v>
      </c>
      <c r="L150" s="20">
        <f>tbl_Budget[[#This Row],[Actual]]-tbl_Budget[[#This Row],[Budget]]</f>
        <v>189.61000000000058</v>
      </c>
      <c r="M150" s="3">
        <f>tbl_Budget[[#This Row],[Variance]]/tbl_Budget[[#This Row],[Budget]]</f>
        <v>2.2319636595210784E-2</v>
      </c>
      <c r="N150" t="str">
        <f>IF(tbl_Budget[[#This Row],[Variance_%]]&gt;0.05,"Overspend",IF(tbl_Budget[[#This Row],[Variance_%]]&lt;-0.05,"Underspend","On Budget"))</f>
        <v>On Budget</v>
      </c>
    </row>
    <row r="151" spans="1:14">
      <c r="A151" s="1">
        <v>44958</v>
      </c>
      <c r="B151">
        <v>2</v>
      </c>
      <c r="C151" t="s">
        <v>32</v>
      </c>
      <c r="D151" t="s">
        <v>33</v>
      </c>
      <c r="E151">
        <v>2023</v>
      </c>
      <c r="F151" t="s">
        <v>26</v>
      </c>
      <c r="G151" t="s">
        <v>21</v>
      </c>
      <c r="H151" t="s">
        <v>17</v>
      </c>
      <c r="I151" t="s">
        <v>27</v>
      </c>
      <c r="J151">
        <v>8250.39</v>
      </c>
      <c r="K151">
        <v>8048.54</v>
      </c>
      <c r="L151" s="20">
        <f>tbl_Budget[[#This Row],[Actual]]-tbl_Budget[[#This Row],[Budget]]</f>
        <v>-201.84999999999945</v>
      </c>
      <c r="M151" s="3">
        <f>tbl_Budget[[#This Row],[Variance]]/tbl_Budget[[#This Row],[Budget]]</f>
        <v>-2.4465510115279334E-2</v>
      </c>
      <c r="N151" t="str">
        <f>IF(tbl_Budget[[#This Row],[Variance_%]]&gt;0.05,"Overspend",IF(tbl_Budget[[#This Row],[Variance_%]]&lt;-0.05,"Underspend","On Budget"))</f>
        <v>On Budget</v>
      </c>
    </row>
    <row r="152" spans="1:14">
      <c r="A152" s="1">
        <v>44958</v>
      </c>
      <c r="B152">
        <v>2</v>
      </c>
      <c r="C152" t="s">
        <v>32</v>
      </c>
      <c r="D152" t="s">
        <v>33</v>
      </c>
      <c r="E152">
        <v>2023</v>
      </c>
      <c r="F152" t="s">
        <v>26</v>
      </c>
      <c r="G152" t="s">
        <v>21</v>
      </c>
      <c r="H152" t="s">
        <v>18</v>
      </c>
      <c r="I152" t="s">
        <v>27</v>
      </c>
      <c r="J152">
        <v>8133.17</v>
      </c>
      <c r="K152">
        <v>8355.51</v>
      </c>
      <c r="L152" s="20">
        <f>tbl_Budget[[#This Row],[Actual]]-tbl_Budget[[#This Row],[Budget]]</f>
        <v>222.34000000000015</v>
      </c>
      <c r="M152" s="3">
        <f>tbl_Budget[[#This Row],[Variance]]/tbl_Budget[[#This Row],[Budget]]</f>
        <v>2.7337434235359663E-2</v>
      </c>
      <c r="N152" t="str">
        <f>IF(tbl_Budget[[#This Row],[Variance_%]]&gt;0.05,"Overspend",IF(tbl_Budget[[#This Row],[Variance_%]]&lt;-0.05,"Underspend","On Budget"))</f>
        <v>On Budget</v>
      </c>
    </row>
    <row r="153" spans="1:14">
      <c r="A153" s="1">
        <v>44958</v>
      </c>
      <c r="B153">
        <v>2</v>
      </c>
      <c r="C153" t="s">
        <v>32</v>
      </c>
      <c r="D153" t="s">
        <v>33</v>
      </c>
      <c r="E153">
        <v>2023</v>
      </c>
      <c r="F153" t="s">
        <v>26</v>
      </c>
      <c r="G153" t="s">
        <v>21</v>
      </c>
      <c r="H153" t="s">
        <v>19</v>
      </c>
      <c r="I153" t="s">
        <v>27</v>
      </c>
      <c r="J153">
        <v>8772.7000000000007</v>
      </c>
      <c r="K153">
        <v>8503.6299999999992</v>
      </c>
      <c r="L153" s="20">
        <f>tbl_Budget[[#This Row],[Actual]]-tbl_Budget[[#This Row],[Budget]]</f>
        <v>-269.07000000000153</v>
      </c>
      <c r="M153" s="3">
        <f>tbl_Budget[[#This Row],[Variance]]/tbl_Budget[[#This Row],[Budget]]</f>
        <v>-3.0671287060996217E-2</v>
      </c>
      <c r="N153" t="str">
        <f>IF(tbl_Budget[[#This Row],[Variance_%]]&gt;0.05,"Overspend",IF(tbl_Budget[[#This Row],[Variance_%]]&lt;-0.05,"Underspend","On Budget"))</f>
        <v>On Budget</v>
      </c>
    </row>
    <row r="154" spans="1:14" hidden="1">
      <c r="A154" s="1">
        <v>44958</v>
      </c>
      <c r="B154">
        <v>2</v>
      </c>
      <c r="C154" t="s">
        <v>32</v>
      </c>
      <c r="D154" t="s">
        <v>33</v>
      </c>
      <c r="E154">
        <v>2023</v>
      </c>
      <c r="F154" t="s">
        <v>26</v>
      </c>
      <c r="G154" t="s">
        <v>22</v>
      </c>
      <c r="H154" t="s">
        <v>15</v>
      </c>
      <c r="I154" t="s">
        <v>27</v>
      </c>
      <c r="J154">
        <v>6892.49</v>
      </c>
      <c r="K154">
        <v>6914.42</v>
      </c>
      <c r="L154" s="20">
        <f>tbl_Budget[[#This Row],[Actual]]-tbl_Budget[[#This Row],[Budget]]</f>
        <v>21.930000000000291</v>
      </c>
      <c r="M154" s="3">
        <f>tbl_Budget[[#This Row],[Variance]]/tbl_Budget[[#This Row],[Budget]]</f>
        <v>3.1817238762769755E-3</v>
      </c>
      <c r="N154" t="str">
        <f>IF(tbl_Budget[[#This Row],[Variance_%]]&gt;0.05,"Overspend",IF(tbl_Budget[[#This Row],[Variance_%]]&lt;-0.05,"Underspend","On Budget"))</f>
        <v>On Budget</v>
      </c>
    </row>
    <row r="155" spans="1:14" hidden="1">
      <c r="A155" s="1">
        <v>44958</v>
      </c>
      <c r="B155">
        <v>2</v>
      </c>
      <c r="C155" t="s">
        <v>32</v>
      </c>
      <c r="D155" t="s">
        <v>33</v>
      </c>
      <c r="E155">
        <v>2023</v>
      </c>
      <c r="F155" t="s">
        <v>26</v>
      </c>
      <c r="G155" t="s">
        <v>22</v>
      </c>
      <c r="H155" t="s">
        <v>17</v>
      </c>
      <c r="I155" t="s">
        <v>27</v>
      </c>
      <c r="J155">
        <v>6426.48</v>
      </c>
      <c r="K155">
        <v>6408.59</v>
      </c>
      <c r="L155" s="20">
        <f>tbl_Budget[[#This Row],[Actual]]-tbl_Budget[[#This Row],[Budget]]</f>
        <v>-17.889999999999418</v>
      </c>
      <c r="M155" s="3">
        <f>tbl_Budget[[#This Row],[Variance]]/tbl_Budget[[#This Row],[Budget]]</f>
        <v>-2.783794550049081E-3</v>
      </c>
      <c r="N155" t="str">
        <f>IF(tbl_Budget[[#This Row],[Variance_%]]&gt;0.05,"Overspend",IF(tbl_Budget[[#This Row],[Variance_%]]&lt;-0.05,"Underspend","On Budget"))</f>
        <v>On Budget</v>
      </c>
    </row>
    <row r="156" spans="1:14" hidden="1">
      <c r="A156" s="1">
        <v>44958</v>
      </c>
      <c r="B156">
        <v>2</v>
      </c>
      <c r="C156" t="s">
        <v>32</v>
      </c>
      <c r="D156" t="s">
        <v>33</v>
      </c>
      <c r="E156">
        <v>2023</v>
      </c>
      <c r="F156" t="s">
        <v>26</v>
      </c>
      <c r="G156" t="s">
        <v>22</v>
      </c>
      <c r="H156" t="s">
        <v>18</v>
      </c>
      <c r="I156" t="s">
        <v>27</v>
      </c>
      <c r="J156">
        <v>6678.47</v>
      </c>
      <c r="K156">
        <v>6609.16</v>
      </c>
      <c r="L156" s="20">
        <f>tbl_Budget[[#This Row],[Actual]]-tbl_Budget[[#This Row],[Budget]]</f>
        <v>-69.3100000000004</v>
      </c>
      <c r="M156" s="3">
        <f>tbl_Budget[[#This Row],[Variance]]/tbl_Budget[[#This Row],[Budget]]</f>
        <v>-1.0378125528751406E-2</v>
      </c>
      <c r="N156" t="str">
        <f>IF(tbl_Budget[[#This Row],[Variance_%]]&gt;0.05,"Overspend",IF(tbl_Budget[[#This Row],[Variance_%]]&lt;-0.05,"Underspend","On Budget"))</f>
        <v>On Budget</v>
      </c>
    </row>
    <row r="157" spans="1:14" hidden="1">
      <c r="A157" s="1">
        <v>44958</v>
      </c>
      <c r="B157">
        <v>2</v>
      </c>
      <c r="C157" t="s">
        <v>32</v>
      </c>
      <c r="D157" t="s">
        <v>33</v>
      </c>
      <c r="E157">
        <v>2023</v>
      </c>
      <c r="F157" t="s">
        <v>26</v>
      </c>
      <c r="G157" t="s">
        <v>22</v>
      </c>
      <c r="H157" t="s">
        <v>19</v>
      </c>
      <c r="I157" t="s">
        <v>27</v>
      </c>
      <c r="J157">
        <v>7043.13</v>
      </c>
      <c r="K157">
        <v>7168.81</v>
      </c>
      <c r="L157" s="20">
        <f>tbl_Budget[[#This Row],[Actual]]-tbl_Budget[[#This Row],[Budget]]</f>
        <v>125.68000000000029</v>
      </c>
      <c r="M157" s="3">
        <f>tbl_Budget[[#This Row],[Variance]]/tbl_Budget[[#This Row],[Budget]]</f>
        <v>1.7844339093556458E-2</v>
      </c>
      <c r="N157" t="str">
        <f>IF(tbl_Budget[[#This Row],[Variance_%]]&gt;0.05,"Overspend",IF(tbl_Budget[[#This Row],[Variance_%]]&lt;-0.05,"Underspend","On Budget"))</f>
        <v>On Budget</v>
      </c>
    </row>
    <row r="158" spans="1:14" hidden="1">
      <c r="A158" s="1">
        <v>44958</v>
      </c>
      <c r="B158">
        <v>2</v>
      </c>
      <c r="C158" t="s">
        <v>32</v>
      </c>
      <c r="D158" t="s">
        <v>33</v>
      </c>
      <c r="E158">
        <v>2023</v>
      </c>
      <c r="F158" t="s">
        <v>26</v>
      </c>
      <c r="G158" t="s">
        <v>23</v>
      </c>
      <c r="H158" t="s">
        <v>15</v>
      </c>
      <c r="I158" t="s">
        <v>27</v>
      </c>
      <c r="J158">
        <v>5621.33</v>
      </c>
      <c r="K158">
        <v>5613.35</v>
      </c>
      <c r="L158" s="20">
        <f>tbl_Budget[[#This Row],[Actual]]-tbl_Budget[[#This Row],[Budget]]</f>
        <v>-7.9799999999995634</v>
      </c>
      <c r="M158" s="3">
        <f>tbl_Budget[[#This Row],[Variance]]/tbl_Budget[[#This Row],[Budget]]</f>
        <v>-1.4195928721493958E-3</v>
      </c>
      <c r="N158" t="str">
        <f>IF(tbl_Budget[[#This Row],[Variance_%]]&gt;0.05,"Overspend",IF(tbl_Budget[[#This Row],[Variance_%]]&lt;-0.05,"Underspend","On Budget"))</f>
        <v>On Budget</v>
      </c>
    </row>
    <row r="159" spans="1:14" hidden="1">
      <c r="A159" s="1">
        <v>44958</v>
      </c>
      <c r="B159">
        <v>2</v>
      </c>
      <c r="C159" t="s">
        <v>32</v>
      </c>
      <c r="D159" t="s">
        <v>33</v>
      </c>
      <c r="E159">
        <v>2023</v>
      </c>
      <c r="F159" t="s">
        <v>26</v>
      </c>
      <c r="G159" t="s">
        <v>23</v>
      </c>
      <c r="H159" t="s">
        <v>17</v>
      </c>
      <c r="I159" t="s">
        <v>27</v>
      </c>
      <c r="J159">
        <v>5455.23</v>
      </c>
      <c r="K159">
        <v>5291.58</v>
      </c>
      <c r="L159" s="20">
        <f>tbl_Budget[[#This Row],[Actual]]-tbl_Budget[[#This Row],[Budget]]</f>
        <v>-163.64999999999964</v>
      </c>
      <c r="M159" s="3">
        <f>tbl_Budget[[#This Row],[Variance]]/tbl_Budget[[#This Row],[Budget]]</f>
        <v>-2.9998735158737515E-2</v>
      </c>
      <c r="N159" t="str">
        <f>IF(tbl_Budget[[#This Row],[Variance_%]]&gt;0.05,"Overspend",IF(tbl_Budget[[#This Row],[Variance_%]]&lt;-0.05,"Underspend","On Budget"))</f>
        <v>On Budget</v>
      </c>
    </row>
    <row r="160" spans="1:14" hidden="1">
      <c r="A160" s="1">
        <v>44958</v>
      </c>
      <c r="B160">
        <v>2</v>
      </c>
      <c r="C160" t="s">
        <v>32</v>
      </c>
      <c r="D160" t="s">
        <v>33</v>
      </c>
      <c r="E160">
        <v>2023</v>
      </c>
      <c r="F160" t="s">
        <v>26</v>
      </c>
      <c r="G160" t="s">
        <v>23</v>
      </c>
      <c r="H160" t="s">
        <v>18</v>
      </c>
      <c r="I160" t="s">
        <v>27</v>
      </c>
      <c r="J160">
        <v>5500.96</v>
      </c>
      <c r="K160">
        <v>5428.66</v>
      </c>
      <c r="L160" s="20">
        <f>tbl_Budget[[#This Row],[Actual]]-tbl_Budget[[#This Row],[Budget]]</f>
        <v>-72.300000000000182</v>
      </c>
      <c r="M160" s="3">
        <f>tbl_Budget[[#This Row],[Variance]]/tbl_Budget[[#This Row],[Budget]]</f>
        <v>-1.3143160466536782E-2</v>
      </c>
      <c r="N160" t="str">
        <f>IF(tbl_Budget[[#This Row],[Variance_%]]&gt;0.05,"Overspend",IF(tbl_Budget[[#This Row],[Variance_%]]&lt;-0.05,"Underspend","On Budget"))</f>
        <v>On Budget</v>
      </c>
    </row>
    <row r="161" spans="1:14" hidden="1">
      <c r="A161" s="1">
        <v>44958</v>
      </c>
      <c r="B161">
        <v>2</v>
      </c>
      <c r="C161" t="s">
        <v>32</v>
      </c>
      <c r="D161" t="s">
        <v>33</v>
      </c>
      <c r="E161">
        <v>2023</v>
      </c>
      <c r="F161" t="s">
        <v>26</v>
      </c>
      <c r="G161" t="s">
        <v>23</v>
      </c>
      <c r="H161" t="s">
        <v>19</v>
      </c>
      <c r="I161" t="s">
        <v>27</v>
      </c>
      <c r="J161">
        <v>6005.19</v>
      </c>
      <c r="K161">
        <v>6043.02</v>
      </c>
      <c r="L161" s="20">
        <f>tbl_Budget[[#This Row],[Actual]]-tbl_Budget[[#This Row],[Budget]]</f>
        <v>37.830000000000837</v>
      </c>
      <c r="M161" s="3">
        <f>tbl_Budget[[#This Row],[Variance]]/tbl_Budget[[#This Row],[Budget]]</f>
        <v>6.2995508884816035E-3</v>
      </c>
      <c r="N161" t="str">
        <f>IF(tbl_Budget[[#This Row],[Variance_%]]&gt;0.05,"Overspend",IF(tbl_Budget[[#This Row],[Variance_%]]&lt;-0.05,"Underspend","On Budget"))</f>
        <v>On Budget</v>
      </c>
    </row>
    <row r="162" spans="1:14" hidden="1">
      <c r="A162" s="1">
        <v>44958</v>
      </c>
      <c r="B162">
        <v>2</v>
      </c>
      <c r="C162" t="s">
        <v>32</v>
      </c>
      <c r="D162" t="s">
        <v>33</v>
      </c>
      <c r="E162">
        <v>2023</v>
      </c>
      <c r="F162" t="s">
        <v>28</v>
      </c>
      <c r="G162" t="s">
        <v>14</v>
      </c>
      <c r="H162" t="s">
        <v>15</v>
      </c>
      <c r="I162" t="s">
        <v>29</v>
      </c>
      <c r="J162">
        <v>54316.84</v>
      </c>
      <c r="K162">
        <v>50584.35</v>
      </c>
      <c r="L162" s="20">
        <f>tbl_Budget[[#This Row],[Actual]]-tbl_Budget[[#This Row],[Budget]]</f>
        <v>-3732.489999999998</v>
      </c>
      <c r="M162" s="3">
        <f>tbl_Budget[[#This Row],[Variance]]/tbl_Budget[[#This Row],[Budget]]</f>
        <v>-6.8716994582159019E-2</v>
      </c>
      <c r="N162" t="str">
        <f>IF(tbl_Budget[[#This Row],[Variance_%]]&gt;0.05,"Overspend",IF(tbl_Budget[[#This Row],[Variance_%]]&lt;-0.05,"Underspend","On Budget"))</f>
        <v>Underspend</v>
      </c>
    </row>
    <row r="163" spans="1:14" hidden="1">
      <c r="A163" s="1">
        <v>44958</v>
      </c>
      <c r="B163">
        <v>2</v>
      </c>
      <c r="C163" t="s">
        <v>32</v>
      </c>
      <c r="D163" t="s">
        <v>33</v>
      </c>
      <c r="E163">
        <v>2023</v>
      </c>
      <c r="F163" t="s">
        <v>28</v>
      </c>
      <c r="G163" t="s">
        <v>14</v>
      </c>
      <c r="H163" t="s">
        <v>17</v>
      </c>
      <c r="I163" t="s">
        <v>29</v>
      </c>
      <c r="J163">
        <v>51394.06</v>
      </c>
      <c r="K163">
        <v>44718.83</v>
      </c>
      <c r="L163" s="20">
        <f>tbl_Budget[[#This Row],[Actual]]-tbl_Budget[[#This Row],[Budget]]</f>
        <v>-6675.2299999999959</v>
      </c>
      <c r="M163" s="3">
        <f>tbl_Budget[[#This Row],[Variance]]/tbl_Budget[[#This Row],[Budget]]</f>
        <v>-0.12988329779744967</v>
      </c>
      <c r="N163" t="str">
        <f>IF(tbl_Budget[[#This Row],[Variance_%]]&gt;0.05,"Overspend",IF(tbl_Budget[[#This Row],[Variance_%]]&lt;-0.05,"Underspend","On Budget"))</f>
        <v>Underspend</v>
      </c>
    </row>
    <row r="164" spans="1:14" hidden="1">
      <c r="A164" s="1">
        <v>44958</v>
      </c>
      <c r="B164">
        <v>2</v>
      </c>
      <c r="C164" t="s">
        <v>32</v>
      </c>
      <c r="D164" t="s">
        <v>33</v>
      </c>
      <c r="E164">
        <v>2023</v>
      </c>
      <c r="F164" t="s">
        <v>28</v>
      </c>
      <c r="G164" t="s">
        <v>14</v>
      </c>
      <c r="H164" t="s">
        <v>18</v>
      </c>
      <c r="I164" t="s">
        <v>29</v>
      </c>
      <c r="J164">
        <v>52942.7</v>
      </c>
      <c r="K164">
        <v>49424.160000000003</v>
      </c>
      <c r="L164" s="20">
        <f>tbl_Budget[[#This Row],[Actual]]-tbl_Budget[[#This Row],[Budget]]</f>
        <v>-3518.5399999999936</v>
      </c>
      <c r="M164" s="3">
        <f>tbl_Budget[[#This Row],[Variance]]/tbl_Budget[[#This Row],[Budget]]</f>
        <v>-6.6459398557308064E-2</v>
      </c>
      <c r="N164" t="str">
        <f>IF(tbl_Budget[[#This Row],[Variance_%]]&gt;0.05,"Overspend",IF(tbl_Budget[[#This Row],[Variance_%]]&lt;-0.05,"Underspend","On Budget"))</f>
        <v>Underspend</v>
      </c>
    </row>
    <row r="165" spans="1:14" hidden="1">
      <c r="A165" s="1">
        <v>44958</v>
      </c>
      <c r="B165">
        <v>2</v>
      </c>
      <c r="C165" t="s">
        <v>32</v>
      </c>
      <c r="D165" t="s">
        <v>33</v>
      </c>
      <c r="E165">
        <v>2023</v>
      </c>
      <c r="F165" t="s">
        <v>28</v>
      </c>
      <c r="G165" t="s">
        <v>14</v>
      </c>
      <c r="H165" t="s">
        <v>19</v>
      </c>
      <c r="I165" t="s">
        <v>29</v>
      </c>
      <c r="J165">
        <v>56960.65</v>
      </c>
      <c r="K165">
        <v>61964.65</v>
      </c>
      <c r="L165" s="20">
        <f>tbl_Budget[[#This Row],[Actual]]-tbl_Budget[[#This Row],[Budget]]</f>
        <v>5004</v>
      </c>
      <c r="M165" s="3">
        <f>tbl_Budget[[#This Row],[Variance]]/tbl_Budget[[#This Row],[Budget]]</f>
        <v>8.7850121092368144E-2</v>
      </c>
      <c r="N165" t="str">
        <f>IF(tbl_Budget[[#This Row],[Variance_%]]&gt;0.05,"Overspend",IF(tbl_Budget[[#This Row],[Variance_%]]&lt;-0.05,"Underspend","On Budget"))</f>
        <v>Overspend</v>
      </c>
    </row>
    <row r="166" spans="1:14" hidden="1">
      <c r="A166" s="1">
        <v>44958</v>
      </c>
      <c r="B166">
        <v>2</v>
      </c>
      <c r="C166" t="s">
        <v>32</v>
      </c>
      <c r="D166" t="s">
        <v>33</v>
      </c>
      <c r="E166">
        <v>2023</v>
      </c>
      <c r="F166" t="s">
        <v>28</v>
      </c>
      <c r="G166" t="s">
        <v>20</v>
      </c>
      <c r="H166" t="s">
        <v>15</v>
      </c>
      <c r="I166" t="s">
        <v>29</v>
      </c>
      <c r="J166">
        <v>20996.29</v>
      </c>
      <c r="K166">
        <v>20297.41</v>
      </c>
      <c r="L166" s="20">
        <f>tbl_Budget[[#This Row],[Actual]]-tbl_Budget[[#This Row],[Budget]]</f>
        <v>-698.88000000000102</v>
      </c>
      <c r="M166" s="3">
        <f>tbl_Budget[[#This Row],[Variance]]/tbl_Budget[[#This Row],[Budget]]</f>
        <v>-3.3285880505556031E-2</v>
      </c>
      <c r="N166" t="str">
        <f>IF(tbl_Budget[[#This Row],[Variance_%]]&gt;0.05,"Overspend",IF(tbl_Budget[[#This Row],[Variance_%]]&lt;-0.05,"Underspend","On Budget"))</f>
        <v>On Budget</v>
      </c>
    </row>
    <row r="167" spans="1:14" hidden="1">
      <c r="A167" s="1">
        <v>44958</v>
      </c>
      <c r="B167">
        <v>2</v>
      </c>
      <c r="C167" t="s">
        <v>32</v>
      </c>
      <c r="D167" t="s">
        <v>33</v>
      </c>
      <c r="E167">
        <v>2023</v>
      </c>
      <c r="F167" t="s">
        <v>28</v>
      </c>
      <c r="G167" t="s">
        <v>20</v>
      </c>
      <c r="H167" t="s">
        <v>17</v>
      </c>
      <c r="I167" t="s">
        <v>29</v>
      </c>
      <c r="J167">
        <v>19854.37</v>
      </c>
      <c r="K167">
        <v>19865.669999999998</v>
      </c>
      <c r="L167" s="20">
        <f>tbl_Budget[[#This Row],[Actual]]-tbl_Budget[[#This Row],[Budget]]</f>
        <v>11.299999999999272</v>
      </c>
      <c r="M167" s="3">
        <f>tbl_Budget[[#This Row],[Variance]]/tbl_Budget[[#This Row],[Budget]]</f>
        <v>5.6914422366457725E-4</v>
      </c>
      <c r="N167" t="str">
        <f>IF(tbl_Budget[[#This Row],[Variance_%]]&gt;0.05,"Overspend",IF(tbl_Budget[[#This Row],[Variance_%]]&lt;-0.05,"Underspend","On Budget"))</f>
        <v>On Budget</v>
      </c>
    </row>
    <row r="168" spans="1:14" hidden="1">
      <c r="A168" s="1">
        <v>44958</v>
      </c>
      <c r="B168">
        <v>2</v>
      </c>
      <c r="C168" t="s">
        <v>32</v>
      </c>
      <c r="D168" t="s">
        <v>33</v>
      </c>
      <c r="E168">
        <v>2023</v>
      </c>
      <c r="F168" t="s">
        <v>28</v>
      </c>
      <c r="G168" t="s">
        <v>20</v>
      </c>
      <c r="H168" t="s">
        <v>18</v>
      </c>
      <c r="I168" t="s">
        <v>29</v>
      </c>
      <c r="J168">
        <v>20031.12</v>
      </c>
      <c r="K168">
        <v>20610.509999999998</v>
      </c>
      <c r="L168" s="20">
        <f>tbl_Budget[[#This Row],[Actual]]-tbl_Budget[[#This Row],[Budget]]</f>
        <v>579.38999999999942</v>
      </c>
      <c r="M168" s="3">
        <f>tbl_Budget[[#This Row],[Variance]]/tbl_Budget[[#This Row],[Budget]]</f>
        <v>2.892449348813244E-2</v>
      </c>
      <c r="N168" t="str">
        <f>IF(tbl_Budget[[#This Row],[Variance_%]]&gt;0.05,"Overspend",IF(tbl_Budget[[#This Row],[Variance_%]]&lt;-0.05,"Underspend","On Budget"))</f>
        <v>On Budget</v>
      </c>
    </row>
    <row r="169" spans="1:14" hidden="1">
      <c r="A169" s="1">
        <v>44958</v>
      </c>
      <c r="B169">
        <v>2</v>
      </c>
      <c r="C169" t="s">
        <v>32</v>
      </c>
      <c r="D169" t="s">
        <v>33</v>
      </c>
      <c r="E169">
        <v>2023</v>
      </c>
      <c r="F169" t="s">
        <v>28</v>
      </c>
      <c r="G169" t="s">
        <v>20</v>
      </c>
      <c r="H169" t="s">
        <v>19</v>
      </c>
      <c r="I169" t="s">
        <v>29</v>
      </c>
      <c r="J169">
        <v>22115.1</v>
      </c>
      <c r="K169">
        <v>25539.01</v>
      </c>
      <c r="L169" s="20">
        <f>tbl_Budget[[#This Row],[Actual]]-tbl_Budget[[#This Row],[Budget]]</f>
        <v>3423.91</v>
      </c>
      <c r="M169" s="3">
        <f>tbl_Budget[[#This Row],[Variance]]/tbl_Budget[[#This Row],[Budget]]</f>
        <v>0.15482227075618016</v>
      </c>
      <c r="N169" t="str">
        <f>IF(tbl_Budget[[#This Row],[Variance_%]]&gt;0.05,"Overspend",IF(tbl_Budget[[#This Row],[Variance_%]]&lt;-0.05,"Underspend","On Budget"))</f>
        <v>Overspend</v>
      </c>
    </row>
    <row r="170" spans="1:14">
      <c r="A170" s="1">
        <v>44958</v>
      </c>
      <c r="B170">
        <v>2</v>
      </c>
      <c r="C170" t="s">
        <v>32</v>
      </c>
      <c r="D170" t="s">
        <v>33</v>
      </c>
      <c r="E170">
        <v>2023</v>
      </c>
      <c r="F170" t="s">
        <v>28</v>
      </c>
      <c r="G170" t="s">
        <v>21</v>
      </c>
      <c r="H170" t="s">
        <v>15</v>
      </c>
      <c r="I170" t="s">
        <v>29</v>
      </c>
      <c r="J170">
        <v>11717.61</v>
      </c>
      <c r="K170">
        <v>13027.84</v>
      </c>
      <c r="L170" s="20">
        <f>tbl_Budget[[#This Row],[Actual]]-tbl_Budget[[#This Row],[Budget]]</f>
        <v>1310.2299999999996</v>
      </c>
      <c r="M170" s="3">
        <f>tbl_Budget[[#This Row],[Variance]]/tbl_Budget[[#This Row],[Budget]]</f>
        <v>0.1118171709077192</v>
      </c>
      <c r="N170" t="str">
        <f>IF(tbl_Budget[[#This Row],[Variance_%]]&gt;0.05,"Overspend",IF(tbl_Budget[[#This Row],[Variance_%]]&lt;-0.05,"Underspend","On Budget"))</f>
        <v>Overspend</v>
      </c>
    </row>
    <row r="171" spans="1:14">
      <c r="A171" s="1">
        <v>44958</v>
      </c>
      <c r="B171">
        <v>2</v>
      </c>
      <c r="C171" t="s">
        <v>32</v>
      </c>
      <c r="D171" t="s">
        <v>33</v>
      </c>
      <c r="E171">
        <v>2023</v>
      </c>
      <c r="F171" t="s">
        <v>28</v>
      </c>
      <c r="G171" t="s">
        <v>21</v>
      </c>
      <c r="H171" t="s">
        <v>17</v>
      </c>
      <c r="I171" t="s">
        <v>29</v>
      </c>
      <c r="J171">
        <v>11360.66</v>
      </c>
      <c r="K171">
        <v>11477.71</v>
      </c>
      <c r="L171" s="20">
        <f>tbl_Budget[[#This Row],[Actual]]-tbl_Budget[[#This Row],[Budget]]</f>
        <v>117.04999999999927</v>
      </c>
      <c r="M171" s="3">
        <f>tbl_Budget[[#This Row],[Variance]]/tbl_Budget[[#This Row],[Budget]]</f>
        <v>1.0303098587581995E-2</v>
      </c>
      <c r="N171" t="str">
        <f>IF(tbl_Budget[[#This Row],[Variance_%]]&gt;0.05,"Overspend",IF(tbl_Budget[[#This Row],[Variance_%]]&lt;-0.05,"Underspend","On Budget"))</f>
        <v>On Budget</v>
      </c>
    </row>
    <row r="172" spans="1:14">
      <c r="A172" s="1">
        <v>44958</v>
      </c>
      <c r="B172">
        <v>2</v>
      </c>
      <c r="C172" t="s">
        <v>32</v>
      </c>
      <c r="D172" t="s">
        <v>33</v>
      </c>
      <c r="E172">
        <v>2023</v>
      </c>
      <c r="F172" t="s">
        <v>28</v>
      </c>
      <c r="G172" t="s">
        <v>21</v>
      </c>
      <c r="H172" t="s">
        <v>18</v>
      </c>
      <c r="I172" t="s">
        <v>29</v>
      </c>
      <c r="J172">
        <v>11070.75</v>
      </c>
      <c r="K172">
        <v>12392.58</v>
      </c>
      <c r="L172" s="20">
        <f>tbl_Budget[[#This Row],[Actual]]-tbl_Budget[[#This Row],[Budget]]</f>
        <v>1321.83</v>
      </c>
      <c r="M172" s="3">
        <f>tbl_Budget[[#This Row],[Variance]]/tbl_Budget[[#This Row],[Budget]]</f>
        <v>0.11939841474154866</v>
      </c>
      <c r="N172" t="str">
        <f>IF(tbl_Budget[[#This Row],[Variance_%]]&gt;0.05,"Overspend",IF(tbl_Budget[[#This Row],[Variance_%]]&lt;-0.05,"Underspend","On Budget"))</f>
        <v>Overspend</v>
      </c>
    </row>
    <row r="173" spans="1:14">
      <c r="A173" s="1">
        <v>44958</v>
      </c>
      <c r="B173">
        <v>2</v>
      </c>
      <c r="C173" t="s">
        <v>32</v>
      </c>
      <c r="D173" t="s">
        <v>33</v>
      </c>
      <c r="E173">
        <v>2023</v>
      </c>
      <c r="F173" t="s">
        <v>28</v>
      </c>
      <c r="G173" t="s">
        <v>21</v>
      </c>
      <c r="H173" t="s">
        <v>19</v>
      </c>
      <c r="I173" t="s">
        <v>29</v>
      </c>
      <c r="J173">
        <v>11997.84</v>
      </c>
      <c r="K173">
        <v>11525.1</v>
      </c>
      <c r="L173" s="20">
        <f>tbl_Budget[[#This Row],[Actual]]-tbl_Budget[[#This Row],[Budget]]</f>
        <v>-472.73999999999978</v>
      </c>
      <c r="M173" s="3">
        <f>tbl_Budget[[#This Row],[Variance]]/tbl_Budget[[#This Row],[Budget]]</f>
        <v>-3.9402092376627777E-2</v>
      </c>
      <c r="N173" t="str">
        <f>IF(tbl_Budget[[#This Row],[Variance_%]]&gt;0.05,"Overspend",IF(tbl_Budget[[#This Row],[Variance_%]]&lt;-0.05,"Underspend","On Budget"))</f>
        <v>On Budget</v>
      </c>
    </row>
    <row r="174" spans="1:14" hidden="1">
      <c r="A174" s="1">
        <v>44958</v>
      </c>
      <c r="B174">
        <v>2</v>
      </c>
      <c r="C174" t="s">
        <v>32</v>
      </c>
      <c r="D174" t="s">
        <v>33</v>
      </c>
      <c r="E174">
        <v>2023</v>
      </c>
      <c r="F174" t="s">
        <v>28</v>
      </c>
      <c r="G174" t="s">
        <v>22</v>
      </c>
      <c r="H174" t="s">
        <v>15</v>
      </c>
      <c r="I174" t="s">
        <v>29</v>
      </c>
      <c r="J174">
        <v>12151.32</v>
      </c>
      <c r="K174">
        <v>13208.57</v>
      </c>
      <c r="L174" s="20">
        <f>tbl_Budget[[#This Row],[Actual]]-tbl_Budget[[#This Row],[Budget]]</f>
        <v>1057.25</v>
      </c>
      <c r="M174" s="3">
        <f>tbl_Budget[[#This Row],[Variance]]/tbl_Budget[[#This Row],[Budget]]</f>
        <v>8.7007008292103241E-2</v>
      </c>
      <c r="N174" t="str">
        <f>IF(tbl_Budget[[#This Row],[Variance_%]]&gt;0.05,"Overspend",IF(tbl_Budget[[#This Row],[Variance_%]]&lt;-0.05,"Underspend","On Budget"))</f>
        <v>Overspend</v>
      </c>
    </row>
    <row r="175" spans="1:14" hidden="1">
      <c r="A175" s="1">
        <v>44958</v>
      </c>
      <c r="B175">
        <v>2</v>
      </c>
      <c r="C175" t="s">
        <v>32</v>
      </c>
      <c r="D175" t="s">
        <v>33</v>
      </c>
      <c r="E175">
        <v>2023</v>
      </c>
      <c r="F175" t="s">
        <v>28</v>
      </c>
      <c r="G175" t="s">
        <v>22</v>
      </c>
      <c r="H175" t="s">
        <v>17</v>
      </c>
      <c r="I175" t="s">
        <v>29</v>
      </c>
      <c r="J175">
        <v>11921.53</v>
      </c>
      <c r="K175">
        <v>13485.61</v>
      </c>
      <c r="L175" s="20">
        <f>tbl_Budget[[#This Row],[Actual]]-tbl_Budget[[#This Row],[Budget]]</f>
        <v>1564.08</v>
      </c>
      <c r="M175" s="3">
        <f>tbl_Budget[[#This Row],[Variance]]/tbl_Budget[[#This Row],[Budget]]</f>
        <v>0.1311979250985402</v>
      </c>
      <c r="N175" t="str">
        <f>IF(tbl_Budget[[#This Row],[Variance_%]]&gt;0.05,"Overspend",IF(tbl_Budget[[#This Row],[Variance_%]]&lt;-0.05,"Underspend","On Budget"))</f>
        <v>Overspend</v>
      </c>
    </row>
    <row r="176" spans="1:14" hidden="1">
      <c r="A176" s="1">
        <v>44958</v>
      </c>
      <c r="B176">
        <v>2</v>
      </c>
      <c r="C176" t="s">
        <v>32</v>
      </c>
      <c r="D176" t="s">
        <v>33</v>
      </c>
      <c r="E176">
        <v>2023</v>
      </c>
      <c r="F176" t="s">
        <v>28</v>
      </c>
      <c r="G176" t="s">
        <v>22</v>
      </c>
      <c r="H176" t="s">
        <v>18</v>
      </c>
      <c r="I176" t="s">
        <v>29</v>
      </c>
      <c r="J176">
        <v>11682.67</v>
      </c>
      <c r="K176">
        <v>12199.8</v>
      </c>
      <c r="L176" s="20">
        <f>tbl_Budget[[#This Row],[Actual]]-tbl_Budget[[#This Row],[Budget]]</f>
        <v>517.1299999999992</v>
      </c>
      <c r="M176" s="3">
        <f>tbl_Budget[[#This Row],[Variance]]/tbl_Budget[[#This Row],[Budget]]</f>
        <v>4.4264710036318683E-2</v>
      </c>
      <c r="N176" t="str">
        <f>IF(tbl_Budget[[#This Row],[Variance_%]]&gt;0.05,"Overspend",IF(tbl_Budget[[#This Row],[Variance_%]]&lt;-0.05,"Underspend","On Budget"))</f>
        <v>On Budget</v>
      </c>
    </row>
    <row r="177" spans="1:14" hidden="1">
      <c r="A177" s="1">
        <v>44958</v>
      </c>
      <c r="B177">
        <v>2</v>
      </c>
      <c r="C177" t="s">
        <v>32</v>
      </c>
      <c r="D177" t="s">
        <v>33</v>
      </c>
      <c r="E177">
        <v>2023</v>
      </c>
      <c r="F177" t="s">
        <v>28</v>
      </c>
      <c r="G177" t="s">
        <v>22</v>
      </c>
      <c r="H177" t="s">
        <v>19</v>
      </c>
      <c r="I177" t="s">
        <v>29</v>
      </c>
      <c r="J177">
        <v>12662.3</v>
      </c>
      <c r="K177">
        <v>14919.46</v>
      </c>
      <c r="L177" s="20">
        <f>tbl_Budget[[#This Row],[Actual]]-tbl_Budget[[#This Row],[Budget]]</f>
        <v>2257.16</v>
      </c>
      <c r="M177" s="3">
        <f>tbl_Budget[[#This Row],[Variance]]/tbl_Budget[[#This Row],[Budget]]</f>
        <v>0.17825829430672152</v>
      </c>
      <c r="N177" t="str">
        <f>IF(tbl_Budget[[#This Row],[Variance_%]]&gt;0.05,"Overspend",IF(tbl_Budget[[#This Row],[Variance_%]]&lt;-0.05,"Underspend","On Budget"))</f>
        <v>Overspend</v>
      </c>
    </row>
    <row r="178" spans="1:14" hidden="1">
      <c r="A178" s="1">
        <v>44958</v>
      </c>
      <c r="B178">
        <v>2</v>
      </c>
      <c r="C178" t="s">
        <v>32</v>
      </c>
      <c r="D178" t="s">
        <v>33</v>
      </c>
      <c r="E178">
        <v>2023</v>
      </c>
      <c r="F178" t="s">
        <v>28</v>
      </c>
      <c r="G178" t="s">
        <v>23</v>
      </c>
      <c r="H178" t="s">
        <v>15</v>
      </c>
      <c r="I178" t="s">
        <v>29</v>
      </c>
      <c r="J178">
        <v>7929.63</v>
      </c>
      <c r="K178">
        <v>7637.1</v>
      </c>
      <c r="L178" s="20">
        <f>tbl_Budget[[#This Row],[Actual]]-tbl_Budget[[#This Row],[Budget]]</f>
        <v>-292.52999999999975</v>
      </c>
      <c r="M178" s="3">
        <f>tbl_Budget[[#This Row],[Variance]]/tbl_Budget[[#This Row],[Budget]]</f>
        <v>-3.6890750261992018E-2</v>
      </c>
      <c r="N178" t="str">
        <f>IF(tbl_Budget[[#This Row],[Variance_%]]&gt;0.05,"Overspend",IF(tbl_Budget[[#This Row],[Variance_%]]&lt;-0.05,"Underspend","On Budget"))</f>
        <v>On Budget</v>
      </c>
    </row>
    <row r="179" spans="1:14" hidden="1">
      <c r="A179" s="1">
        <v>44958</v>
      </c>
      <c r="B179">
        <v>2</v>
      </c>
      <c r="C179" t="s">
        <v>32</v>
      </c>
      <c r="D179" t="s">
        <v>33</v>
      </c>
      <c r="E179">
        <v>2023</v>
      </c>
      <c r="F179" t="s">
        <v>28</v>
      </c>
      <c r="G179" t="s">
        <v>23</v>
      </c>
      <c r="H179" t="s">
        <v>17</v>
      </c>
      <c r="I179" t="s">
        <v>29</v>
      </c>
      <c r="J179">
        <v>7514.99</v>
      </c>
      <c r="K179">
        <v>7416.41</v>
      </c>
      <c r="L179" s="20">
        <f>tbl_Budget[[#This Row],[Actual]]-tbl_Budget[[#This Row],[Budget]]</f>
        <v>-98.579999999999927</v>
      </c>
      <c r="M179" s="3">
        <f>tbl_Budget[[#This Row],[Variance]]/tbl_Budget[[#This Row],[Budget]]</f>
        <v>-1.3117781926522847E-2</v>
      </c>
      <c r="N179" t="str">
        <f>IF(tbl_Budget[[#This Row],[Variance_%]]&gt;0.05,"Overspend",IF(tbl_Budget[[#This Row],[Variance_%]]&lt;-0.05,"Underspend","On Budget"))</f>
        <v>On Budget</v>
      </c>
    </row>
    <row r="180" spans="1:14" hidden="1">
      <c r="A180" s="1">
        <v>44958</v>
      </c>
      <c r="B180">
        <v>2</v>
      </c>
      <c r="C180" t="s">
        <v>32</v>
      </c>
      <c r="D180" t="s">
        <v>33</v>
      </c>
      <c r="E180">
        <v>2023</v>
      </c>
      <c r="F180" t="s">
        <v>28</v>
      </c>
      <c r="G180" t="s">
        <v>23</v>
      </c>
      <c r="H180" t="s">
        <v>18</v>
      </c>
      <c r="I180" t="s">
        <v>29</v>
      </c>
      <c r="J180">
        <v>7352.63</v>
      </c>
      <c r="K180">
        <v>6818.56</v>
      </c>
      <c r="L180" s="20">
        <f>tbl_Budget[[#This Row],[Actual]]-tbl_Budget[[#This Row],[Budget]]</f>
        <v>-534.06999999999971</v>
      </c>
      <c r="M180" s="3">
        <f>tbl_Budget[[#This Row],[Variance]]/tbl_Budget[[#This Row],[Budget]]</f>
        <v>-7.2636593980657221E-2</v>
      </c>
      <c r="N180" t="str">
        <f>IF(tbl_Budget[[#This Row],[Variance_%]]&gt;0.05,"Overspend",IF(tbl_Budget[[#This Row],[Variance_%]]&lt;-0.05,"Underspend","On Budget"))</f>
        <v>Underspend</v>
      </c>
    </row>
    <row r="181" spans="1:14" hidden="1">
      <c r="A181" s="1">
        <v>44958</v>
      </c>
      <c r="B181">
        <v>2</v>
      </c>
      <c r="C181" t="s">
        <v>32</v>
      </c>
      <c r="D181" t="s">
        <v>33</v>
      </c>
      <c r="E181">
        <v>2023</v>
      </c>
      <c r="F181" t="s">
        <v>28</v>
      </c>
      <c r="G181" t="s">
        <v>23</v>
      </c>
      <c r="H181" t="s">
        <v>19</v>
      </c>
      <c r="I181" t="s">
        <v>29</v>
      </c>
      <c r="J181">
        <v>7941.73</v>
      </c>
      <c r="K181">
        <v>7300.29</v>
      </c>
      <c r="L181" s="20">
        <f>tbl_Budget[[#This Row],[Actual]]-tbl_Budget[[#This Row],[Budget]]</f>
        <v>-641.4399999999996</v>
      </c>
      <c r="M181" s="3">
        <f>tbl_Budget[[#This Row],[Variance]]/tbl_Budget[[#This Row],[Budget]]</f>
        <v>-8.0768296076547508E-2</v>
      </c>
      <c r="N181" t="str">
        <f>IF(tbl_Budget[[#This Row],[Variance_%]]&gt;0.05,"Overspend",IF(tbl_Budget[[#This Row],[Variance_%]]&lt;-0.05,"Underspend","On Budget"))</f>
        <v>Underspend</v>
      </c>
    </row>
    <row r="182" spans="1:14" hidden="1">
      <c r="A182" s="1">
        <v>44958</v>
      </c>
      <c r="B182">
        <v>2</v>
      </c>
      <c r="C182" t="s">
        <v>32</v>
      </c>
      <c r="D182" t="s">
        <v>33</v>
      </c>
      <c r="E182">
        <v>2023</v>
      </c>
      <c r="F182" t="s">
        <v>30</v>
      </c>
      <c r="G182" t="s">
        <v>14</v>
      </c>
      <c r="H182" t="s">
        <v>15</v>
      </c>
      <c r="I182" t="s">
        <v>31</v>
      </c>
      <c r="J182">
        <v>44974.89</v>
      </c>
      <c r="K182">
        <v>45533.31</v>
      </c>
      <c r="L182" s="20">
        <f>tbl_Budget[[#This Row],[Actual]]-tbl_Budget[[#This Row],[Budget]]</f>
        <v>558.41999999999825</v>
      </c>
      <c r="M182" s="3">
        <f>tbl_Budget[[#This Row],[Variance]]/tbl_Budget[[#This Row],[Budget]]</f>
        <v>1.2416261607310174E-2</v>
      </c>
      <c r="N182" t="str">
        <f>IF(tbl_Budget[[#This Row],[Variance_%]]&gt;0.05,"Overspend",IF(tbl_Budget[[#This Row],[Variance_%]]&lt;-0.05,"Underspend","On Budget"))</f>
        <v>On Budget</v>
      </c>
    </row>
    <row r="183" spans="1:14" hidden="1">
      <c r="A183" s="1">
        <v>44958</v>
      </c>
      <c r="B183">
        <v>2</v>
      </c>
      <c r="C183" t="s">
        <v>32</v>
      </c>
      <c r="D183" t="s">
        <v>33</v>
      </c>
      <c r="E183">
        <v>2023</v>
      </c>
      <c r="F183" t="s">
        <v>30</v>
      </c>
      <c r="G183" t="s">
        <v>14</v>
      </c>
      <c r="H183" t="s">
        <v>17</v>
      </c>
      <c r="I183" t="s">
        <v>31</v>
      </c>
      <c r="J183">
        <v>42794.61</v>
      </c>
      <c r="K183">
        <v>41218.129999999997</v>
      </c>
      <c r="L183" s="20">
        <f>tbl_Budget[[#This Row],[Actual]]-tbl_Budget[[#This Row],[Budget]]</f>
        <v>-1576.4800000000032</v>
      </c>
      <c r="M183" s="3">
        <f>tbl_Budget[[#This Row],[Variance]]/tbl_Budget[[#This Row],[Budget]]</f>
        <v>-3.6838284073625237E-2</v>
      </c>
      <c r="N183" t="str">
        <f>IF(tbl_Budget[[#This Row],[Variance_%]]&gt;0.05,"Overspend",IF(tbl_Budget[[#This Row],[Variance_%]]&lt;-0.05,"Underspend","On Budget"))</f>
        <v>On Budget</v>
      </c>
    </row>
    <row r="184" spans="1:14" hidden="1">
      <c r="A184" s="1">
        <v>44958</v>
      </c>
      <c r="B184">
        <v>2</v>
      </c>
      <c r="C184" t="s">
        <v>32</v>
      </c>
      <c r="D184" t="s">
        <v>33</v>
      </c>
      <c r="E184">
        <v>2023</v>
      </c>
      <c r="F184" t="s">
        <v>30</v>
      </c>
      <c r="G184" t="s">
        <v>14</v>
      </c>
      <c r="H184" t="s">
        <v>18</v>
      </c>
      <c r="I184" t="s">
        <v>31</v>
      </c>
      <c r="J184">
        <v>42146.58</v>
      </c>
      <c r="K184">
        <v>40582.82</v>
      </c>
      <c r="L184" s="20">
        <f>tbl_Budget[[#This Row],[Actual]]-tbl_Budget[[#This Row],[Budget]]</f>
        <v>-1563.760000000002</v>
      </c>
      <c r="M184" s="3">
        <f>tbl_Budget[[#This Row],[Variance]]/tbl_Budget[[#This Row],[Budget]]</f>
        <v>-3.7102891859790328E-2</v>
      </c>
      <c r="N184" t="str">
        <f>IF(tbl_Budget[[#This Row],[Variance_%]]&gt;0.05,"Overspend",IF(tbl_Budget[[#This Row],[Variance_%]]&lt;-0.05,"Underspend","On Budget"))</f>
        <v>On Budget</v>
      </c>
    </row>
    <row r="185" spans="1:14" hidden="1">
      <c r="A185" s="1">
        <v>44958</v>
      </c>
      <c r="B185">
        <v>2</v>
      </c>
      <c r="C185" t="s">
        <v>32</v>
      </c>
      <c r="D185" t="s">
        <v>33</v>
      </c>
      <c r="E185">
        <v>2023</v>
      </c>
      <c r="F185" t="s">
        <v>30</v>
      </c>
      <c r="G185" t="s">
        <v>14</v>
      </c>
      <c r="H185" t="s">
        <v>19</v>
      </c>
      <c r="I185" t="s">
        <v>31</v>
      </c>
      <c r="J185">
        <v>45209.06</v>
      </c>
      <c r="K185">
        <v>44755.5</v>
      </c>
      <c r="L185" s="20">
        <f>tbl_Budget[[#This Row],[Actual]]-tbl_Budget[[#This Row],[Budget]]</f>
        <v>-453.55999999999767</v>
      </c>
      <c r="M185" s="3">
        <f>tbl_Budget[[#This Row],[Variance]]/tbl_Budget[[#This Row],[Budget]]</f>
        <v>-1.0032502334708966E-2</v>
      </c>
      <c r="N185" t="str">
        <f>IF(tbl_Budget[[#This Row],[Variance_%]]&gt;0.05,"Overspend",IF(tbl_Budget[[#This Row],[Variance_%]]&lt;-0.05,"Underspend","On Budget"))</f>
        <v>On Budget</v>
      </c>
    </row>
    <row r="186" spans="1:14" hidden="1">
      <c r="A186" s="1">
        <v>44958</v>
      </c>
      <c r="B186">
        <v>2</v>
      </c>
      <c r="C186" t="s">
        <v>32</v>
      </c>
      <c r="D186" t="s">
        <v>33</v>
      </c>
      <c r="E186">
        <v>2023</v>
      </c>
      <c r="F186" t="s">
        <v>30</v>
      </c>
      <c r="G186" t="s">
        <v>20</v>
      </c>
      <c r="H186" t="s">
        <v>15</v>
      </c>
      <c r="I186" t="s">
        <v>31</v>
      </c>
      <c r="J186">
        <v>16326.15</v>
      </c>
      <c r="K186">
        <v>16836.060000000001</v>
      </c>
      <c r="L186" s="20">
        <f>tbl_Budget[[#This Row],[Actual]]-tbl_Budget[[#This Row],[Budget]]</f>
        <v>509.91000000000167</v>
      </c>
      <c r="M186" s="3">
        <f>tbl_Budget[[#This Row],[Variance]]/tbl_Budget[[#This Row],[Budget]]</f>
        <v>3.1232715612682822E-2</v>
      </c>
      <c r="N186" t="str">
        <f>IF(tbl_Budget[[#This Row],[Variance_%]]&gt;0.05,"Overspend",IF(tbl_Budget[[#This Row],[Variance_%]]&lt;-0.05,"Underspend","On Budget"))</f>
        <v>On Budget</v>
      </c>
    </row>
    <row r="187" spans="1:14" hidden="1">
      <c r="A187" s="1">
        <v>44958</v>
      </c>
      <c r="B187">
        <v>2</v>
      </c>
      <c r="C187" t="s">
        <v>32</v>
      </c>
      <c r="D187" t="s">
        <v>33</v>
      </c>
      <c r="E187">
        <v>2023</v>
      </c>
      <c r="F187" t="s">
        <v>30</v>
      </c>
      <c r="G187" t="s">
        <v>20</v>
      </c>
      <c r="H187" t="s">
        <v>17</v>
      </c>
      <c r="I187" t="s">
        <v>31</v>
      </c>
      <c r="J187">
        <v>15582.95</v>
      </c>
      <c r="K187">
        <v>15255.93</v>
      </c>
      <c r="L187" s="20">
        <f>tbl_Budget[[#This Row],[Actual]]-tbl_Budget[[#This Row],[Budget]]</f>
        <v>-327.02000000000044</v>
      </c>
      <c r="M187" s="3">
        <f>tbl_Budget[[#This Row],[Variance]]/tbl_Budget[[#This Row],[Budget]]</f>
        <v>-2.0985756868885572E-2</v>
      </c>
      <c r="N187" t="str">
        <f>IF(tbl_Budget[[#This Row],[Variance_%]]&gt;0.05,"Overspend",IF(tbl_Budget[[#This Row],[Variance_%]]&lt;-0.05,"Underspend","On Budget"))</f>
        <v>On Budget</v>
      </c>
    </row>
    <row r="188" spans="1:14" hidden="1">
      <c r="A188" s="1">
        <v>44958</v>
      </c>
      <c r="B188">
        <v>2</v>
      </c>
      <c r="C188" t="s">
        <v>32</v>
      </c>
      <c r="D188" t="s">
        <v>33</v>
      </c>
      <c r="E188">
        <v>2023</v>
      </c>
      <c r="F188" t="s">
        <v>30</v>
      </c>
      <c r="G188" t="s">
        <v>20</v>
      </c>
      <c r="H188" t="s">
        <v>18</v>
      </c>
      <c r="I188" t="s">
        <v>31</v>
      </c>
      <c r="J188">
        <v>16243.82</v>
      </c>
      <c r="K188">
        <v>16097.9</v>
      </c>
      <c r="L188" s="20">
        <f>tbl_Budget[[#This Row],[Actual]]-tbl_Budget[[#This Row],[Budget]]</f>
        <v>-145.92000000000007</v>
      </c>
      <c r="M188" s="3">
        <f>tbl_Budget[[#This Row],[Variance]]/tbl_Budget[[#This Row],[Budget]]</f>
        <v>-8.9831086530138896E-3</v>
      </c>
      <c r="N188" t="str">
        <f>IF(tbl_Budget[[#This Row],[Variance_%]]&gt;0.05,"Overspend",IF(tbl_Budget[[#This Row],[Variance_%]]&lt;-0.05,"Underspend","On Budget"))</f>
        <v>On Budget</v>
      </c>
    </row>
    <row r="189" spans="1:14" hidden="1">
      <c r="A189" s="1">
        <v>44958</v>
      </c>
      <c r="B189">
        <v>2</v>
      </c>
      <c r="C189" t="s">
        <v>32</v>
      </c>
      <c r="D189" t="s">
        <v>33</v>
      </c>
      <c r="E189">
        <v>2023</v>
      </c>
      <c r="F189" t="s">
        <v>30</v>
      </c>
      <c r="G189" t="s">
        <v>20</v>
      </c>
      <c r="H189" t="s">
        <v>19</v>
      </c>
      <c r="I189" t="s">
        <v>31</v>
      </c>
      <c r="J189">
        <v>17025.259999999998</v>
      </c>
      <c r="K189">
        <v>17658.689999999999</v>
      </c>
      <c r="L189" s="20">
        <f>tbl_Budget[[#This Row],[Actual]]-tbl_Budget[[#This Row],[Budget]]</f>
        <v>633.43000000000029</v>
      </c>
      <c r="M189" s="3">
        <f>tbl_Budget[[#This Row],[Variance]]/tbl_Budget[[#This Row],[Budget]]</f>
        <v>3.7205305528373742E-2</v>
      </c>
      <c r="N189" t="str">
        <f>IF(tbl_Budget[[#This Row],[Variance_%]]&gt;0.05,"Overspend",IF(tbl_Budget[[#This Row],[Variance_%]]&lt;-0.05,"Underspend","On Budget"))</f>
        <v>On Budget</v>
      </c>
    </row>
    <row r="190" spans="1:14">
      <c r="A190" s="1">
        <v>44958</v>
      </c>
      <c r="B190">
        <v>2</v>
      </c>
      <c r="C190" t="s">
        <v>32</v>
      </c>
      <c r="D190" t="s">
        <v>33</v>
      </c>
      <c r="E190">
        <v>2023</v>
      </c>
      <c r="F190" t="s">
        <v>30</v>
      </c>
      <c r="G190" t="s">
        <v>21</v>
      </c>
      <c r="H190" t="s">
        <v>15</v>
      </c>
      <c r="I190" t="s">
        <v>31</v>
      </c>
      <c r="J190">
        <v>7084.86</v>
      </c>
      <c r="K190">
        <v>7243.33</v>
      </c>
      <c r="L190" s="20">
        <f>tbl_Budget[[#This Row],[Actual]]-tbl_Budget[[#This Row],[Budget]]</f>
        <v>158.47000000000025</v>
      </c>
      <c r="M190" s="3">
        <f>tbl_Budget[[#This Row],[Variance]]/tbl_Budget[[#This Row],[Budget]]</f>
        <v>2.2367414458436759E-2</v>
      </c>
      <c r="N190" t="str">
        <f>IF(tbl_Budget[[#This Row],[Variance_%]]&gt;0.05,"Overspend",IF(tbl_Budget[[#This Row],[Variance_%]]&lt;-0.05,"Underspend","On Budget"))</f>
        <v>On Budget</v>
      </c>
    </row>
    <row r="191" spans="1:14">
      <c r="A191" s="1">
        <v>44958</v>
      </c>
      <c r="B191">
        <v>2</v>
      </c>
      <c r="C191" t="s">
        <v>32</v>
      </c>
      <c r="D191" t="s">
        <v>33</v>
      </c>
      <c r="E191">
        <v>2023</v>
      </c>
      <c r="F191" t="s">
        <v>30</v>
      </c>
      <c r="G191" t="s">
        <v>21</v>
      </c>
      <c r="H191" t="s">
        <v>17</v>
      </c>
      <c r="I191" t="s">
        <v>31</v>
      </c>
      <c r="J191">
        <v>6504.01</v>
      </c>
      <c r="K191">
        <v>6422.33</v>
      </c>
      <c r="L191" s="20">
        <f>tbl_Budget[[#This Row],[Actual]]-tbl_Budget[[#This Row],[Budget]]</f>
        <v>-81.680000000000291</v>
      </c>
      <c r="M191" s="3">
        <f>tbl_Budget[[#This Row],[Variance]]/tbl_Budget[[#This Row],[Budget]]</f>
        <v>-1.2558406275513152E-2</v>
      </c>
      <c r="N191" t="str">
        <f>IF(tbl_Budget[[#This Row],[Variance_%]]&gt;0.05,"Overspend",IF(tbl_Budget[[#This Row],[Variance_%]]&lt;-0.05,"Underspend","On Budget"))</f>
        <v>On Budget</v>
      </c>
    </row>
    <row r="192" spans="1:14">
      <c r="A192" s="1">
        <v>44958</v>
      </c>
      <c r="B192">
        <v>2</v>
      </c>
      <c r="C192" t="s">
        <v>32</v>
      </c>
      <c r="D192" t="s">
        <v>33</v>
      </c>
      <c r="E192">
        <v>2023</v>
      </c>
      <c r="F192" t="s">
        <v>30</v>
      </c>
      <c r="G192" t="s">
        <v>21</v>
      </c>
      <c r="H192" t="s">
        <v>18</v>
      </c>
      <c r="I192" t="s">
        <v>31</v>
      </c>
      <c r="J192">
        <v>6751.42</v>
      </c>
      <c r="K192">
        <v>6981.56</v>
      </c>
      <c r="L192" s="20">
        <f>tbl_Budget[[#This Row],[Actual]]-tbl_Budget[[#This Row],[Budget]]</f>
        <v>230.14000000000033</v>
      </c>
      <c r="M192" s="3">
        <f>tbl_Budget[[#This Row],[Variance]]/tbl_Budget[[#This Row],[Budget]]</f>
        <v>3.408764378456685E-2</v>
      </c>
      <c r="N192" t="str">
        <f>IF(tbl_Budget[[#This Row],[Variance_%]]&gt;0.05,"Overspend",IF(tbl_Budget[[#This Row],[Variance_%]]&lt;-0.05,"Underspend","On Budget"))</f>
        <v>On Budget</v>
      </c>
    </row>
    <row r="193" spans="1:14">
      <c r="A193" s="1">
        <v>44958</v>
      </c>
      <c r="B193">
        <v>2</v>
      </c>
      <c r="C193" t="s">
        <v>32</v>
      </c>
      <c r="D193" t="s">
        <v>33</v>
      </c>
      <c r="E193">
        <v>2023</v>
      </c>
      <c r="F193" t="s">
        <v>30</v>
      </c>
      <c r="G193" t="s">
        <v>21</v>
      </c>
      <c r="H193" t="s">
        <v>19</v>
      </c>
      <c r="I193" t="s">
        <v>31</v>
      </c>
      <c r="J193">
        <v>7412.3</v>
      </c>
      <c r="K193">
        <v>7673.96</v>
      </c>
      <c r="L193" s="20">
        <f>tbl_Budget[[#This Row],[Actual]]-tbl_Budget[[#This Row],[Budget]]</f>
        <v>261.65999999999985</v>
      </c>
      <c r="M193" s="3">
        <f>tbl_Budget[[#This Row],[Variance]]/tbl_Budget[[#This Row],[Budget]]</f>
        <v>3.5300783832278762E-2</v>
      </c>
      <c r="N193" t="str">
        <f>IF(tbl_Budget[[#This Row],[Variance_%]]&gt;0.05,"Overspend",IF(tbl_Budget[[#This Row],[Variance_%]]&lt;-0.05,"Underspend","On Budget"))</f>
        <v>On Budget</v>
      </c>
    </row>
    <row r="194" spans="1:14" hidden="1">
      <c r="A194" s="1">
        <v>44958</v>
      </c>
      <c r="B194">
        <v>2</v>
      </c>
      <c r="C194" t="s">
        <v>32</v>
      </c>
      <c r="D194" t="s">
        <v>33</v>
      </c>
      <c r="E194">
        <v>2023</v>
      </c>
      <c r="F194" t="s">
        <v>30</v>
      </c>
      <c r="G194" t="s">
        <v>22</v>
      </c>
      <c r="H194" t="s">
        <v>15</v>
      </c>
      <c r="I194" t="s">
        <v>31</v>
      </c>
      <c r="J194">
        <v>7461.04</v>
      </c>
      <c r="K194">
        <v>7578.77</v>
      </c>
      <c r="L194" s="20">
        <f>tbl_Budget[[#This Row],[Actual]]-tbl_Budget[[#This Row],[Budget]]</f>
        <v>117.73000000000047</v>
      </c>
      <c r="M194" s="3">
        <f>tbl_Budget[[#This Row],[Variance]]/tbl_Budget[[#This Row],[Budget]]</f>
        <v>1.5779301545092973E-2</v>
      </c>
      <c r="N194" t="str">
        <f>IF(tbl_Budget[[#This Row],[Variance_%]]&gt;0.05,"Overspend",IF(tbl_Budget[[#This Row],[Variance_%]]&lt;-0.05,"Underspend","On Budget"))</f>
        <v>On Budget</v>
      </c>
    </row>
    <row r="195" spans="1:14" hidden="1">
      <c r="A195" s="1">
        <v>44958</v>
      </c>
      <c r="B195">
        <v>2</v>
      </c>
      <c r="C195" t="s">
        <v>32</v>
      </c>
      <c r="D195" t="s">
        <v>33</v>
      </c>
      <c r="E195">
        <v>2023</v>
      </c>
      <c r="F195" t="s">
        <v>30</v>
      </c>
      <c r="G195" t="s">
        <v>22</v>
      </c>
      <c r="H195" t="s">
        <v>17</v>
      </c>
      <c r="I195" t="s">
        <v>31</v>
      </c>
      <c r="J195">
        <v>6862.33</v>
      </c>
      <c r="K195">
        <v>6865.83</v>
      </c>
      <c r="L195" s="20">
        <f>tbl_Budget[[#This Row],[Actual]]-tbl_Budget[[#This Row],[Budget]]</f>
        <v>3.5</v>
      </c>
      <c r="M195" s="3">
        <f>tbl_Budget[[#This Row],[Variance]]/tbl_Budget[[#This Row],[Budget]]</f>
        <v>5.1003084958024466E-4</v>
      </c>
      <c r="N195" t="str">
        <f>IF(tbl_Budget[[#This Row],[Variance_%]]&gt;0.05,"Overspend",IF(tbl_Budget[[#This Row],[Variance_%]]&lt;-0.05,"Underspend","On Budget"))</f>
        <v>On Budget</v>
      </c>
    </row>
    <row r="196" spans="1:14" hidden="1">
      <c r="A196" s="1">
        <v>44958</v>
      </c>
      <c r="B196">
        <v>2</v>
      </c>
      <c r="C196" t="s">
        <v>32</v>
      </c>
      <c r="D196" t="s">
        <v>33</v>
      </c>
      <c r="E196">
        <v>2023</v>
      </c>
      <c r="F196" t="s">
        <v>30</v>
      </c>
      <c r="G196" t="s">
        <v>22</v>
      </c>
      <c r="H196" t="s">
        <v>18</v>
      </c>
      <c r="I196" t="s">
        <v>31</v>
      </c>
      <c r="J196">
        <v>6902.43</v>
      </c>
      <c r="K196">
        <v>6889.43</v>
      </c>
      <c r="L196" s="20">
        <f>tbl_Budget[[#This Row],[Actual]]-tbl_Budget[[#This Row],[Budget]]</f>
        <v>-13</v>
      </c>
      <c r="M196" s="3">
        <f>tbl_Budget[[#This Row],[Variance]]/tbl_Budget[[#This Row],[Budget]]</f>
        <v>-1.8833946885372253E-3</v>
      </c>
      <c r="N196" t="str">
        <f>IF(tbl_Budget[[#This Row],[Variance_%]]&gt;0.05,"Overspend",IF(tbl_Budget[[#This Row],[Variance_%]]&lt;-0.05,"Underspend","On Budget"))</f>
        <v>On Budget</v>
      </c>
    </row>
    <row r="197" spans="1:14" hidden="1">
      <c r="A197" s="1">
        <v>44958</v>
      </c>
      <c r="B197">
        <v>2</v>
      </c>
      <c r="C197" t="s">
        <v>32</v>
      </c>
      <c r="D197" t="s">
        <v>33</v>
      </c>
      <c r="E197">
        <v>2023</v>
      </c>
      <c r="F197" t="s">
        <v>30</v>
      </c>
      <c r="G197" t="s">
        <v>22</v>
      </c>
      <c r="H197" t="s">
        <v>19</v>
      </c>
      <c r="I197" t="s">
        <v>31</v>
      </c>
      <c r="J197">
        <v>7624.28</v>
      </c>
      <c r="K197">
        <v>7354.62</v>
      </c>
      <c r="L197" s="20">
        <f>tbl_Budget[[#This Row],[Actual]]-tbl_Budget[[#This Row],[Budget]]</f>
        <v>-269.65999999999985</v>
      </c>
      <c r="M197" s="3">
        <f>tbl_Budget[[#This Row],[Variance]]/tbl_Budget[[#This Row],[Budget]]</f>
        <v>-3.5368585623822821E-2</v>
      </c>
      <c r="N197" t="str">
        <f>IF(tbl_Budget[[#This Row],[Variance_%]]&gt;0.05,"Overspend",IF(tbl_Budget[[#This Row],[Variance_%]]&lt;-0.05,"Underspend","On Budget"))</f>
        <v>On Budget</v>
      </c>
    </row>
    <row r="198" spans="1:14" hidden="1">
      <c r="A198" s="1">
        <v>44958</v>
      </c>
      <c r="B198">
        <v>2</v>
      </c>
      <c r="C198" t="s">
        <v>32</v>
      </c>
      <c r="D198" t="s">
        <v>33</v>
      </c>
      <c r="E198">
        <v>2023</v>
      </c>
      <c r="F198" t="s">
        <v>30</v>
      </c>
      <c r="G198" t="s">
        <v>23</v>
      </c>
      <c r="H198" t="s">
        <v>15</v>
      </c>
      <c r="I198" t="s">
        <v>31</v>
      </c>
      <c r="J198">
        <v>6126.3</v>
      </c>
      <c r="K198">
        <v>5885.08</v>
      </c>
      <c r="L198" s="20">
        <f>tbl_Budget[[#This Row],[Actual]]-tbl_Budget[[#This Row],[Budget]]</f>
        <v>-241.22000000000025</v>
      </c>
      <c r="M198" s="3">
        <f>tbl_Budget[[#This Row],[Variance]]/tbl_Budget[[#This Row],[Budget]]</f>
        <v>-3.9374500106099969E-2</v>
      </c>
      <c r="N198" t="str">
        <f>IF(tbl_Budget[[#This Row],[Variance_%]]&gt;0.05,"Overspend",IF(tbl_Budget[[#This Row],[Variance_%]]&lt;-0.05,"Underspend","On Budget"))</f>
        <v>On Budget</v>
      </c>
    </row>
    <row r="199" spans="1:14" hidden="1">
      <c r="A199" s="1">
        <v>44958</v>
      </c>
      <c r="B199">
        <v>2</v>
      </c>
      <c r="C199" t="s">
        <v>32</v>
      </c>
      <c r="D199" t="s">
        <v>33</v>
      </c>
      <c r="E199">
        <v>2023</v>
      </c>
      <c r="F199" t="s">
        <v>30</v>
      </c>
      <c r="G199" t="s">
        <v>23</v>
      </c>
      <c r="H199" t="s">
        <v>17</v>
      </c>
      <c r="I199" t="s">
        <v>31</v>
      </c>
      <c r="J199">
        <v>5920.34</v>
      </c>
      <c r="K199">
        <v>5817.83</v>
      </c>
      <c r="L199" s="20">
        <f>tbl_Budget[[#This Row],[Actual]]-tbl_Budget[[#This Row],[Budget]]</f>
        <v>-102.51000000000022</v>
      </c>
      <c r="M199" s="3">
        <f>tbl_Budget[[#This Row],[Variance]]/tbl_Budget[[#This Row],[Budget]]</f>
        <v>-1.7314883942476312E-2</v>
      </c>
      <c r="N199" t="str">
        <f>IF(tbl_Budget[[#This Row],[Variance_%]]&gt;0.05,"Overspend",IF(tbl_Budget[[#This Row],[Variance_%]]&lt;-0.05,"Underspend","On Budget"))</f>
        <v>On Budget</v>
      </c>
    </row>
    <row r="200" spans="1:14" hidden="1">
      <c r="A200" s="1">
        <v>44958</v>
      </c>
      <c r="B200">
        <v>2</v>
      </c>
      <c r="C200" t="s">
        <v>32</v>
      </c>
      <c r="D200" t="s">
        <v>33</v>
      </c>
      <c r="E200">
        <v>2023</v>
      </c>
      <c r="F200" t="s">
        <v>30</v>
      </c>
      <c r="G200" t="s">
        <v>23</v>
      </c>
      <c r="H200" t="s">
        <v>18</v>
      </c>
      <c r="I200" t="s">
        <v>31</v>
      </c>
      <c r="J200">
        <v>5880.86</v>
      </c>
      <c r="K200">
        <v>5773.67</v>
      </c>
      <c r="L200" s="20">
        <f>tbl_Budget[[#This Row],[Actual]]-tbl_Budget[[#This Row],[Budget]]</f>
        <v>-107.1899999999996</v>
      </c>
      <c r="M200" s="3">
        <f>tbl_Budget[[#This Row],[Variance]]/tbl_Budget[[#This Row],[Budget]]</f>
        <v>-1.8226925993817165E-2</v>
      </c>
      <c r="N200" t="str">
        <f>IF(tbl_Budget[[#This Row],[Variance_%]]&gt;0.05,"Overspend",IF(tbl_Budget[[#This Row],[Variance_%]]&lt;-0.05,"Underspend","On Budget"))</f>
        <v>On Budget</v>
      </c>
    </row>
    <row r="201" spans="1:14" hidden="1">
      <c r="A201" s="1">
        <v>44958</v>
      </c>
      <c r="B201">
        <v>2</v>
      </c>
      <c r="C201" t="s">
        <v>32</v>
      </c>
      <c r="D201" t="s">
        <v>33</v>
      </c>
      <c r="E201">
        <v>2023</v>
      </c>
      <c r="F201" t="s">
        <v>30</v>
      </c>
      <c r="G201" t="s">
        <v>23</v>
      </c>
      <c r="H201" t="s">
        <v>19</v>
      </c>
      <c r="I201" t="s">
        <v>31</v>
      </c>
      <c r="J201">
        <v>6536.24</v>
      </c>
      <c r="K201">
        <v>6867.65</v>
      </c>
      <c r="L201" s="20">
        <f>tbl_Budget[[#This Row],[Actual]]-tbl_Budget[[#This Row],[Budget]]</f>
        <v>331.40999999999985</v>
      </c>
      <c r="M201" s="3">
        <f>tbl_Budget[[#This Row],[Variance]]/tbl_Budget[[#This Row],[Budget]]</f>
        <v>5.0703462541155139E-2</v>
      </c>
      <c r="N201" t="str">
        <f>IF(tbl_Budget[[#This Row],[Variance_%]]&gt;0.05,"Overspend",IF(tbl_Budget[[#This Row],[Variance_%]]&lt;-0.05,"Underspend","On Budget"))</f>
        <v>Overspend</v>
      </c>
    </row>
    <row r="202" spans="1:14" hidden="1">
      <c r="A202" s="1">
        <v>44986</v>
      </c>
      <c r="B202">
        <v>3</v>
      </c>
      <c r="C202" t="s">
        <v>34</v>
      </c>
      <c r="D202" t="s">
        <v>35</v>
      </c>
      <c r="E202">
        <v>2023</v>
      </c>
      <c r="F202" t="s">
        <v>13</v>
      </c>
      <c r="G202" t="s">
        <v>14</v>
      </c>
      <c r="H202" t="s">
        <v>15</v>
      </c>
      <c r="I202" t="s">
        <v>16</v>
      </c>
      <c r="J202">
        <v>49223.87</v>
      </c>
      <c r="K202">
        <v>58361.33</v>
      </c>
      <c r="L202" s="20">
        <f>tbl_Budget[[#This Row],[Actual]]-tbl_Budget[[#This Row],[Budget]]</f>
        <v>9137.4599999999991</v>
      </c>
      <c r="M202" s="3">
        <f>tbl_Budget[[#This Row],[Variance]]/tbl_Budget[[#This Row],[Budget]]</f>
        <v>0.18563067064820379</v>
      </c>
      <c r="N202" t="str">
        <f>IF(tbl_Budget[[#This Row],[Variance_%]]&gt;0.05,"Overspend",IF(tbl_Budget[[#This Row],[Variance_%]]&lt;-0.05,"Underspend","On Budget"))</f>
        <v>Overspend</v>
      </c>
    </row>
    <row r="203" spans="1:14" hidden="1">
      <c r="A203" s="1">
        <v>44986</v>
      </c>
      <c r="B203">
        <v>3</v>
      </c>
      <c r="C203" t="s">
        <v>34</v>
      </c>
      <c r="D203" t="s">
        <v>35</v>
      </c>
      <c r="E203">
        <v>2023</v>
      </c>
      <c r="F203" t="s">
        <v>13</v>
      </c>
      <c r="G203" t="s">
        <v>14</v>
      </c>
      <c r="H203" t="s">
        <v>17</v>
      </c>
      <c r="I203" t="s">
        <v>16</v>
      </c>
      <c r="J203">
        <v>47518.67</v>
      </c>
      <c r="K203">
        <v>57168.21</v>
      </c>
      <c r="L203" s="20">
        <f>tbl_Budget[[#This Row],[Actual]]-tbl_Budget[[#This Row],[Budget]]</f>
        <v>9649.5400000000009</v>
      </c>
      <c r="M203" s="3">
        <f>tbl_Budget[[#This Row],[Variance]]/tbl_Budget[[#This Row],[Budget]]</f>
        <v>0.20306839395967946</v>
      </c>
      <c r="N203" t="str">
        <f>IF(tbl_Budget[[#This Row],[Variance_%]]&gt;0.05,"Overspend",IF(tbl_Budget[[#This Row],[Variance_%]]&lt;-0.05,"Underspend","On Budget"))</f>
        <v>Overspend</v>
      </c>
    </row>
    <row r="204" spans="1:14" hidden="1">
      <c r="A204" s="1">
        <v>44986</v>
      </c>
      <c r="B204">
        <v>3</v>
      </c>
      <c r="C204" t="s">
        <v>34</v>
      </c>
      <c r="D204" t="s">
        <v>35</v>
      </c>
      <c r="E204">
        <v>2023</v>
      </c>
      <c r="F204" t="s">
        <v>13</v>
      </c>
      <c r="G204" t="s">
        <v>14</v>
      </c>
      <c r="H204" t="s">
        <v>18</v>
      </c>
      <c r="I204" t="s">
        <v>16</v>
      </c>
      <c r="J204">
        <v>48907.95</v>
      </c>
      <c r="K204">
        <v>54609.47</v>
      </c>
      <c r="L204" s="20">
        <f>tbl_Budget[[#This Row],[Actual]]-tbl_Budget[[#This Row],[Budget]]</f>
        <v>5701.5200000000041</v>
      </c>
      <c r="M204" s="3">
        <f>tbl_Budget[[#This Row],[Variance]]/tbl_Budget[[#This Row],[Budget]]</f>
        <v>0.11657654839346168</v>
      </c>
      <c r="N204" t="str">
        <f>IF(tbl_Budget[[#This Row],[Variance_%]]&gt;0.05,"Overspend",IF(tbl_Budget[[#This Row],[Variance_%]]&lt;-0.05,"Underspend","On Budget"))</f>
        <v>Overspend</v>
      </c>
    </row>
    <row r="205" spans="1:14" hidden="1">
      <c r="A205" s="1">
        <v>44986</v>
      </c>
      <c r="B205">
        <v>3</v>
      </c>
      <c r="C205" t="s">
        <v>34</v>
      </c>
      <c r="D205" t="s">
        <v>35</v>
      </c>
      <c r="E205">
        <v>2023</v>
      </c>
      <c r="F205" t="s">
        <v>13</v>
      </c>
      <c r="G205" t="s">
        <v>14</v>
      </c>
      <c r="H205" t="s">
        <v>19</v>
      </c>
      <c r="I205" t="s">
        <v>16</v>
      </c>
      <c r="J205">
        <v>51020.53</v>
      </c>
      <c r="K205">
        <v>59126.22</v>
      </c>
      <c r="L205" s="20">
        <f>tbl_Budget[[#This Row],[Actual]]-tbl_Budget[[#This Row],[Budget]]</f>
        <v>8105.6900000000023</v>
      </c>
      <c r="M205" s="3">
        <f>tbl_Budget[[#This Row],[Variance]]/tbl_Budget[[#This Row],[Budget]]</f>
        <v>0.1588711446157067</v>
      </c>
      <c r="N205" t="str">
        <f>IF(tbl_Budget[[#This Row],[Variance_%]]&gt;0.05,"Overspend",IF(tbl_Budget[[#This Row],[Variance_%]]&lt;-0.05,"Underspend","On Budget"))</f>
        <v>Overspend</v>
      </c>
    </row>
    <row r="206" spans="1:14" hidden="1">
      <c r="A206" s="1">
        <v>44986</v>
      </c>
      <c r="B206">
        <v>3</v>
      </c>
      <c r="C206" t="s">
        <v>34</v>
      </c>
      <c r="D206" t="s">
        <v>35</v>
      </c>
      <c r="E206">
        <v>2023</v>
      </c>
      <c r="F206" t="s">
        <v>13</v>
      </c>
      <c r="G206" t="s">
        <v>20</v>
      </c>
      <c r="H206" t="s">
        <v>15</v>
      </c>
      <c r="I206" t="s">
        <v>16</v>
      </c>
      <c r="J206">
        <v>19306.61</v>
      </c>
      <c r="K206">
        <v>23040.16</v>
      </c>
      <c r="L206" s="20">
        <f>tbl_Budget[[#This Row],[Actual]]-tbl_Budget[[#This Row],[Budget]]</f>
        <v>3733.5499999999993</v>
      </c>
      <c r="M206" s="3">
        <f>tbl_Budget[[#This Row],[Variance]]/tbl_Budget[[#This Row],[Budget]]</f>
        <v>0.19338195571361308</v>
      </c>
      <c r="N206" t="str">
        <f>IF(tbl_Budget[[#This Row],[Variance_%]]&gt;0.05,"Overspend",IF(tbl_Budget[[#This Row],[Variance_%]]&lt;-0.05,"Underspend","On Budget"))</f>
        <v>Overspend</v>
      </c>
    </row>
    <row r="207" spans="1:14" hidden="1">
      <c r="A207" s="1">
        <v>44986</v>
      </c>
      <c r="B207">
        <v>3</v>
      </c>
      <c r="C207" t="s">
        <v>34</v>
      </c>
      <c r="D207" t="s">
        <v>35</v>
      </c>
      <c r="E207">
        <v>2023</v>
      </c>
      <c r="F207" t="s">
        <v>13</v>
      </c>
      <c r="G207" t="s">
        <v>20</v>
      </c>
      <c r="H207" t="s">
        <v>17</v>
      </c>
      <c r="I207" t="s">
        <v>16</v>
      </c>
      <c r="J207">
        <v>18116.349999999999</v>
      </c>
      <c r="K207">
        <v>21221.33</v>
      </c>
      <c r="L207" s="20">
        <f>tbl_Budget[[#This Row],[Actual]]-tbl_Budget[[#This Row],[Budget]]</f>
        <v>3104.9800000000032</v>
      </c>
      <c r="M207" s="3">
        <f>tbl_Budget[[#This Row],[Variance]]/tbl_Budget[[#This Row],[Budget]]</f>
        <v>0.17139103627386329</v>
      </c>
      <c r="N207" t="str">
        <f>IF(tbl_Budget[[#This Row],[Variance_%]]&gt;0.05,"Overspend",IF(tbl_Budget[[#This Row],[Variance_%]]&lt;-0.05,"Underspend","On Budget"))</f>
        <v>Overspend</v>
      </c>
    </row>
    <row r="208" spans="1:14" hidden="1">
      <c r="A208" s="1">
        <v>44986</v>
      </c>
      <c r="B208">
        <v>3</v>
      </c>
      <c r="C208" t="s">
        <v>34</v>
      </c>
      <c r="D208" t="s">
        <v>35</v>
      </c>
      <c r="E208">
        <v>2023</v>
      </c>
      <c r="F208" t="s">
        <v>13</v>
      </c>
      <c r="G208" t="s">
        <v>20</v>
      </c>
      <c r="H208" t="s">
        <v>18</v>
      </c>
      <c r="I208" t="s">
        <v>16</v>
      </c>
      <c r="J208">
        <v>17818.96</v>
      </c>
      <c r="K208">
        <v>19782.95</v>
      </c>
      <c r="L208" s="20">
        <f>tbl_Budget[[#This Row],[Actual]]-tbl_Budget[[#This Row],[Budget]]</f>
        <v>1963.9900000000016</v>
      </c>
      <c r="M208" s="3">
        <f>tbl_Budget[[#This Row],[Variance]]/tbl_Budget[[#This Row],[Budget]]</f>
        <v>0.11021911492028726</v>
      </c>
      <c r="N208" t="str">
        <f>IF(tbl_Budget[[#This Row],[Variance_%]]&gt;0.05,"Overspend",IF(tbl_Budget[[#This Row],[Variance_%]]&lt;-0.05,"Underspend","On Budget"))</f>
        <v>Overspend</v>
      </c>
    </row>
    <row r="209" spans="1:14" hidden="1">
      <c r="A209" s="1">
        <v>44986</v>
      </c>
      <c r="B209">
        <v>3</v>
      </c>
      <c r="C209" t="s">
        <v>34</v>
      </c>
      <c r="D209" t="s">
        <v>35</v>
      </c>
      <c r="E209">
        <v>2023</v>
      </c>
      <c r="F209" t="s">
        <v>13</v>
      </c>
      <c r="G209" t="s">
        <v>20</v>
      </c>
      <c r="H209" t="s">
        <v>19</v>
      </c>
      <c r="I209" t="s">
        <v>16</v>
      </c>
      <c r="J209">
        <v>19494.46</v>
      </c>
      <c r="K209">
        <v>23348.799999999999</v>
      </c>
      <c r="L209" s="20">
        <f>tbl_Budget[[#This Row],[Actual]]-tbl_Budget[[#This Row],[Budget]]</f>
        <v>3854.34</v>
      </c>
      <c r="M209" s="3">
        <f>tbl_Budget[[#This Row],[Variance]]/tbl_Budget[[#This Row],[Budget]]</f>
        <v>0.19771463277259285</v>
      </c>
      <c r="N209" t="str">
        <f>IF(tbl_Budget[[#This Row],[Variance_%]]&gt;0.05,"Overspend",IF(tbl_Budget[[#This Row],[Variance_%]]&lt;-0.05,"Underspend","On Budget"))</f>
        <v>Overspend</v>
      </c>
    </row>
    <row r="210" spans="1:14">
      <c r="A210" s="1">
        <v>44986</v>
      </c>
      <c r="B210">
        <v>3</v>
      </c>
      <c r="C210" t="s">
        <v>34</v>
      </c>
      <c r="D210" t="s">
        <v>35</v>
      </c>
      <c r="E210">
        <v>2023</v>
      </c>
      <c r="F210" t="s">
        <v>13</v>
      </c>
      <c r="G210" t="s">
        <v>21</v>
      </c>
      <c r="H210" t="s">
        <v>15</v>
      </c>
      <c r="I210" t="s">
        <v>16</v>
      </c>
      <c r="J210">
        <v>10865.1</v>
      </c>
      <c r="K210">
        <v>12471.62</v>
      </c>
      <c r="L210" s="20">
        <f>tbl_Budget[[#This Row],[Actual]]-tbl_Budget[[#This Row],[Budget]]</f>
        <v>1606.5200000000004</v>
      </c>
      <c r="M210" s="3">
        <f>tbl_Budget[[#This Row],[Variance]]/tbl_Budget[[#This Row],[Budget]]</f>
        <v>0.1478605811267269</v>
      </c>
      <c r="N210" t="str">
        <f>IF(tbl_Budget[[#This Row],[Variance_%]]&gt;0.05,"Overspend",IF(tbl_Budget[[#This Row],[Variance_%]]&lt;-0.05,"Underspend","On Budget"))</f>
        <v>Overspend</v>
      </c>
    </row>
    <row r="211" spans="1:14">
      <c r="A211" s="1">
        <v>44986</v>
      </c>
      <c r="B211">
        <v>3</v>
      </c>
      <c r="C211" t="s">
        <v>34</v>
      </c>
      <c r="D211" t="s">
        <v>35</v>
      </c>
      <c r="E211">
        <v>2023</v>
      </c>
      <c r="F211" t="s">
        <v>13</v>
      </c>
      <c r="G211" t="s">
        <v>21</v>
      </c>
      <c r="H211" t="s">
        <v>17</v>
      </c>
      <c r="I211" t="s">
        <v>16</v>
      </c>
      <c r="J211">
        <v>9799.16</v>
      </c>
      <c r="K211">
        <v>11391.79</v>
      </c>
      <c r="L211" s="20">
        <f>tbl_Budget[[#This Row],[Actual]]-tbl_Budget[[#This Row],[Budget]]</f>
        <v>1592.630000000001</v>
      </c>
      <c r="M211" s="3">
        <f>tbl_Budget[[#This Row],[Variance]]/tbl_Budget[[#This Row],[Budget]]</f>
        <v>0.16252719620865472</v>
      </c>
      <c r="N211" t="str">
        <f>IF(tbl_Budget[[#This Row],[Variance_%]]&gt;0.05,"Overspend",IF(tbl_Budget[[#This Row],[Variance_%]]&lt;-0.05,"Underspend","On Budget"))</f>
        <v>Overspend</v>
      </c>
    </row>
    <row r="212" spans="1:14">
      <c r="A212" s="1">
        <v>44986</v>
      </c>
      <c r="B212">
        <v>3</v>
      </c>
      <c r="C212" t="s">
        <v>34</v>
      </c>
      <c r="D212" t="s">
        <v>35</v>
      </c>
      <c r="E212">
        <v>2023</v>
      </c>
      <c r="F212" t="s">
        <v>13</v>
      </c>
      <c r="G212" t="s">
        <v>21</v>
      </c>
      <c r="H212" t="s">
        <v>18</v>
      </c>
      <c r="I212" t="s">
        <v>16</v>
      </c>
      <c r="J212">
        <v>10515.9</v>
      </c>
      <c r="K212">
        <v>12317.38</v>
      </c>
      <c r="L212" s="20">
        <f>tbl_Budget[[#This Row],[Actual]]-tbl_Budget[[#This Row],[Budget]]</f>
        <v>1801.4799999999996</v>
      </c>
      <c r="M212" s="3">
        <f>tbl_Budget[[#This Row],[Variance]]/tbl_Budget[[#This Row],[Budget]]</f>
        <v>0.17131011135518592</v>
      </c>
      <c r="N212" t="str">
        <f>IF(tbl_Budget[[#This Row],[Variance_%]]&gt;0.05,"Overspend",IF(tbl_Budget[[#This Row],[Variance_%]]&lt;-0.05,"Underspend","On Budget"))</f>
        <v>Overspend</v>
      </c>
    </row>
    <row r="213" spans="1:14">
      <c r="A213" s="1">
        <v>44986</v>
      </c>
      <c r="B213">
        <v>3</v>
      </c>
      <c r="C213" t="s">
        <v>34</v>
      </c>
      <c r="D213" t="s">
        <v>35</v>
      </c>
      <c r="E213">
        <v>2023</v>
      </c>
      <c r="F213" t="s">
        <v>13</v>
      </c>
      <c r="G213" t="s">
        <v>21</v>
      </c>
      <c r="H213" t="s">
        <v>19</v>
      </c>
      <c r="I213" t="s">
        <v>16</v>
      </c>
      <c r="J213">
        <v>10888.61</v>
      </c>
      <c r="K213">
        <v>11936.49</v>
      </c>
      <c r="L213" s="20">
        <f>tbl_Budget[[#This Row],[Actual]]-tbl_Budget[[#This Row],[Budget]]</f>
        <v>1047.8799999999992</v>
      </c>
      <c r="M213" s="3">
        <f>tbl_Budget[[#This Row],[Variance]]/tbl_Budget[[#This Row],[Budget]]</f>
        <v>9.6236342379789439E-2</v>
      </c>
      <c r="N213" t="str">
        <f>IF(tbl_Budget[[#This Row],[Variance_%]]&gt;0.05,"Overspend",IF(tbl_Budget[[#This Row],[Variance_%]]&lt;-0.05,"Underspend","On Budget"))</f>
        <v>Overspend</v>
      </c>
    </row>
    <row r="214" spans="1:14" hidden="1">
      <c r="A214" s="1">
        <v>44986</v>
      </c>
      <c r="B214">
        <v>3</v>
      </c>
      <c r="C214" t="s">
        <v>34</v>
      </c>
      <c r="D214" t="s">
        <v>35</v>
      </c>
      <c r="E214">
        <v>2023</v>
      </c>
      <c r="F214" t="s">
        <v>13</v>
      </c>
      <c r="G214" t="s">
        <v>22</v>
      </c>
      <c r="H214" t="s">
        <v>15</v>
      </c>
      <c r="I214" t="s">
        <v>16</v>
      </c>
      <c r="J214">
        <v>8301.48</v>
      </c>
      <c r="K214">
        <v>9776.9699999999993</v>
      </c>
      <c r="L214" s="20">
        <f>tbl_Budget[[#This Row],[Actual]]-tbl_Budget[[#This Row],[Budget]]</f>
        <v>1475.4899999999998</v>
      </c>
      <c r="M214" s="3">
        <f>tbl_Budget[[#This Row],[Variance]]/tbl_Budget[[#This Row],[Budget]]</f>
        <v>0.17773818644386299</v>
      </c>
      <c r="N214" t="str">
        <f>IF(tbl_Budget[[#This Row],[Variance_%]]&gt;0.05,"Overspend",IF(tbl_Budget[[#This Row],[Variance_%]]&lt;-0.05,"Underspend","On Budget"))</f>
        <v>Overspend</v>
      </c>
    </row>
    <row r="215" spans="1:14" hidden="1">
      <c r="A215" s="1">
        <v>44986</v>
      </c>
      <c r="B215">
        <v>3</v>
      </c>
      <c r="C215" t="s">
        <v>34</v>
      </c>
      <c r="D215" t="s">
        <v>35</v>
      </c>
      <c r="E215">
        <v>2023</v>
      </c>
      <c r="F215" t="s">
        <v>13</v>
      </c>
      <c r="G215" t="s">
        <v>22</v>
      </c>
      <c r="H215" t="s">
        <v>17</v>
      </c>
      <c r="I215" t="s">
        <v>16</v>
      </c>
      <c r="J215">
        <v>7987.67</v>
      </c>
      <c r="K215">
        <v>9433.5</v>
      </c>
      <c r="L215" s="20">
        <f>tbl_Budget[[#This Row],[Actual]]-tbl_Budget[[#This Row],[Budget]]</f>
        <v>1445.83</v>
      </c>
      <c r="M215" s="3">
        <f>tbl_Budget[[#This Row],[Variance]]/tbl_Budget[[#This Row],[Budget]]</f>
        <v>0.18100772816102817</v>
      </c>
      <c r="N215" t="str">
        <f>IF(tbl_Budget[[#This Row],[Variance_%]]&gt;0.05,"Overspend",IF(tbl_Budget[[#This Row],[Variance_%]]&lt;-0.05,"Underspend","On Budget"))</f>
        <v>Overspend</v>
      </c>
    </row>
    <row r="216" spans="1:14" hidden="1">
      <c r="A216" s="1">
        <v>44986</v>
      </c>
      <c r="B216">
        <v>3</v>
      </c>
      <c r="C216" t="s">
        <v>34</v>
      </c>
      <c r="D216" t="s">
        <v>35</v>
      </c>
      <c r="E216">
        <v>2023</v>
      </c>
      <c r="F216" t="s">
        <v>13</v>
      </c>
      <c r="G216" t="s">
        <v>22</v>
      </c>
      <c r="H216" t="s">
        <v>18</v>
      </c>
      <c r="I216" t="s">
        <v>16</v>
      </c>
      <c r="J216">
        <v>7759.95</v>
      </c>
      <c r="K216">
        <v>8739.2000000000007</v>
      </c>
      <c r="L216" s="20">
        <f>tbl_Budget[[#This Row],[Actual]]-tbl_Budget[[#This Row],[Budget]]</f>
        <v>979.25000000000091</v>
      </c>
      <c r="M216" s="3">
        <f>tbl_Budget[[#This Row],[Variance]]/tbl_Budget[[#This Row],[Budget]]</f>
        <v>0.12619282340736743</v>
      </c>
      <c r="N216" t="str">
        <f>IF(tbl_Budget[[#This Row],[Variance_%]]&gt;0.05,"Overspend",IF(tbl_Budget[[#This Row],[Variance_%]]&lt;-0.05,"Underspend","On Budget"))</f>
        <v>Overspend</v>
      </c>
    </row>
    <row r="217" spans="1:14" hidden="1">
      <c r="A217" s="1">
        <v>44986</v>
      </c>
      <c r="B217">
        <v>3</v>
      </c>
      <c r="C217" t="s">
        <v>34</v>
      </c>
      <c r="D217" t="s">
        <v>35</v>
      </c>
      <c r="E217">
        <v>2023</v>
      </c>
      <c r="F217" t="s">
        <v>13</v>
      </c>
      <c r="G217" t="s">
        <v>22</v>
      </c>
      <c r="H217" t="s">
        <v>19</v>
      </c>
      <c r="I217" t="s">
        <v>16</v>
      </c>
      <c r="J217">
        <v>8717.4699999999993</v>
      </c>
      <c r="K217">
        <v>9595.9500000000007</v>
      </c>
      <c r="L217" s="20">
        <f>tbl_Budget[[#This Row],[Actual]]-tbl_Budget[[#This Row],[Budget]]</f>
        <v>878.48000000000138</v>
      </c>
      <c r="M217" s="3">
        <f>tbl_Budget[[#This Row],[Variance]]/tbl_Budget[[#This Row],[Budget]]</f>
        <v>0.10077235711737481</v>
      </c>
      <c r="N217" t="str">
        <f>IF(tbl_Budget[[#This Row],[Variance_%]]&gt;0.05,"Overspend",IF(tbl_Budget[[#This Row],[Variance_%]]&lt;-0.05,"Underspend","On Budget"))</f>
        <v>Overspend</v>
      </c>
    </row>
    <row r="218" spans="1:14" hidden="1">
      <c r="A218" s="1">
        <v>44986</v>
      </c>
      <c r="B218">
        <v>3</v>
      </c>
      <c r="C218" t="s">
        <v>34</v>
      </c>
      <c r="D218" t="s">
        <v>35</v>
      </c>
      <c r="E218">
        <v>2023</v>
      </c>
      <c r="F218" t="s">
        <v>13</v>
      </c>
      <c r="G218" t="s">
        <v>23</v>
      </c>
      <c r="H218" t="s">
        <v>15</v>
      </c>
      <c r="I218" t="s">
        <v>16</v>
      </c>
      <c r="J218">
        <v>8539.67</v>
      </c>
      <c r="K218">
        <v>9400.34</v>
      </c>
      <c r="L218" s="20">
        <f>tbl_Budget[[#This Row],[Actual]]-tbl_Budget[[#This Row],[Budget]]</f>
        <v>860.67000000000007</v>
      </c>
      <c r="M218" s="3">
        <f>tbl_Budget[[#This Row],[Variance]]/tbl_Budget[[#This Row],[Budget]]</f>
        <v>0.10078492494440652</v>
      </c>
      <c r="N218" t="str">
        <f>IF(tbl_Budget[[#This Row],[Variance_%]]&gt;0.05,"Overspend",IF(tbl_Budget[[#This Row],[Variance_%]]&lt;-0.05,"Underspend","On Budget"))</f>
        <v>Overspend</v>
      </c>
    </row>
    <row r="219" spans="1:14" hidden="1">
      <c r="A219" s="1">
        <v>44986</v>
      </c>
      <c r="B219">
        <v>3</v>
      </c>
      <c r="C219" t="s">
        <v>34</v>
      </c>
      <c r="D219" t="s">
        <v>35</v>
      </c>
      <c r="E219">
        <v>2023</v>
      </c>
      <c r="F219" t="s">
        <v>13</v>
      </c>
      <c r="G219" t="s">
        <v>23</v>
      </c>
      <c r="H219" t="s">
        <v>17</v>
      </c>
      <c r="I219" t="s">
        <v>16</v>
      </c>
      <c r="J219">
        <v>8230.44</v>
      </c>
      <c r="K219">
        <v>9555.85</v>
      </c>
      <c r="L219" s="20">
        <f>tbl_Budget[[#This Row],[Actual]]-tbl_Budget[[#This Row],[Budget]]</f>
        <v>1325.4099999999999</v>
      </c>
      <c r="M219" s="3">
        <f>tbl_Budget[[#This Row],[Variance]]/tbl_Budget[[#This Row],[Budget]]</f>
        <v>0.16103756299784699</v>
      </c>
      <c r="N219" t="str">
        <f>IF(tbl_Budget[[#This Row],[Variance_%]]&gt;0.05,"Overspend",IF(tbl_Budget[[#This Row],[Variance_%]]&lt;-0.05,"Underspend","On Budget"))</f>
        <v>Overspend</v>
      </c>
    </row>
    <row r="220" spans="1:14" hidden="1">
      <c r="A220" s="1">
        <v>44986</v>
      </c>
      <c r="B220">
        <v>3</v>
      </c>
      <c r="C220" t="s">
        <v>34</v>
      </c>
      <c r="D220" t="s">
        <v>35</v>
      </c>
      <c r="E220">
        <v>2023</v>
      </c>
      <c r="F220" t="s">
        <v>13</v>
      </c>
      <c r="G220" t="s">
        <v>23</v>
      </c>
      <c r="H220" t="s">
        <v>18</v>
      </c>
      <c r="I220" t="s">
        <v>16</v>
      </c>
      <c r="J220">
        <v>8377.32</v>
      </c>
      <c r="K220">
        <v>9573.7900000000009</v>
      </c>
      <c r="L220" s="20">
        <f>tbl_Budget[[#This Row],[Actual]]-tbl_Budget[[#This Row],[Budget]]</f>
        <v>1196.4700000000012</v>
      </c>
      <c r="M220" s="3">
        <f>tbl_Budget[[#This Row],[Variance]]/tbl_Budget[[#This Row],[Budget]]</f>
        <v>0.14282252558097353</v>
      </c>
      <c r="N220" t="str">
        <f>IF(tbl_Budget[[#This Row],[Variance_%]]&gt;0.05,"Overspend",IF(tbl_Budget[[#This Row],[Variance_%]]&lt;-0.05,"Underspend","On Budget"))</f>
        <v>Overspend</v>
      </c>
    </row>
    <row r="221" spans="1:14" hidden="1">
      <c r="A221" s="1">
        <v>44986</v>
      </c>
      <c r="B221">
        <v>3</v>
      </c>
      <c r="C221" t="s">
        <v>34</v>
      </c>
      <c r="D221" t="s">
        <v>35</v>
      </c>
      <c r="E221">
        <v>2023</v>
      </c>
      <c r="F221" t="s">
        <v>13</v>
      </c>
      <c r="G221" t="s">
        <v>23</v>
      </c>
      <c r="H221" t="s">
        <v>19</v>
      </c>
      <c r="I221" t="s">
        <v>16</v>
      </c>
      <c r="J221">
        <v>8672.0400000000009</v>
      </c>
      <c r="K221">
        <v>10030.450000000001</v>
      </c>
      <c r="L221" s="20">
        <f>tbl_Budget[[#This Row],[Actual]]-tbl_Budget[[#This Row],[Budget]]</f>
        <v>1358.4099999999999</v>
      </c>
      <c r="M221" s="3">
        <f>tbl_Budget[[#This Row],[Variance]]/tbl_Budget[[#This Row],[Budget]]</f>
        <v>0.15664249703645275</v>
      </c>
      <c r="N221" t="str">
        <f>IF(tbl_Budget[[#This Row],[Variance_%]]&gt;0.05,"Overspend",IF(tbl_Budget[[#This Row],[Variance_%]]&lt;-0.05,"Underspend","On Budget"))</f>
        <v>Overspend</v>
      </c>
    </row>
    <row r="222" spans="1:14" hidden="1">
      <c r="A222" s="1">
        <v>44986</v>
      </c>
      <c r="B222">
        <v>3</v>
      </c>
      <c r="C222" t="s">
        <v>34</v>
      </c>
      <c r="D222" t="s">
        <v>35</v>
      </c>
      <c r="E222">
        <v>2023</v>
      </c>
      <c r="F222" t="s">
        <v>24</v>
      </c>
      <c r="G222" t="s">
        <v>14</v>
      </c>
      <c r="H222" t="s">
        <v>15</v>
      </c>
      <c r="I222" t="s">
        <v>25</v>
      </c>
      <c r="J222">
        <v>51229.34</v>
      </c>
      <c r="K222">
        <v>45529.56</v>
      </c>
      <c r="L222" s="20">
        <f>tbl_Budget[[#This Row],[Actual]]-tbl_Budget[[#This Row],[Budget]]</f>
        <v>-5699.7799999999988</v>
      </c>
      <c r="M222" s="3">
        <f>tbl_Budget[[#This Row],[Variance]]/tbl_Budget[[#This Row],[Budget]]</f>
        <v>-0.11126007088906473</v>
      </c>
      <c r="N222" t="str">
        <f>IF(tbl_Budget[[#This Row],[Variance_%]]&gt;0.05,"Overspend",IF(tbl_Budget[[#This Row],[Variance_%]]&lt;-0.05,"Underspend","On Budget"))</f>
        <v>Underspend</v>
      </c>
    </row>
    <row r="223" spans="1:14" hidden="1">
      <c r="A223" s="1">
        <v>44986</v>
      </c>
      <c r="B223">
        <v>3</v>
      </c>
      <c r="C223" t="s">
        <v>34</v>
      </c>
      <c r="D223" t="s">
        <v>35</v>
      </c>
      <c r="E223">
        <v>2023</v>
      </c>
      <c r="F223" t="s">
        <v>24</v>
      </c>
      <c r="G223" t="s">
        <v>14</v>
      </c>
      <c r="H223" t="s">
        <v>17</v>
      </c>
      <c r="I223" t="s">
        <v>25</v>
      </c>
      <c r="J223">
        <v>48179.17</v>
      </c>
      <c r="K223">
        <v>41957.82</v>
      </c>
      <c r="L223" s="20">
        <f>tbl_Budget[[#This Row],[Actual]]-tbl_Budget[[#This Row],[Budget]]</f>
        <v>-6221.3499999999985</v>
      </c>
      <c r="M223" s="3">
        <f>tbl_Budget[[#This Row],[Variance]]/tbl_Budget[[#This Row],[Budget]]</f>
        <v>-0.12912945573782195</v>
      </c>
      <c r="N223" t="str">
        <f>IF(tbl_Budget[[#This Row],[Variance_%]]&gt;0.05,"Overspend",IF(tbl_Budget[[#This Row],[Variance_%]]&lt;-0.05,"Underspend","On Budget"))</f>
        <v>Underspend</v>
      </c>
    </row>
    <row r="224" spans="1:14" hidden="1">
      <c r="A224" s="1">
        <v>44986</v>
      </c>
      <c r="B224">
        <v>3</v>
      </c>
      <c r="C224" t="s">
        <v>34</v>
      </c>
      <c r="D224" t="s">
        <v>35</v>
      </c>
      <c r="E224">
        <v>2023</v>
      </c>
      <c r="F224" t="s">
        <v>24</v>
      </c>
      <c r="G224" t="s">
        <v>14</v>
      </c>
      <c r="H224" t="s">
        <v>18</v>
      </c>
      <c r="I224" t="s">
        <v>25</v>
      </c>
      <c r="J224">
        <v>51348.42</v>
      </c>
      <c r="K224">
        <v>46022.15</v>
      </c>
      <c r="L224" s="20">
        <f>tbl_Budget[[#This Row],[Actual]]-tbl_Budget[[#This Row],[Budget]]</f>
        <v>-5326.2699999999968</v>
      </c>
      <c r="M224" s="3">
        <f>tbl_Budget[[#This Row],[Variance]]/tbl_Budget[[#This Row],[Budget]]</f>
        <v>-0.10372802123220144</v>
      </c>
      <c r="N224" t="str">
        <f>IF(tbl_Budget[[#This Row],[Variance_%]]&gt;0.05,"Overspend",IF(tbl_Budget[[#This Row],[Variance_%]]&lt;-0.05,"Underspend","On Budget"))</f>
        <v>Underspend</v>
      </c>
    </row>
    <row r="225" spans="1:14" hidden="1">
      <c r="A225" s="1">
        <v>44986</v>
      </c>
      <c r="B225">
        <v>3</v>
      </c>
      <c r="C225" t="s">
        <v>34</v>
      </c>
      <c r="D225" t="s">
        <v>35</v>
      </c>
      <c r="E225">
        <v>2023</v>
      </c>
      <c r="F225" t="s">
        <v>24</v>
      </c>
      <c r="G225" t="s">
        <v>14</v>
      </c>
      <c r="H225" t="s">
        <v>19</v>
      </c>
      <c r="I225" t="s">
        <v>25</v>
      </c>
      <c r="J225">
        <v>53649.71</v>
      </c>
      <c r="K225">
        <v>46038.11</v>
      </c>
      <c r="L225" s="20">
        <f>tbl_Budget[[#This Row],[Actual]]-tbl_Budget[[#This Row],[Budget]]</f>
        <v>-7611.5999999999985</v>
      </c>
      <c r="M225" s="3">
        <f>tbl_Budget[[#This Row],[Variance]]/tbl_Budget[[#This Row],[Budget]]</f>
        <v>-0.14187588339247312</v>
      </c>
      <c r="N225" t="str">
        <f>IF(tbl_Budget[[#This Row],[Variance_%]]&gt;0.05,"Overspend",IF(tbl_Budget[[#This Row],[Variance_%]]&lt;-0.05,"Underspend","On Budget"))</f>
        <v>Underspend</v>
      </c>
    </row>
    <row r="226" spans="1:14" hidden="1">
      <c r="A226" s="1">
        <v>44986</v>
      </c>
      <c r="B226">
        <v>3</v>
      </c>
      <c r="C226" t="s">
        <v>34</v>
      </c>
      <c r="D226" t="s">
        <v>35</v>
      </c>
      <c r="E226">
        <v>2023</v>
      </c>
      <c r="F226" t="s">
        <v>24</v>
      </c>
      <c r="G226" t="s">
        <v>20</v>
      </c>
      <c r="H226" t="s">
        <v>15</v>
      </c>
      <c r="I226" t="s">
        <v>25</v>
      </c>
      <c r="J226">
        <v>29542.080000000002</v>
      </c>
      <c r="K226">
        <v>26195.83</v>
      </c>
      <c r="L226" s="20">
        <f>tbl_Budget[[#This Row],[Actual]]-tbl_Budget[[#This Row],[Budget]]</f>
        <v>-3346.25</v>
      </c>
      <c r="M226" s="3">
        <f>tbl_Budget[[#This Row],[Variance]]/tbl_Budget[[#This Row],[Budget]]</f>
        <v>-0.11327062955621268</v>
      </c>
      <c r="N226" t="str">
        <f>IF(tbl_Budget[[#This Row],[Variance_%]]&gt;0.05,"Overspend",IF(tbl_Budget[[#This Row],[Variance_%]]&lt;-0.05,"Underspend","On Budget"))</f>
        <v>Underspend</v>
      </c>
    </row>
    <row r="227" spans="1:14" hidden="1">
      <c r="A227" s="1">
        <v>44986</v>
      </c>
      <c r="B227">
        <v>3</v>
      </c>
      <c r="C227" t="s">
        <v>34</v>
      </c>
      <c r="D227" t="s">
        <v>35</v>
      </c>
      <c r="E227">
        <v>2023</v>
      </c>
      <c r="F227" t="s">
        <v>24</v>
      </c>
      <c r="G227" t="s">
        <v>20</v>
      </c>
      <c r="H227" t="s">
        <v>17</v>
      </c>
      <c r="I227" t="s">
        <v>25</v>
      </c>
      <c r="J227">
        <v>27116.91</v>
      </c>
      <c r="K227">
        <v>24288.880000000001</v>
      </c>
      <c r="L227" s="20">
        <f>tbl_Budget[[#This Row],[Actual]]-tbl_Budget[[#This Row],[Budget]]</f>
        <v>-2828.0299999999988</v>
      </c>
      <c r="M227" s="3">
        <f>tbl_Budget[[#This Row],[Variance]]/tbl_Budget[[#This Row],[Budget]]</f>
        <v>-0.10429027496126951</v>
      </c>
      <c r="N227" t="str">
        <f>IF(tbl_Budget[[#This Row],[Variance_%]]&gt;0.05,"Overspend",IF(tbl_Budget[[#This Row],[Variance_%]]&lt;-0.05,"Underspend","On Budget"))</f>
        <v>Underspend</v>
      </c>
    </row>
    <row r="228" spans="1:14" hidden="1">
      <c r="A228" s="1">
        <v>44986</v>
      </c>
      <c r="B228">
        <v>3</v>
      </c>
      <c r="C228" t="s">
        <v>34</v>
      </c>
      <c r="D228" t="s">
        <v>35</v>
      </c>
      <c r="E228">
        <v>2023</v>
      </c>
      <c r="F228" t="s">
        <v>24</v>
      </c>
      <c r="G228" t="s">
        <v>20</v>
      </c>
      <c r="H228" t="s">
        <v>18</v>
      </c>
      <c r="I228" t="s">
        <v>25</v>
      </c>
      <c r="J228">
        <v>27239.19</v>
      </c>
      <c r="K228">
        <v>23446.2</v>
      </c>
      <c r="L228" s="20">
        <f>tbl_Budget[[#This Row],[Actual]]-tbl_Budget[[#This Row],[Budget]]</f>
        <v>-3792.989999999998</v>
      </c>
      <c r="M228" s="3">
        <f>tbl_Budget[[#This Row],[Variance]]/tbl_Budget[[#This Row],[Budget]]</f>
        <v>-0.13924753269095</v>
      </c>
      <c r="N228" t="str">
        <f>IF(tbl_Budget[[#This Row],[Variance_%]]&gt;0.05,"Overspend",IF(tbl_Budget[[#This Row],[Variance_%]]&lt;-0.05,"Underspend","On Budget"))</f>
        <v>Underspend</v>
      </c>
    </row>
    <row r="229" spans="1:14" hidden="1">
      <c r="A229" s="1">
        <v>44986</v>
      </c>
      <c r="B229">
        <v>3</v>
      </c>
      <c r="C229" t="s">
        <v>34</v>
      </c>
      <c r="D229" t="s">
        <v>35</v>
      </c>
      <c r="E229">
        <v>2023</v>
      </c>
      <c r="F229" t="s">
        <v>24</v>
      </c>
      <c r="G229" t="s">
        <v>20</v>
      </c>
      <c r="H229" t="s">
        <v>19</v>
      </c>
      <c r="I229" t="s">
        <v>25</v>
      </c>
      <c r="J229">
        <v>29266.82</v>
      </c>
      <c r="K229">
        <v>24879.38</v>
      </c>
      <c r="L229" s="20">
        <f>tbl_Budget[[#This Row],[Actual]]-tbl_Budget[[#This Row],[Budget]]</f>
        <v>-4387.4399999999987</v>
      </c>
      <c r="M229" s="3">
        <f>tbl_Budget[[#This Row],[Variance]]/tbl_Budget[[#This Row],[Budget]]</f>
        <v>-0.14991174305920488</v>
      </c>
      <c r="N229" t="str">
        <f>IF(tbl_Budget[[#This Row],[Variance_%]]&gt;0.05,"Overspend",IF(tbl_Budget[[#This Row],[Variance_%]]&lt;-0.05,"Underspend","On Budget"))</f>
        <v>Underspend</v>
      </c>
    </row>
    <row r="230" spans="1:14">
      <c r="A230" s="1">
        <v>44986</v>
      </c>
      <c r="B230">
        <v>3</v>
      </c>
      <c r="C230" t="s">
        <v>34</v>
      </c>
      <c r="D230" t="s">
        <v>35</v>
      </c>
      <c r="E230">
        <v>2023</v>
      </c>
      <c r="F230" t="s">
        <v>24</v>
      </c>
      <c r="G230" t="s">
        <v>21</v>
      </c>
      <c r="H230" t="s">
        <v>15</v>
      </c>
      <c r="I230" t="s">
        <v>25</v>
      </c>
      <c r="J230">
        <v>11217.89</v>
      </c>
      <c r="K230">
        <v>9712.27</v>
      </c>
      <c r="L230" s="20">
        <f>tbl_Budget[[#This Row],[Actual]]-tbl_Budget[[#This Row],[Budget]]</f>
        <v>-1505.619999999999</v>
      </c>
      <c r="M230" s="3">
        <f>tbl_Budget[[#This Row],[Variance]]/tbl_Budget[[#This Row],[Budget]]</f>
        <v>-0.13421597109616862</v>
      </c>
      <c r="N230" t="str">
        <f>IF(tbl_Budget[[#This Row],[Variance_%]]&gt;0.05,"Overspend",IF(tbl_Budget[[#This Row],[Variance_%]]&lt;-0.05,"Underspend","On Budget"))</f>
        <v>Underspend</v>
      </c>
    </row>
    <row r="231" spans="1:14">
      <c r="A231" s="1">
        <v>44986</v>
      </c>
      <c r="B231">
        <v>3</v>
      </c>
      <c r="C231" t="s">
        <v>34</v>
      </c>
      <c r="D231" t="s">
        <v>35</v>
      </c>
      <c r="E231">
        <v>2023</v>
      </c>
      <c r="F231" t="s">
        <v>24</v>
      </c>
      <c r="G231" t="s">
        <v>21</v>
      </c>
      <c r="H231" t="s">
        <v>17</v>
      </c>
      <c r="I231" t="s">
        <v>25</v>
      </c>
      <c r="J231">
        <v>10879.59</v>
      </c>
      <c r="K231">
        <v>9664.59</v>
      </c>
      <c r="L231" s="20">
        <f>tbl_Budget[[#This Row],[Actual]]-tbl_Budget[[#This Row],[Budget]]</f>
        <v>-1215</v>
      </c>
      <c r="M231" s="3">
        <f>tbl_Budget[[#This Row],[Variance]]/tbl_Budget[[#This Row],[Budget]]</f>
        <v>-0.11167700253410284</v>
      </c>
      <c r="N231" t="str">
        <f>IF(tbl_Budget[[#This Row],[Variance_%]]&gt;0.05,"Overspend",IF(tbl_Budget[[#This Row],[Variance_%]]&lt;-0.05,"Underspend","On Budget"))</f>
        <v>Underspend</v>
      </c>
    </row>
    <row r="232" spans="1:14">
      <c r="A232" s="1">
        <v>44986</v>
      </c>
      <c r="B232">
        <v>3</v>
      </c>
      <c r="C232" t="s">
        <v>34</v>
      </c>
      <c r="D232" t="s">
        <v>35</v>
      </c>
      <c r="E232">
        <v>2023</v>
      </c>
      <c r="F232" t="s">
        <v>24</v>
      </c>
      <c r="G232" t="s">
        <v>21</v>
      </c>
      <c r="H232" t="s">
        <v>18</v>
      </c>
      <c r="I232" t="s">
        <v>25</v>
      </c>
      <c r="J232">
        <v>10664.28</v>
      </c>
      <c r="K232">
        <v>9492.3700000000008</v>
      </c>
      <c r="L232" s="20">
        <f>tbl_Budget[[#This Row],[Actual]]-tbl_Budget[[#This Row],[Budget]]</f>
        <v>-1171.9099999999999</v>
      </c>
      <c r="M232" s="3">
        <f>tbl_Budget[[#This Row],[Variance]]/tbl_Budget[[#This Row],[Budget]]</f>
        <v>-0.10989115064495679</v>
      </c>
      <c r="N232" t="str">
        <f>IF(tbl_Budget[[#This Row],[Variance_%]]&gt;0.05,"Overspend",IF(tbl_Budget[[#This Row],[Variance_%]]&lt;-0.05,"Underspend","On Budget"))</f>
        <v>Underspend</v>
      </c>
    </row>
    <row r="233" spans="1:14">
      <c r="A233" s="1">
        <v>44986</v>
      </c>
      <c r="B233">
        <v>3</v>
      </c>
      <c r="C233" t="s">
        <v>34</v>
      </c>
      <c r="D233" t="s">
        <v>35</v>
      </c>
      <c r="E233">
        <v>2023</v>
      </c>
      <c r="F233" t="s">
        <v>24</v>
      </c>
      <c r="G233" t="s">
        <v>21</v>
      </c>
      <c r="H233" t="s">
        <v>19</v>
      </c>
      <c r="I233" t="s">
        <v>25</v>
      </c>
      <c r="J233">
        <v>11439.08</v>
      </c>
      <c r="K233">
        <v>10249.209999999999</v>
      </c>
      <c r="L233" s="20">
        <f>tbl_Budget[[#This Row],[Actual]]-tbl_Budget[[#This Row],[Budget]]</f>
        <v>-1189.8700000000008</v>
      </c>
      <c r="M233" s="3">
        <f>tbl_Budget[[#This Row],[Variance]]/tbl_Budget[[#This Row],[Budget]]</f>
        <v>-0.1040179804669607</v>
      </c>
      <c r="N233" t="str">
        <f>IF(tbl_Budget[[#This Row],[Variance_%]]&gt;0.05,"Overspend",IF(tbl_Budget[[#This Row],[Variance_%]]&lt;-0.05,"Underspend","On Budget"))</f>
        <v>Underspend</v>
      </c>
    </row>
    <row r="234" spans="1:14" hidden="1">
      <c r="A234" s="1">
        <v>44986</v>
      </c>
      <c r="B234">
        <v>3</v>
      </c>
      <c r="C234" t="s">
        <v>34</v>
      </c>
      <c r="D234" t="s">
        <v>35</v>
      </c>
      <c r="E234">
        <v>2023</v>
      </c>
      <c r="F234" t="s">
        <v>24</v>
      </c>
      <c r="G234" t="s">
        <v>22</v>
      </c>
      <c r="H234" t="s">
        <v>15</v>
      </c>
      <c r="I234" t="s">
        <v>25</v>
      </c>
      <c r="J234">
        <v>8781</v>
      </c>
      <c r="K234">
        <v>7746.92</v>
      </c>
      <c r="L234" s="20">
        <f>tbl_Budget[[#This Row],[Actual]]-tbl_Budget[[#This Row],[Budget]]</f>
        <v>-1034.08</v>
      </c>
      <c r="M234" s="3">
        <f>tbl_Budget[[#This Row],[Variance]]/tbl_Budget[[#This Row],[Budget]]</f>
        <v>-0.1177633526933151</v>
      </c>
      <c r="N234" t="str">
        <f>IF(tbl_Budget[[#This Row],[Variance_%]]&gt;0.05,"Overspend",IF(tbl_Budget[[#This Row],[Variance_%]]&lt;-0.05,"Underspend","On Budget"))</f>
        <v>Underspend</v>
      </c>
    </row>
    <row r="235" spans="1:14" hidden="1">
      <c r="A235" s="1">
        <v>44986</v>
      </c>
      <c r="B235">
        <v>3</v>
      </c>
      <c r="C235" t="s">
        <v>34</v>
      </c>
      <c r="D235" t="s">
        <v>35</v>
      </c>
      <c r="E235">
        <v>2023</v>
      </c>
      <c r="F235" t="s">
        <v>24</v>
      </c>
      <c r="G235" t="s">
        <v>22</v>
      </c>
      <c r="H235" t="s">
        <v>17</v>
      </c>
      <c r="I235" t="s">
        <v>25</v>
      </c>
      <c r="J235">
        <v>8135.88</v>
      </c>
      <c r="K235">
        <v>6988.79</v>
      </c>
      <c r="L235" s="20">
        <f>tbl_Budget[[#This Row],[Actual]]-tbl_Budget[[#This Row],[Budget]]</f>
        <v>-1147.0900000000001</v>
      </c>
      <c r="M235" s="3">
        <f>tbl_Budget[[#This Row],[Variance]]/tbl_Budget[[#This Row],[Budget]]</f>
        <v>-0.14099150921596681</v>
      </c>
      <c r="N235" t="str">
        <f>IF(tbl_Budget[[#This Row],[Variance_%]]&gt;0.05,"Overspend",IF(tbl_Budget[[#This Row],[Variance_%]]&lt;-0.05,"Underspend","On Budget"))</f>
        <v>Underspend</v>
      </c>
    </row>
    <row r="236" spans="1:14" hidden="1">
      <c r="A236" s="1">
        <v>44986</v>
      </c>
      <c r="B236">
        <v>3</v>
      </c>
      <c r="C236" t="s">
        <v>34</v>
      </c>
      <c r="D236" t="s">
        <v>35</v>
      </c>
      <c r="E236">
        <v>2023</v>
      </c>
      <c r="F236" t="s">
        <v>24</v>
      </c>
      <c r="G236" t="s">
        <v>22</v>
      </c>
      <c r="H236" t="s">
        <v>18</v>
      </c>
      <c r="I236" t="s">
        <v>25</v>
      </c>
      <c r="J236">
        <v>8229.35</v>
      </c>
      <c r="K236">
        <v>7322.82</v>
      </c>
      <c r="L236" s="20">
        <f>tbl_Budget[[#This Row],[Actual]]-tbl_Budget[[#This Row],[Budget]]</f>
        <v>-906.53000000000065</v>
      </c>
      <c r="M236" s="3">
        <f>tbl_Budget[[#This Row],[Variance]]/tbl_Budget[[#This Row],[Budget]]</f>
        <v>-0.11015815343860701</v>
      </c>
      <c r="N236" t="str">
        <f>IF(tbl_Budget[[#This Row],[Variance_%]]&gt;0.05,"Overspend",IF(tbl_Budget[[#This Row],[Variance_%]]&lt;-0.05,"Underspend","On Budget"))</f>
        <v>Underspend</v>
      </c>
    </row>
    <row r="237" spans="1:14" hidden="1">
      <c r="A237" s="1">
        <v>44986</v>
      </c>
      <c r="B237">
        <v>3</v>
      </c>
      <c r="C237" t="s">
        <v>34</v>
      </c>
      <c r="D237" t="s">
        <v>35</v>
      </c>
      <c r="E237">
        <v>2023</v>
      </c>
      <c r="F237" t="s">
        <v>24</v>
      </c>
      <c r="G237" t="s">
        <v>22</v>
      </c>
      <c r="H237" t="s">
        <v>19</v>
      </c>
      <c r="I237" t="s">
        <v>25</v>
      </c>
      <c r="J237">
        <v>9024.4500000000007</v>
      </c>
      <c r="K237">
        <v>8073.71</v>
      </c>
      <c r="L237" s="20">
        <f>tbl_Budget[[#This Row],[Actual]]-tbl_Budget[[#This Row],[Budget]]</f>
        <v>-950.74000000000069</v>
      </c>
      <c r="M237" s="3">
        <f>tbl_Budget[[#This Row],[Variance]]/tbl_Budget[[#This Row],[Budget]]</f>
        <v>-0.10535157267201886</v>
      </c>
      <c r="N237" t="str">
        <f>IF(tbl_Budget[[#This Row],[Variance_%]]&gt;0.05,"Overspend",IF(tbl_Budget[[#This Row],[Variance_%]]&lt;-0.05,"Underspend","On Budget"))</f>
        <v>Underspend</v>
      </c>
    </row>
    <row r="238" spans="1:14" hidden="1">
      <c r="A238" s="1">
        <v>44986</v>
      </c>
      <c r="B238">
        <v>3</v>
      </c>
      <c r="C238" t="s">
        <v>34</v>
      </c>
      <c r="D238" t="s">
        <v>35</v>
      </c>
      <c r="E238">
        <v>2023</v>
      </c>
      <c r="F238" t="s">
        <v>24</v>
      </c>
      <c r="G238" t="s">
        <v>23</v>
      </c>
      <c r="H238" t="s">
        <v>15</v>
      </c>
      <c r="I238" t="s">
        <v>25</v>
      </c>
      <c r="J238">
        <v>7391.28</v>
      </c>
      <c r="K238">
        <v>6522.5</v>
      </c>
      <c r="L238" s="20">
        <f>tbl_Budget[[#This Row],[Actual]]-tbl_Budget[[#This Row],[Budget]]</f>
        <v>-868.77999999999975</v>
      </c>
      <c r="M238" s="3">
        <f>tbl_Budget[[#This Row],[Variance]]/tbl_Budget[[#This Row],[Budget]]</f>
        <v>-0.11754121072398824</v>
      </c>
      <c r="N238" t="str">
        <f>IF(tbl_Budget[[#This Row],[Variance_%]]&gt;0.05,"Overspend",IF(tbl_Budget[[#This Row],[Variance_%]]&lt;-0.05,"Underspend","On Budget"))</f>
        <v>Underspend</v>
      </c>
    </row>
    <row r="239" spans="1:14" hidden="1">
      <c r="A239" s="1">
        <v>44986</v>
      </c>
      <c r="B239">
        <v>3</v>
      </c>
      <c r="C239" t="s">
        <v>34</v>
      </c>
      <c r="D239" t="s">
        <v>35</v>
      </c>
      <c r="E239">
        <v>2023</v>
      </c>
      <c r="F239" t="s">
        <v>24</v>
      </c>
      <c r="G239" t="s">
        <v>23</v>
      </c>
      <c r="H239" t="s">
        <v>17</v>
      </c>
      <c r="I239" t="s">
        <v>25</v>
      </c>
      <c r="J239">
        <v>7132.52</v>
      </c>
      <c r="K239">
        <v>6404.31</v>
      </c>
      <c r="L239" s="20">
        <f>tbl_Budget[[#This Row],[Actual]]-tbl_Budget[[#This Row],[Budget]]</f>
        <v>-728.21</v>
      </c>
      <c r="M239" s="3">
        <f>tbl_Budget[[#This Row],[Variance]]/tbl_Budget[[#This Row],[Budget]]</f>
        <v>-0.10209715500271993</v>
      </c>
      <c r="N239" t="str">
        <f>IF(tbl_Budget[[#This Row],[Variance_%]]&gt;0.05,"Overspend",IF(tbl_Budget[[#This Row],[Variance_%]]&lt;-0.05,"Underspend","On Budget"))</f>
        <v>Underspend</v>
      </c>
    </row>
    <row r="240" spans="1:14" hidden="1">
      <c r="A240" s="1">
        <v>44986</v>
      </c>
      <c r="B240">
        <v>3</v>
      </c>
      <c r="C240" t="s">
        <v>34</v>
      </c>
      <c r="D240" t="s">
        <v>35</v>
      </c>
      <c r="E240">
        <v>2023</v>
      </c>
      <c r="F240" t="s">
        <v>24</v>
      </c>
      <c r="G240" t="s">
        <v>23</v>
      </c>
      <c r="H240" t="s">
        <v>18</v>
      </c>
      <c r="I240" t="s">
        <v>25</v>
      </c>
      <c r="J240">
        <v>7326.91</v>
      </c>
      <c r="K240">
        <v>6303.54</v>
      </c>
      <c r="L240" s="20">
        <f>tbl_Budget[[#This Row],[Actual]]-tbl_Budget[[#This Row],[Budget]]</f>
        <v>-1023.3699999999999</v>
      </c>
      <c r="M240" s="3">
        <f>tbl_Budget[[#This Row],[Variance]]/tbl_Budget[[#This Row],[Budget]]</f>
        <v>-0.13967279521653739</v>
      </c>
      <c r="N240" t="str">
        <f>IF(tbl_Budget[[#This Row],[Variance_%]]&gt;0.05,"Overspend",IF(tbl_Budget[[#This Row],[Variance_%]]&lt;-0.05,"Underspend","On Budget"))</f>
        <v>Underspend</v>
      </c>
    </row>
    <row r="241" spans="1:14" hidden="1">
      <c r="A241" s="1">
        <v>44986</v>
      </c>
      <c r="B241">
        <v>3</v>
      </c>
      <c r="C241" t="s">
        <v>34</v>
      </c>
      <c r="D241" t="s">
        <v>35</v>
      </c>
      <c r="E241">
        <v>2023</v>
      </c>
      <c r="F241" t="s">
        <v>24</v>
      </c>
      <c r="G241" t="s">
        <v>23</v>
      </c>
      <c r="H241" t="s">
        <v>19</v>
      </c>
      <c r="I241" t="s">
        <v>25</v>
      </c>
      <c r="J241">
        <v>7522.73</v>
      </c>
      <c r="K241">
        <v>6700.38</v>
      </c>
      <c r="L241" s="20">
        <f>tbl_Budget[[#This Row],[Actual]]-tbl_Budget[[#This Row],[Budget]]</f>
        <v>-822.34999999999945</v>
      </c>
      <c r="M241" s="3">
        <f>tbl_Budget[[#This Row],[Variance]]/tbl_Budget[[#This Row],[Budget]]</f>
        <v>-0.10931536822403562</v>
      </c>
      <c r="N241" t="str">
        <f>IF(tbl_Budget[[#This Row],[Variance_%]]&gt;0.05,"Overspend",IF(tbl_Budget[[#This Row],[Variance_%]]&lt;-0.05,"Underspend","On Budget"))</f>
        <v>Underspend</v>
      </c>
    </row>
    <row r="242" spans="1:14" hidden="1">
      <c r="A242" s="1">
        <v>44986</v>
      </c>
      <c r="B242">
        <v>3</v>
      </c>
      <c r="C242" t="s">
        <v>34</v>
      </c>
      <c r="D242" t="s">
        <v>35</v>
      </c>
      <c r="E242">
        <v>2023</v>
      </c>
      <c r="F242" t="s">
        <v>26</v>
      </c>
      <c r="G242" t="s">
        <v>14</v>
      </c>
      <c r="H242" t="s">
        <v>15</v>
      </c>
      <c r="I242" t="s">
        <v>27</v>
      </c>
      <c r="J242">
        <v>45381.81</v>
      </c>
      <c r="K242">
        <v>44779.71</v>
      </c>
      <c r="L242" s="20">
        <f>tbl_Budget[[#This Row],[Actual]]-tbl_Budget[[#This Row],[Budget]]</f>
        <v>-602.09999999999854</v>
      </c>
      <c r="M242" s="3">
        <f>tbl_Budget[[#This Row],[Variance]]/tbl_Budget[[#This Row],[Budget]]</f>
        <v>-1.3267430276579947E-2</v>
      </c>
      <c r="N242" t="str">
        <f>IF(tbl_Budget[[#This Row],[Variance_%]]&gt;0.05,"Overspend",IF(tbl_Budget[[#This Row],[Variance_%]]&lt;-0.05,"Underspend","On Budget"))</f>
        <v>On Budget</v>
      </c>
    </row>
    <row r="243" spans="1:14" hidden="1">
      <c r="A243" s="1">
        <v>44986</v>
      </c>
      <c r="B243">
        <v>3</v>
      </c>
      <c r="C243" t="s">
        <v>34</v>
      </c>
      <c r="D243" t="s">
        <v>35</v>
      </c>
      <c r="E243">
        <v>2023</v>
      </c>
      <c r="F243" t="s">
        <v>26</v>
      </c>
      <c r="G243" t="s">
        <v>14</v>
      </c>
      <c r="H243" t="s">
        <v>17</v>
      </c>
      <c r="I243" t="s">
        <v>27</v>
      </c>
      <c r="J243">
        <v>44336.09</v>
      </c>
      <c r="K243">
        <v>42882.77</v>
      </c>
      <c r="L243" s="20">
        <f>tbl_Budget[[#This Row],[Actual]]-tbl_Budget[[#This Row],[Budget]]</f>
        <v>-1453.3199999999997</v>
      </c>
      <c r="M243" s="3">
        <f>tbl_Budget[[#This Row],[Variance]]/tbl_Budget[[#This Row],[Budget]]</f>
        <v>-3.2779615884034878E-2</v>
      </c>
      <c r="N243" t="str">
        <f>IF(tbl_Budget[[#This Row],[Variance_%]]&gt;0.05,"Overspend",IF(tbl_Budget[[#This Row],[Variance_%]]&lt;-0.05,"Underspend","On Budget"))</f>
        <v>On Budget</v>
      </c>
    </row>
    <row r="244" spans="1:14" hidden="1">
      <c r="A244" s="1">
        <v>44986</v>
      </c>
      <c r="B244">
        <v>3</v>
      </c>
      <c r="C244" t="s">
        <v>34</v>
      </c>
      <c r="D244" t="s">
        <v>35</v>
      </c>
      <c r="E244">
        <v>2023</v>
      </c>
      <c r="F244" t="s">
        <v>26</v>
      </c>
      <c r="G244" t="s">
        <v>14</v>
      </c>
      <c r="H244" t="s">
        <v>18</v>
      </c>
      <c r="I244" t="s">
        <v>27</v>
      </c>
      <c r="J244">
        <v>43355.59</v>
      </c>
      <c r="K244">
        <v>42187.49</v>
      </c>
      <c r="L244" s="20">
        <f>tbl_Budget[[#This Row],[Actual]]-tbl_Budget[[#This Row],[Budget]]</f>
        <v>-1168.0999999999985</v>
      </c>
      <c r="M244" s="3">
        <f>tbl_Budget[[#This Row],[Variance]]/tbl_Budget[[#This Row],[Budget]]</f>
        <v>-2.6942315858231859E-2</v>
      </c>
      <c r="N244" t="str">
        <f>IF(tbl_Budget[[#This Row],[Variance_%]]&gt;0.05,"Overspend",IF(tbl_Budget[[#This Row],[Variance_%]]&lt;-0.05,"Underspend","On Budget"))</f>
        <v>On Budget</v>
      </c>
    </row>
    <row r="245" spans="1:14" hidden="1">
      <c r="A245" s="1">
        <v>44986</v>
      </c>
      <c r="B245">
        <v>3</v>
      </c>
      <c r="C245" t="s">
        <v>34</v>
      </c>
      <c r="D245" t="s">
        <v>35</v>
      </c>
      <c r="E245">
        <v>2023</v>
      </c>
      <c r="F245" t="s">
        <v>26</v>
      </c>
      <c r="G245" t="s">
        <v>14</v>
      </c>
      <c r="H245" t="s">
        <v>19</v>
      </c>
      <c r="I245" t="s">
        <v>27</v>
      </c>
      <c r="J245">
        <v>47153.69</v>
      </c>
      <c r="K245">
        <v>46204.69</v>
      </c>
      <c r="L245" s="20">
        <f>tbl_Budget[[#This Row],[Actual]]-tbl_Budget[[#This Row],[Budget]]</f>
        <v>-949</v>
      </c>
      <c r="M245" s="3">
        <f>tbl_Budget[[#This Row],[Variance]]/tbl_Budget[[#This Row],[Budget]]</f>
        <v>-2.0125678393355852E-2</v>
      </c>
      <c r="N245" t="str">
        <f>IF(tbl_Budget[[#This Row],[Variance_%]]&gt;0.05,"Overspend",IF(tbl_Budget[[#This Row],[Variance_%]]&lt;-0.05,"Underspend","On Budget"))</f>
        <v>On Budget</v>
      </c>
    </row>
    <row r="246" spans="1:14" hidden="1">
      <c r="A246" s="1">
        <v>44986</v>
      </c>
      <c r="B246">
        <v>3</v>
      </c>
      <c r="C246" t="s">
        <v>34</v>
      </c>
      <c r="D246" t="s">
        <v>35</v>
      </c>
      <c r="E246">
        <v>2023</v>
      </c>
      <c r="F246" t="s">
        <v>26</v>
      </c>
      <c r="G246" t="s">
        <v>20</v>
      </c>
      <c r="H246" t="s">
        <v>15</v>
      </c>
      <c r="I246" t="s">
        <v>27</v>
      </c>
      <c r="J246">
        <v>15064.76</v>
      </c>
      <c r="K246">
        <v>14828.87</v>
      </c>
      <c r="L246" s="20">
        <f>tbl_Budget[[#This Row],[Actual]]-tbl_Budget[[#This Row],[Budget]]</f>
        <v>-235.88999999999942</v>
      </c>
      <c r="M246" s="3">
        <f>tbl_Budget[[#This Row],[Variance]]/tbl_Budget[[#This Row],[Budget]]</f>
        <v>-1.5658397478618937E-2</v>
      </c>
      <c r="N246" t="str">
        <f>IF(tbl_Budget[[#This Row],[Variance_%]]&gt;0.05,"Overspend",IF(tbl_Budget[[#This Row],[Variance_%]]&lt;-0.05,"Underspend","On Budget"))</f>
        <v>On Budget</v>
      </c>
    </row>
    <row r="247" spans="1:14" hidden="1">
      <c r="A247" s="1">
        <v>44986</v>
      </c>
      <c r="B247">
        <v>3</v>
      </c>
      <c r="C247" t="s">
        <v>34</v>
      </c>
      <c r="D247" t="s">
        <v>35</v>
      </c>
      <c r="E247">
        <v>2023</v>
      </c>
      <c r="F247" t="s">
        <v>26</v>
      </c>
      <c r="G247" t="s">
        <v>20</v>
      </c>
      <c r="H247" t="s">
        <v>17</v>
      </c>
      <c r="I247" t="s">
        <v>27</v>
      </c>
      <c r="J247">
        <v>14849.97</v>
      </c>
      <c r="K247">
        <v>14531.17</v>
      </c>
      <c r="L247" s="20">
        <f>tbl_Budget[[#This Row],[Actual]]-tbl_Budget[[#This Row],[Budget]]</f>
        <v>-318.79999999999927</v>
      </c>
      <c r="M247" s="3">
        <f>tbl_Budget[[#This Row],[Variance]]/tbl_Budget[[#This Row],[Budget]]</f>
        <v>-2.1468056837825215E-2</v>
      </c>
      <c r="N247" t="str">
        <f>IF(tbl_Budget[[#This Row],[Variance_%]]&gt;0.05,"Overspend",IF(tbl_Budget[[#This Row],[Variance_%]]&lt;-0.05,"Underspend","On Budget"))</f>
        <v>On Budget</v>
      </c>
    </row>
    <row r="248" spans="1:14" hidden="1">
      <c r="A248" s="1">
        <v>44986</v>
      </c>
      <c r="B248">
        <v>3</v>
      </c>
      <c r="C248" t="s">
        <v>34</v>
      </c>
      <c r="D248" t="s">
        <v>35</v>
      </c>
      <c r="E248">
        <v>2023</v>
      </c>
      <c r="F248" t="s">
        <v>26</v>
      </c>
      <c r="G248" t="s">
        <v>20</v>
      </c>
      <c r="H248" t="s">
        <v>18</v>
      </c>
      <c r="I248" t="s">
        <v>27</v>
      </c>
      <c r="J248">
        <v>14879.83</v>
      </c>
      <c r="K248">
        <v>14657.82</v>
      </c>
      <c r="L248" s="20">
        <f>tbl_Budget[[#This Row],[Actual]]-tbl_Budget[[#This Row],[Budget]]</f>
        <v>-222.01000000000022</v>
      </c>
      <c r="M248" s="3">
        <f>tbl_Budget[[#This Row],[Variance]]/tbl_Budget[[#This Row],[Budget]]</f>
        <v>-1.492019734096426E-2</v>
      </c>
      <c r="N248" t="str">
        <f>IF(tbl_Budget[[#This Row],[Variance_%]]&gt;0.05,"Overspend",IF(tbl_Budget[[#This Row],[Variance_%]]&lt;-0.05,"Underspend","On Budget"))</f>
        <v>On Budget</v>
      </c>
    </row>
    <row r="249" spans="1:14" hidden="1">
      <c r="A249" s="1">
        <v>44986</v>
      </c>
      <c r="B249">
        <v>3</v>
      </c>
      <c r="C249" t="s">
        <v>34</v>
      </c>
      <c r="D249" t="s">
        <v>35</v>
      </c>
      <c r="E249">
        <v>2023</v>
      </c>
      <c r="F249" t="s">
        <v>26</v>
      </c>
      <c r="G249" t="s">
        <v>20</v>
      </c>
      <c r="H249" t="s">
        <v>19</v>
      </c>
      <c r="I249" t="s">
        <v>27</v>
      </c>
      <c r="J249">
        <v>15650.25</v>
      </c>
      <c r="K249">
        <v>15831.38</v>
      </c>
      <c r="L249" s="20">
        <f>tbl_Budget[[#This Row],[Actual]]-tbl_Budget[[#This Row],[Budget]]</f>
        <v>181.1299999999992</v>
      </c>
      <c r="M249" s="3">
        <f>tbl_Budget[[#This Row],[Variance]]/tbl_Budget[[#This Row],[Budget]]</f>
        <v>1.1573617034871597E-2</v>
      </c>
      <c r="N249" t="str">
        <f>IF(tbl_Budget[[#This Row],[Variance_%]]&gt;0.05,"Overspend",IF(tbl_Budget[[#This Row],[Variance_%]]&lt;-0.05,"Underspend","On Budget"))</f>
        <v>On Budget</v>
      </c>
    </row>
    <row r="250" spans="1:14">
      <c r="A250" s="1">
        <v>44986</v>
      </c>
      <c r="B250">
        <v>3</v>
      </c>
      <c r="C250" t="s">
        <v>34</v>
      </c>
      <c r="D250" t="s">
        <v>35</v>
      </c>
      <c r="E250">
        <v>2023</v>
      </c>
      <c r="F250" t="s">
        <v>26</v>
      </c>
      <c r="G250" t="s">
        <v>21</v>
      </c>
      <c r="H250" t="s">
        <v>15</v>
      </c>
      <c r="I250" t="s">
        <v>27</v>
      </c>
      <c r="J250">
        <v>8680.3700000000008</v>
      </c>
      <c r="K250">
        <v>8645.94</v>
      </c>
      <c r="L250" s="20">
        <f>tbl_Budget[[#This Row],[Actual]]-tbl_Budget[[#This Row],[Budget]]</f>
        <v>-34.430000000000291</v>
      </c>
      <c r="M250" s="3">
        <f>tbl_Budget[[#This Row],[Variance]]/tbl_Budget[[#This Row],[Budget]]</f>
        <v>-3.9664207862107588E-3</v>
      </c>
      <c r="N250" t="str">
        <f>IF(tbl_Budget[[#This Row],[Variance_%]]&gt;0.05,"Overspend",IF(tbl_Budget[[#This Row],[Variance_%]]&lt;-0.05,"Underspend","On Budget"))</f>
        <v>On Budget</v>
      </c>
    </row>
    <row r="251" spans="1:14">
      <c r="A251" s="1">
        <v>44986</v>
      </c>
      <c r="B251">
        <v>3</v>
      </c>
      <c r="C251" t="s">
        <v>34</v>
      </c>
      <c r="D251" t="s">
        <v>35</v>
      </c>
      <c r="E251">
        <v>2023</v>
      </c>
      <c r="F251" t="s">
        <v>26</v>
      </c>
      <c r="G251" t="s">
        <v>21</v>
      </c>
      <c r="H251" t="s">
        <v>17</v>
      </c>
      <c r="I251" t="s">
        <v>27</v>
      </c>
      <c r="J251">
        <v>8220.93</v>
      </c>
      <c r="K251">
        <v>8416.3700000000008</v>
      </c>
      <c r="L251" s="20">
        <f>tbl_Budget[[#This Row],[Actual]]-tbl_Budget[[#This Row],[Budget]]</f>
        <v>195.44000000000051</v>
      </c>
      <c r="M251" s="3">
        <f>tbl_Budget[[#This Row],[Variance]]/tbl_Budget[[#This Row],[Budget]]</f>
        <v>2.3773466019051434E-2</v>
      </c>
      <c r="N251" t="str">
        <f>IF(tbl_Budget[[#This Row],[Variance_%]]&gt;0.05,"Overspend",IF(tbl_Budget[[#This Row],[Variance_%]]&lt;-0.05,"Underspend","On Budget"))</f>
        <v>On Budget</v>
      </c>
    </row>
    <row r="252" spans="1:14">
      <c r="A252" s="1">
        <v>44986</v>
      </c>
      <c r="B252">
        <v>3</v>
      </c>
      <c r="C252" t="s">
        <v>34</v>
      </c>
      <c r="D252" t="s">
        <v>35</v>
      </c>
      <c r="E252">
        <v>2023</v>
      </c>
      <c r="F252" t="s">
        <v>26</v>
      </c>
      <c r="G252" t="s">
        <v>21</v>
      </c>
      <c r="H252" t="s">
        <v>18</v>
      </c>
      <c r="I252" t="s">
        <v>27</v>
      </c>
      <c r="J252">
        <v>8302.2900000000009</v>
      </c>
      <c r="K252">
        <v>8171.56</v>
      </c>
      <c r="L252" s="20">
        <f>tbl_Budget[[#This Row],[Actual]]-tbl_Budget[[#This Row],[Budget]]</f>
        <v>-130.73000000000047</v>
      </c>
      <c r="M252" s="3">
        <f>tbl_Budget[[#This Row],[Variance]]/tbl_Budget[[#This Row],[Budget]]</f>
        <v>-1.5746257960153217E-2</v>
      </c>
      <c r="N252" t="str">
        <f>IF(tbl_Budget[[#This Row],[Variance_%]]&gt;0.05,"Overspend",IF(tbl_Budget[[#This Row],[Variance_%]]&lt;-0.05,"Underspend","On Budget"))</f>
        <v>On Budget</v>
      </c>
    </row>
    <row r="253" spans="1:14">
      <c r="A253" s="1">
        <v>44986</v>
      </c>
      <c r="B253">
        <v>3</v>
      </c>
      <c r="C253" t="s">
        <v>34</v>
      </c>
      <c r="D253" t="s">
        <v>35</v>
      </c>
      <c r="E253">
        <v>2023</v>
      </c>
      <c r="F253" t="s">
        <v>26</v>
      </c>
      <c r="G253" t="s">
        <v>21</v>
      </c>
      <c r="H253" t="s">
        <v>19</v>
      </c>
      <c r="I253" t="s">
        <v>27</v>
      </c>
      <c r="J253">
        <v>9002.16</v>
      </c>
      <c r="K253">
        <v>9051.68</v>
      </c>
      <c r="L253" s="20">
        <f>tbl_Budget[[#This Row],[Actual]]-tbl_Budget[[#This Row],[Budget]]</f>
        <v>49.520000000000437</v>
      </c>
      <c r="M253" s="3">
        <f>tbl_Budget[[#This Row],[Variance]]/tbl_Budget[[#This Row],[Budget]]</f>
        <v>5.5009020057408932E-3</v>
      </c>
      <c r="N253" t="str">
        <f>IF(tbl_Budget[[#This Row],[Variance_%]]&gt;0.05,"Overspend",IF(tbl_Budget[[#This Row],[Variance_%]]&lt;-0.05,"Underspend","On Budget"))</f>
        <v>On Budget</v>
      </c>
    </row>
    <row r="254" spans="1:14" hidden="1">
      <c r="A254" s="1">
        <v>44986</v>
      </c>
      <c r="B254">
        <v>3</v>
      </c>
      <c r="C254" t="s">
        <v>34</v>
      </c>
      <c r="D254" t="s">
        <v>35</v>
      </c>
      <c r="E254">
        <v>2023</v>
      </c>
      <c r="F254" t="s">
        <v>26</v>
      </c>
      <c r="G254" t="s">
        <v>22</v>
      </c>
      <c r="H254" t="s">
        <v>15</v>
      </c>
      <c r="I254" t="s">
        <v>27</v>
      </c>
      <c r="J254">
        <v>6679.56</v>
      </c>
      <c r="K254">
        <v>6790.18</v>
      </c>
      <c r="L254" s="20">
        <f>tbl_Budget[[#This Row],[Actual]]-tbl_Budget[[#This Row],[Budget]]</f>
        <v>110.61999999999989</v>
      </c>
      <c r="M254" s="3">
        <f>tbl_Budget[[#This Row],[Variance]]/tbl_Budget[[#This Row],[Budget]]</f>
        <v>1.6560971081927535E-2</v>
      </c>
      <c r="N254" t="str">
        <f>IF(tbl_Budget[[#This Row],[Variance_%]]&gt;0.05,"Overspend",IF(tbl_Budget[[#This Row],[Variance_%]]&lt;-0.05,"Underspend","On Budget"))</f>
        <v>On Budget</v>
      </c>
    </row>
    <row r="255" spans="1:14" hidden="1">
      <c r="A255" s="1">
        <v>44986</v>
      </c>
      <c r="B255">
        <v>3</v>
      </c>
      <c r="C255" t="s">
        <v>34</v>
      </c>
      <c r="D255" t="s">
        <v>35</v>
      </c>
      <c r="E255">
        <v>2023</v>
      </c>
      <c r="F255" t="s">
        <v>26</v>
      </c>
      <c r="G255" t="s">
        <v>22</v>
      </c>
      <c r="H255" t="s">
        <v>17</v>
      </c>
      <c r="I255" t="s">
        <v>27</v>
      </c>
      <c r="J255">
        <v>6405.4</v>
      </c>
      <c r="K255">
        <v>6441.36</v>
      </c>
      <c r="L255" s="20">
        <f>tbl_Budget[[#This Row],[Actual]]-tbl_Budget[[#This Row],[Budget]]</f>
        <v>35.960000000000036</v>
      </c>
      <c r="M255" s="3">
        <f>tbl_Budget[[#This Row],[Variance]]/tbl_Budget[[#This Row],[Budget]]</f>
        <v>5.6140131763824331E-3</v>
      </c>
      <c r="N255" t="str">
        <f>IF(tbl_Budget[[#This Row],[Variance_%]]&gt;0.05,"Overspend",IF(tbl_Budget[[#This Row],[Variance_%]]&lt;-0.05,"Underspend","On Budget"))</f>
        <v>On Budget</v>
      </c>
    </row>
    <row r="256" spans="1:14" hidden="1">
      <c r="A256" s="1">
        <v>44986</v>
      </c>
      <c r="B256">
        <v>3</v>
      </c>
      <c r="C256" t="s">
        <v>34</v>
      </c>
      <c r="D256" t="s">
        <v>35</v>
      </c>
      <c r="E256">
        <v>2023</v>
      </c>
      <c r="F256" t="s">
        <v>26</v>
      </c>
      <c r="G256" t="s">
        <v>22</v>
      </c>
      <c r="H256" t="s">
        <v>18</v>
      </c>
      <c r="I256" t="s">
        <v>27</v>
      </c>
      <c r="J256">
        <v>6373.62</v>
      </c>
      <c r="K256">
        <v>6287.49</v>
      </c>
      <c r="L256" s="20">
        <f>tbl_Budget[[#This Row],[Actual]]-tbl_Budget[[#This Row],[Budget]]</f>
        <v>-86.130000000000109</v>
      </c>
      <c r="M256" s="3">
        <f>tbl_Budget[[#This Row],[Variance]]/tbl_Budget[[#This Row],[Budget]]</f>
        <v>-1.3513513513513532E-2</v>
      </c>
      <c r="N256" t="str">
        <f>IF(tbl_Budget[[#This Row],[Variance_%]]&gt;0.05,"Overspend",IF(tbl_Budget[[#This Row],[Variance_%]]&lt;-0.05,"Underspend","On Budget"))</f>
        <v>On Budget</v>
      </c>
    </row>
    <row r="257" spans="1:14" hidden="1">
      <c r="A257" s="1">
        <v>44986</v>
      </c>
      <c r="B257">
        <v>3</v>
      </c>
      <c r="C257" t="s">
        <v>34</v>
      </c>
      <c r="D257" t="s">
        <v>35</v>
      </c>
      <c r="E257">
        <v>2023</v>
      </c>
      <c r="F257" t="s">
        <v>26</v>
      </c>
      <c r="G257" t="s">
        <v>22</v>
      </c>
      <c r="H257" t="s">
        <v>19</v>
      </c>
      <c r="I257" t="s">
        <v>27</v>
      </c>
      <c r="J257">
        <v>6803.74</v>
      </c>
      <c r="K257">
        <v>6613.92</v>
      </c>
      <c r="L257" s="20">
        <f>tbl_Budget[[#This Row],[Actual]]-tbl_Budget[[#This Row],[Budget]]</f>
        <v>-189.81999999999971</v>
      </c>
      <c r="M257" s="3">
        <f>tbl_Budget[[#This Row],[Variance]]/tbl_Budget[[#This Row],[Budget]]</f>
        <v>-2.7899361233674379E-2</v>
      </c>
      <c r="N257" t="str">
        <f>IF(tbl_Budget[[#This Row],[Variance_%]]&gt;0.05,"Overspend",IF(tbl_Budget[[#This Row],[Variance_%]]&lt;-0.05,"Underspend","On Budget"))</f>
        <v>On Budget</v>
      </c>
    </row>
    <row r="258" spans="1:14" hidden="1">
      <c r="A258" s="1">
        <v>44986</v>
      </c>
      <c r="B258">
        <v>3</v>
      </c>
      <c r="C258" t="s">
        <v>34</v>
      </c>
      <c r="D258" t="s">
        <v>35</v>
      </c>
      <c r="E258">
        <v>2023</v>
      </c>
      <c r="F258" t="s">
        <v>26</v>
      </c>
      <c r="G258" t="s">
        <v>23</v>
      </c>
      <c r="H258" t="s">
        <v>15</v>
      </c>
      <c r="I258" t="s">
        <v>27</v>
      </c>
      <c r="J258">
        <v>5648.95</v>
      </c>
      <c r="K258">
        <v>5660.27</v>
      </c>
      <c r="L258" s="20">
        <f>tbl_Budget[[#This Row],[Actual]]-tbl_Budget[[#This Row],[Budget]]</f>
        <v>11.320000000000618</v>
      </c>
      <c r="M258" s="3">
        <f>tbl_Budget[[#This Row],[Variance]]/tbl_Budget[[#This Row],[Budget]]</f>
        <v>2.0039122314767558E-3</v>
      </c>
      <c r="N258" t="str">
        <f>IF(tbl_Budget[[#This Row],[Variance_%]]&gt;0.05,"Overspend",IF(tbl_Budget[[#This Row],[Variance_%]]&lt;-0.05,"Underspend","On Budget"))</f>
        <v>On Budget</v>
      </c>
    </row>
    <row r="259" spans="1:14" hidden="1">
      <c r="A259" s="1">
        <v>44986</v>
      </c>
      <c r="B259">
        <v>3</v>
      </c>
      <c r="C259" t="s">
        <v>34</v>
      </c>
      <c r="D259" t="s">
        <v>35</v>
      </c>
      <c r="E259">
        <v>2023</v>
      </c>
      <c r="F259" t="s">
        <v>26</v>
      </c>
      <c r="G259" t="s">
        <v>23</v>
      </c>
      <c r="H259" t="s">
        <v>17</v>
      </c>
      <c r="I259" t="s">
        <v>27</v>
      </c>
      <c r="J259">
        <v>5526.15</v>
      </c>
      <c r="K259">
        <v>5594.89</v>
      </c>
      <c r="L259" s="20">
        <f>tbl_Budget[[#This Row],[Actual]]-tbl_Budget[[#This Row],[Budget]]</f>
        <v>68.740000000000691</v>
      </c>
      <c r="M259" s="3">
        <f>tbl_Budget[[#This Row],[Variance]]/tbl_Budget[[#This Row],[Budget]]</f>
        <v>1.2439039837861928E-2</v>
      </c>
      <c r="N259" t="str">
        <f>IF(tbl_Budget[[#This Row],[Variance_%]]&gt;0.05,"Overspend",IF(tbl_Budget[[#This Row],[Variance_%]]&lt;-0.05,"Underspend","On Budget"))</f>
        <v>On Budget</v>
      </c>
    </row>
    <row r="260" spans="1:14" hidden="1">
      <c r="A260" s="1">
        <v>44986</v>
      </c>
      <c r="B260">
        <v>3</v>
      </c>
      <c r="C260" t="s">
        <v>34</v>
      </c>
      <c r="D260" t="s">
        <v>35</v>
      </c>
      <c r="E260">
        <v>2023</v>
      </c>
      <c r="F260" t="s">
        <v>26</v>
      </c>
      <c r="G260" t="s">
        <v>23</v>
      </c>
      <c r="H260" t="s">
        <v>18</v>
      </c>
      <c r="I260" t="s">
        <v>27</v>
      </c>
      <c r="J260">
        <v>5448.74</v>
      </c>
      <c r="K260">
        <v>5577.52</v>
      </c>
      <c r="L260" s="20">
        <f>tbl_Budget[[#This Row],[Actual]]-tbl_Budget[[#This Row],[Budget]]</f>
        <v>128.78000000000065</v>
      </c>
      <c r="M260" s="3">
        <f>tbl_Budget[[#This Row],[Variance]]/tbl_Budget[[#This Row],[Budget]]</f>
        <v>2.3634821995544043E-2</v>
      </c>
      <c r="N260" t="str">
        <f>IF(tbl_Budget[[#This Row],[Variance_%]]&gt;0.05,"Overspend",IF(tbl_Budget[[#This Row],[Variance_%]]&lt;-0.05,"Underspend","On Budget"))</f>
        <v>On Budget</v>
      </c>
    </row>
    <row r="261" spans="1:14" hidden="1">
      <c r="A261" s="1">
        <v>44986</v>
      </c>
      <c r="B261">
        <v>3</v>
      </c>
      <c r="C261" t="s">
        <v>34</v>
      </c>
      <c r="D261" t="s">
        <v>35</v>
      </c>
      <c r="E261">
        <v>2023</v>
      </c>
      <c r="F261" t="s">
        <v>26</v>
      </c>
      <c r="G261" t="s">
        <v>23</v>
      </c>
      <c r="H261" t="s">
        <v>19</v>
      </c>
      <c r="I261" t="s">
        <v>27</v>
      </c>
      <c r="J261">
        <v>5887.11</v>
      </c>
      <c r="K261">
        <v>6026.06</v>
      </c>
      <c r="L261" s="20">
        <f>tbl_Budget[[#This Row],[Actual]]-tbl_Budget[[#This Row],[Budget]]</f>
        <v>138.95000000000073</v>
      </c>
      <c r="M261" s="3">
        <f>tbl_Budget[[#This Row],[Variance]]/tbl_Budget[[#This Row],[Budget]]</f>
        <v>2.3602412728826322E-2</v>
      </c>
      <c r="N261" t="str">
        <f>IF(tbl_Budget[[#This Row],[Variance_%]]&gt;0.05,"Overspend",IF(tbl_Budget[[#This Row],[Variance_%]]&lt;-0.05,"Underspend","On Budget"))</f>
        <v>On Budget</v>
      </c>
    </row>
    <row r="262" spans="1:14" hidden="1">
      <c r="A262" s="1">
        <v>44986</v>
      </c>
      <c r="B262">
        <v>3</v>
      </c>
      <c r="C262" t="s">
        <v>34</v>
      </c>
      <c r="D262" t="s">
        <v>35</v>
      </c>
      <c r="E262">
        <v>2023</v>
      </c>
      <c r="F262" t="s">
        <v>28</v>
      </c>
      <c r="G262" t="s">
        <v>14</v>
      </c>
      <c r="H262" t="s">
        <v>15</v>
      </c>
      <c r="I262" t="s">
        <v>29</v>
      </c>
      <c r="J262">
        <v>54200.5</v>
      </c>
      <c r="K262">
        <v>62491.16</v>
      </c>
      <c r="L262" s="20">
        <f>tbl_Budget[[#This Row],[Actual]]-tbl_Budget[[#This Row],[Budget]]</f>
        <v>8290.6600000000035</v>
      </c>
      <c r="M262" s="3">
        <f>tbl_Budget[[#This Row],[Variance]]/tbl_Budget[[#This Row],[Budget]]</f>
        <v>0.15296279554616662</v>
      </c>
      <c r="N262" t="str">
        <f>IF(tbl_Budget[[#This Row],[Variance_%]]&gt;0.05,"Overspend",IF(tbl_Budget[[#This Row],[Variance_%]]&lt;-0.05,"Underspend","On Budget"))</f>
        <v>Overspend</v>
      </c>
    </row>
    <row r="263" spans="1:14" hidden="1">
      <c r="A263" s="1">
        <v>44986</v>
      </c>
      <c r="B263">
        <v>3</v>
      </c>
      <c r="C263" t="s">
        <v>34</v>
      </c>
      <c r="D263" t="s">
        <v>35</v>
      </c>
      <c r="E263">
        <v>2023</v>
      </c>
      <c r="F263" t="s">
        <v>28</v>
      </c>
      <c r="G263" t="s">
        <v>14</v>
      </c>
      <c r="H263" t="s">
        <v>17</v>
      </c>
      <c r="I263" t="s">
        <v>29</v>
      </c>
      <c r="J263">
        <v>52665.94</v>
      </c>
      <c r="K263">
        <v>61715.72</v>
      </c>
      <c r="L263" s="20">
        <f>tbl_Budget[[#This Row],[Actual]]-tbl_Budget[[#This Row],[Budget]]</f>
        <v>9049.7799999999988</v>
      </c>
      <c r="M263" s="3">
        <f>tbl_Budget[[#This Row],[Variance]]/tbl_Budget[[#This Row],[Budget]]</f>
        <v>0.17183363669194926</v>
      </c>
      <c r="N263" t="str">
        <f>IF(tbl_Budget[[#This Row],[Variance_%]]&gt;0.05,"Overspend",IF(tbl_Budget[[#This Row],[Variance_%]]&lt;-0.05,"Underspend","On Budget"))</f>
        <v>Overspend</v>
      </c>
    </row>
    <row r="264" spans="1:14" hidden="1">
      <c r="A264" s="1">
        <v>44986</v>
      </c>
      <c r="B264">
        <v>3</v>
      </c>
      <c r="C264" t="s">
        <v>34</v>
      </c>
      <c r="D264" t="s">
        <v>35</v>
      </c>
      <c r="E264">
        <v>2023</v>
      </c>
      <c r="F264" t="s">
        <v>28</v>
      </c>
      <c r="G264" t="s">
        <v>14</v>
      </c>
      <c r="H264" t="s">
        <v>18</v>
      </c>
      <c r="I264" t="s">
        <v>29</v>
      </c>
      <c r="J264">
        <v>54412.86</v>
      </c>
      <c r="K264">
        <v>52652.27</v>
      </c>
      <c r="L264" s="20">
        <f>tbl_Budget[[#This Row],[Actual]]-tbl_Budget[[#This Row],[Budget]]</f>
        <v>-1760.5900000000038</v>
      </c>
      <c r="M264" s="3">
        <f>tbl_Budget[[#This Row],[Variance]]/tbl_Budget[[#This Row],[Budget]]</f>
        <v>-3.2356137868878858E-2</v>
      </c>
      <c r="N264" t="str">
        <f>IF(tbl_Budget[[#This Row],[Variance_%]]&gt;0.05,"Overspend",IF(tbl_Budget[[#This Row],[Variance_%]]&lt;-0.05,"Underspend","On Budget"))</f>
        <v>On Budget</v>
      </c>
    </row>
    <row r="265" spans="1:14" hidden="1">
      <c r="A265" s="1">
        <v>44986</v>
      </c>
      <c r="B265">
        <v>3</v>
      </c>
      <c r="C265" t="s">
        <v>34</v>
      </c>
      <c r="D265" t="s">
        <v>35</v>
      </c>
      <c r="E265">
        <v>2023</v>
      </c>
      <c r="F265" t="s">
        <v>28</v>
      </c>
      <c r="G265" t="s">
        <v>14</v>
      </c>
      <c r="H265" t="s">
        <v>19</v>
      </c>
      <c r="I265" t="s">
        <v>29</v>
      </c>
      <c r="J265">
        <v>57493.38</v>
      </c>
      <c r="K265">
        <v>53332.93</v>
      </c>
      <c r="L265" s="20">
        <f>tbl_Budget[[#This Row],[Actual]]-tbl_Budget[[#This Row],[Budget]]</f>
        <v>-4160.4499999999971</v>
      </c>
      <c r="M265" s="3">
        <f>tbl_Budget[[#This Row],[Variance]]/tbl_Budget[[#This Row],[Budget]]</f>
        <v>-7.2363983470792592E-2</v>
      </c>
      <c r="N265" t="str">
        <f>IF(tbl_Budget[[#This Row],[Variance_%]]&gt;0.05,"Overspend",IF(tbl_Budget[[#This Row],[Variance_%]]&lt;-0.05,"Underspend","On Budget"))</f>
        <v>Underspend</v>
      </c>
    </row>
    <row r="266" spans="1:14" hidden="1">
      <c r="A266" s="1">
        <v>44986</v>
      </c>
      <c r="B266">
        <v>3</v>
      </c>
      <c r="C266" t="s">
        <v>34</v>
      </c>
      <c r="D266" t="s">
        <v>35</v>
      </c>
      <c r="E266">
        <v>2023</v>
      </c>
      <c r="F266" t="s">
        <v>28</v>
      </c>
      <c r="G266" t="s">
        <v>20</v>
      </c>
      <c r="H266" t="s">
        <v>15</v>
      </c>
      <c r="I266" t="s">
        <v>29</v>
      </c>
      <c r="J266">
        <v>20727.5</v>
      </c>
      <c r="K266">
        <v>18171.240000000002</v>
      </c>
      <c r="L266" s="20">
        <f>tbl_Budget[[#This Row],[Actual]]-tbl_Budget[[#This Row],[Budget]]</f>
        <v>-2556.2599999999984</v>
      </c>
      <c r="M266" s="3">
        <f>tbl_Budget[[#This Row],[Variance]]/tbl_Budget[[#This Row],[Budget]]</f>
        <v>-0.12332698106380405</v>
      </c>
      <c r="N266" t="str">
        <f>IF(tbl_Budget[[#This Row],[Variance_%]]&gt;0.05,"Overspend",IF(tbl_Budget[[#This Row],[Variance_%]]&lt;-0.05,"Underspend","On Budget"))</f>
        <v>Underspend</v>
      </c>
    </row>
    <row r="267" spans="1:14" hidden="1">
      <c r="A267" s="1">
        <v>44986</v>
      </c>
      <c r="B267">
        <v>3</v>
      </c>
      <c r="C267" t="s">
        <v>34</v>
      </c>
      <c r="D267" t="s">
        <v>35</v>
      </c>
      <c r="E267">
        <v>2023</v>
      </c>
      <c r="F267" t="s">
        <v>28</v>
      </c>
      <c r="G267" t="s">
        <v>20</v>
      </c>
      <c r="H267" t="s">
        <v>17</v>
      </c>
      <c r="I267" t="s">
        <v>29</v>
      </c>
      <c r="J267">
        <v>19755.810000000001</v>
      </c>
      <c r="K267">
        <v>16995.86</v>
      </c>
      <c r="L267" s="20">
        <f>tbl_Budget[[#This Row],[Actual]]-tbl_Budget[[#This Row],[Budget]]</f>
        <v>-2759.9500000000007</v>
      </c>
      <c r="M267" s="3">
        <f>tbl_Budget[[#This Row],[Variance]]/tbl_Budget[[#This Row],[Budget]]</f>
        <v>-0.13970320629728675</v>
      </c>
      <c r="N267" t="str">
        <f>IF(tbl_Budget[[#This Row],[Variance_%]]&gt;0.05,"Overspend",IF(tbl_Budget[[#This Row],[Variance_%]]&lt;-0.05,"Underspend","On Budget"))</f>
        <v>Underspend</v>
      </c>
    </row>
    <row r="268" spans="1:14" hidden="1">
      <c r="A268" s="1">
        <v>44986</v>
      </c>
      <c r="B268">
        <v>3</v>
      </c>
      <c r="C268" t="s">
        <v>34</v>
      </c>
      <c r="D268" t="s">
        <v>35</v>
      </c>
      <c r="E268">
        <v>2023</v>
      </c>
      <c r="F268" t="s">
        <v>28</v>
      </c>
      <c r="G268" t="s">
        <v>20</v>
      </c>
      <c r="H268" t="s">
        <v>18</v>
      </c>
      <c r="I268" t="s">
        <v>29</v>
      </c>
      <c r="J268">
        <v>20621.310000000001</v>
      </c>
      <c r="K268">
        <v>22513.81</v>
      </c>
      <c r="L268" s="20">
        <f>tbl_Budget[[#This Row],[Actual]]-tbl_Budget[[#This Row],[Budget]]</f>
        <v>1892.5</v>
      </c>
      <c r="M268" s="3">
        <f>tbl_Budget[[#This Row],[Variance]]/tbl_Budget[[#This Row],[Budget]]</f>
        <v>9.1773994959583063E-2</v>
      </c>
      <c r="N268" t="str">
        <f>IF(tbl_Budget[[#This Row],[Variance_%]]&gt;0.05,"Overspend",IF(tbl_Budget[[#This Row],[Variance_%]]&lt;-0.05,"Underspend","On Budget"))</f>
        <v>Overspend</v>
      </c>
    </row>
    <row r="269" spans="1:14" hidden="1">
      <c r="A269" s="1">
        <v>44986</v>
      </c>
      <c r="B269">
        <v>3</v>
      </c>
      <c r="C269" t="s">
        <v>34</v>
      </c>
      <c r="D269" t="s">
        <v>35</v>
      </c>
      <c r="E269">
        <v>2023</v>
      </c>
      <c r="F269" t="s">
        <v>28</v>
      </c>
      <c r="G269" t="s">
        <v>20</v>
      </c>
      <c r="H269" t="s">
        <v>19</v>
      </c>
      <c r="I269" t="s">
        <v>29</v>
      </c>
      <c r="J269">
        <v>21531.82</v>
      </c>
      <c r="K269">
        <v>24696.02</v>
      </c>
      <c r="L269" s="20">
        <f>tbl_Budget[[#This Row],[Actual]]-tbl_Budget[[#This Row],[Budget]]</f>
        <v>3164.2000000000007</v>
      </c>
      <c r="M269" s="3">
        <f>tbl_Budget[[#This Row],[Variance]]/tbl_Budget[[#This Row],[Budget]]</f>
        <v>0.14695460021493775</v>
      </c>
      <c r="N269" t="str">
        <f>IF(tbl_Budget[[#This Row],[Variance_%]]&gt;0.05,"Overspend",IF(tbl_Budget[[#This Row],[Variance_%]]&lt;-0.05,"Underspend","On Budget"))</f>
        <v>Overspend</v>
      </c>
    </row>
    <row r="270" spans="1:14">
      <c r="A270" s="1">
        <v>44986</v>
      </c>
      <c r="B270">
        <v>3</v>
      </c>
      <c r="C270" t="s">
        <v>34</v>
      </c>
      <c r="D270" t="s">
        <v>35</v>
      </c>
      <c r="E270">
        <v>2023</v>
      </c>
      <c r="F270" t="s">
        <v>28</v>
      </c>
      <c r="G270" t="s">
        <v>21</v>
      </c>
      <c r="H270" t="s">
        <v>15</v>
      </c>
      <c r="I270" t="s">
        <v>29</v>
      </c>
      <c r="J270">
        <v>11523.69</v>
      </c>
      <c r="K270">
        <v>10480.67</v>
      </c>
      <c r="L270" s="20">
        <f>tbl_Budget[[#This Row],[Actual]]-tbl_Budget[[#This Row],[Budget]]</f>
        <v>-1043.0200000000004</v>
      </c>
      <c r="M270" s="3">
        <f>tbl_Budget[[#This Row],[Variance]]/tbl_Budget[[#This Row],[Budget]]</f>
        <v>-9.0510938770480664E-2</v>
      </c>
      <c r="N270" t="str">
        <f>IF(tbl_Budget[[#This Row],[Variance_%]]&gt;0.05,"Overspend",IF(tbl_Budget[[#This Row],[Variance_%]]&lt;-0.05,"Underspend","On Budget"))</f>
        <v>Underspend</v>
      </c>
    </row>
    <row r="271" spans="1:14">
      <c r="A271" s="1">
        <v>44986</v>
      </c>
      <c r="B271">
        <v>3</v>
      </c>
      <c r="C271" t="s">
        <v>34</v>
      </c>
      <c r="D271" t="s">
        <v>35</v>
      </c>
      <c r="E271">
        <v>2023</v>
      </c>
      <c r="F271" t="s">
        <v>28</v>
      </c>
      <c r="G271" t="s">
        <v>21</v>
      </c>
      <c r="H271" t="s">
        <v>17</v>
      </c>
      <c r="I271" t="s">
        <v>29</v>
      </c>
      <c r="J271">
        <v>10995.86</v>
      </c>
      <c r="K271">
        <v>11352</v>
      </c>
      <c r="L271" s="20">
        <f>tbl_Budget[[#This Row],[Actual]]-tbl_Budget[[#This Row],[Budget]]</f>
        <v>356.13999999999942</v>
      </c>
      <c r="M271" s="3">
        <f>tbl_Budget[[#This Row],[Variance]]/tbl_Budget[[#This Row],[Budget]]</f>
        <v>3.2388553510139216E-2</v>
      </c>
      <c r="N271" t="str">
        <f>IF(tbl_Budget[[#This Row],[Variance_%]]&gt;0.05,"Overspend",IF(tbl_Budget[[#This Row],[Variance_%]]&lt;-0.05,"Underspend","On Budget"))</f>
        <v>On Budget</v>
      </c>
    </row>
    <row r="272" spans="1:14">
      <c r="A272" s="1">
        <v>44986</v>
      </c>
      <c r="B272">
        <v>3</v>
      </c>
      <c r="C272" t="s">
        <v>34</v>
      </c>
      <c r="D272" t="s">
        <v>35</v>
      </c>
      <c r="E272">
        <v>2023</v>
      </c>
      <c r="F272" t="s">
        <v>28</v>
      </c>
      <c r="G272" t="s">
        <v>21</v>
      </c>
      <c r="H272" t="s">
        <v>18</v>
      </c>
      <c r="I272" t="s">
        <v>29</v>
      </c>
      <c r="J272">
        <v>11104.26</v>
      </c>
      <c r="K272">
        <v>9703.33</v>
      </c>
      <c r="L272" s="20">
        <f>tbl_Budget[[#This Row],[Actual]]-tbl_Budget[[#This Row],[Budget]]</f>
        <v>-1400.9300000000003</v>
      </c>
      <c r="M272" s="3">
        <f>tbl_Budget[[#This Row],[Variance]]/tbl_Budget[[#This Row],[Budget]]</f>
        <v>-0.1261614911754588</v>
      </c>
      <c r="N272" t="str">
        <f>IF(tbl_Budget[[#This Row],[Variance_%]]&gt;0.05,"Overspend",IF(tbl_Budget[[#This Row],[Variance_%]]&lt;-0.05,"Underspend","On Budget"))</f>
        <v>Underspend</v>
      </c>
    </row>
    <row r="273" spans="1:14">
      <c r="A273" s="1">
        <v>44986</v>
      </c>
      <c r="B273">
        <v>3</v>
      </c>
      <c r="C273" t="s">
        <v>34</v>
      </c>
      <c r="D273" t="s">
        <v>35</v>
      </c>
      <c r="E273">
        <v>2023</v>
      </c>
      <c r="F273" t="s">
        <v>28</v>
      </c>
      <c r="G273" t="s">
        <v>21</v>
      </c>
      <c r="H273" t="s">
        <v>19</v>
      </c>
      <c r="I273" t="s">
        <v>29</v>
      </c>
      <c r="J273">
        <v>12308.18</v>
      </c>
      <c r="K273">
        <v>11172.97</v>
      </c>
      <c r="L273" s="20">
        <f>tbl_Budget[[#This Row],[Actual]]-tbl_Budget[[#This Row],[Budget]]</f>
        <v>-1135.2100000000009</v>
      </c>
      <c r="M273" s="3">
        <f>tbl_Budget[[#This Row],[Variance]]/tbl_Budget[[#This Row],[Budget]]</f>
        <v>-9.2232157800747214E-2</v>
      </c>
      <c r="N273" t="str">
        <f>IF(tbl_Budget[[#This Row],[Variance_%]]&gt;0.05,"Overspend",IF(tbl_Budget[[#This Row],[Variance_%]]&lt;-0.05,"Underspend","On Budget"))</f>
        <v>Underspend</v>
      </c>
    </row>
    <row r="274" spans="1:14" hidden="1">
      <c r="A274" s="1">
        <v>44986</v>
      </c>
      <c r="B274">
        <v>3</v>
      </c>
      <c r="C274" t="s">
        <v>34</v>
      </c>
      <c r="D274" t="s">
        <v>35</v>
      </c>
      <c r="E274">
        <v>2023</v>
      </c>
      <c r="F274" t="s">
        <v>28</v>
      </c>
      <c r="G274" t="s">
        <v>22</v>
      </c>
      <c r="H274" t="s">
        <v>15</v>
      </c>
      <c r="I274" t="s">
        <v>29</v>
      </c>
      <c r="J274">
        <v>12660.1</v>
      </c>
      <c r="K274">
        <v>13091.77</v>
      </c>
      <c r="L274" s="20">
        <f>tbl_Budget[[#This Row],[Actual]]-tbl_Budget[[#This Row],[Budget]]</f>
        <v>431.67000000000007</v>
      </c>
      <c r="M274" s="3">
        <f>tbl_Budget[[#This Row],[Variance]]/tbl_Budget[[#This Row],[Budget]]</f>
        <v>3.4096887070402294E-2</v>
      </c>
      <c r="N274" t="str">
        <f>IF(tbl_Budget[[#This Row],[Variance_%]]&gt;0.05,"Overspend",IF(tbl_Budget[[#This Row],[Variance_%]]&lt;-0.05,"Underspend","On Budget"))</f>
        <v>On Budget</v>
      </c>
    </row>
    <row r="275" spans="1:14" hidden="1">
      <c r="A275" s="1">
        <v>44986</v>
      </c>
      <c r="B275">
        <v>3</v>
      </c>
      <c r="C275" t="s">
        <v>34</v>
      </c>
      <c r="D275" t="s">
        <v>35</v>
      </c>
      <c r="E275">
        <v>2023</v>
      </c>
      <c r="F275" t="s">
        <v>28</v>
      </c>
      <c r="G275" t="s">
        <v>22</v>
      </c>
      <c r="H275" t="s">
        <v>17</v>
      </c>
      <c r="I275" t="s">
        <v>29</v>
      </c>
      <c r="J275">
        <v>11616.49</v>
      </c>
      <c r="K275">
        <v>10197.23</v>
      </c>
      <c r="L275" s="20">
        <f>tbl_Budget[[#This Row],[Actual]]-tbl_Budget[[#This Row],[Budget]]</f>
        <v>-1419.2600000000002</v>
      </c>
      <c r="M275" s="3">
        <f>tbl_Budget[[#This Row],[Variance]]/tbl_Budget[[#This Row],[Budget]]</f>
        <v>-0.12217632004159606</v>
      </c>
      <c r="N275" t="str">
        <f>IF(tbl_Budget[[#This Row],[Variance_%]]&gt;0.05,"Overspend",IF(tbl_Budget[[#This Row],[Variance_%]]&lt;-0.05,"Underspend","On Budget"))</f>
        <v>Underspend</v>
      </c>
    </row>
    <row r="276" spans="1:14" hidden="1">
      <c r="A276" s="1">
        <v>44986</v>
      </c>
      <c r="B276">
        <v>3</v>
      </c>
      <c r="C276" t="s">
        <v>34</v>
      </c>
      <c r="D276" t="s">
        <v>35</v>
      </c>
      <c r="E276">
        <v>2023</v>
      </c>
      <c r="F276" t="s">
        <v>28</v>
      </c>
      <c r="G276" t="s">
        <v>22</v>
      </c>
      <c r="H276" t="s">
        <v>18</v>
      </c>
      <c r="I276" t="s">
        <v>29</v>
      </c>
      <c r="J276">
        <v>11869.11</v>
      </c>
      <c r="K276">
        <v>12813.54</v>
      </c>
      <c r="L276" s="20">
        <f>tbl_Budget[[#This Row],[Actual]]-tbl_Budget[[#This Row],[Budget]]</f>
        <v>944.43000000000029</v>
      </c>
      <c r="M276" s="3">
        <f>tbl_Budget[[#This Row],[Variance]]/tbl_Budget[[#This Row],[Budget]]</f>
        <v>7.9570414293910846E-2</v>
      </c>
      <c r="N276" t="str">
        <f>IF(tbl_Budget[[#This Row],[Variance_%]]&gt;0.05,"Overspend",IF(tbl_Budget[[#This Row],[Variance_%]]&lt;-0.05,"Underspend","On Budget"))</f>
        <v>Overspend</v>
      </c>
    </row>
    <row r="277" spans="1:14" hidden="1">
      <c r="A277" s="1">
        <v>44986</v>
      </c>
      <c r="B277">
        <v>3</v>
      </c>
      <c r="C277" t="s">
        <v>34</v>
      </c>
      <c r="D277" t="s">
        <v>35</v>
      </c>
      <c r="E277">
        <v>2023</v>
      </c>
      <c r="F277" t="s">
        <v>28</v>
      </c>
      <c r="G277" t="s">
        <v>22</v>
      </c>
      <c r="H277" t="s">
        <v>19</v>
      </c>
      <c r="I277" t="s">
        <v>29</v>
      </c>
      <c r="J277">
        <v>12486.56</v>
      </c>
      <c r="K277">
        <v>13048.23</v>
      </c>
      <c r="L277" s="20">
        <f>tbl_Budget[[#This Row],[Actual]]-tbl_Budget[[#This Row],[Budget]]</f>
        <v>561.67000000000007</v>
      </c>
      <c r="M277" s="3">
        <f>tbl_Budget[[#This Row],[Variance]]/tbl_Budget[[#This Row],[Budget]]</f>
        <v>4.49819646083469E-2</v>
      </c>
      <c r="N277" t="str">
        <f>IF(tbl_Budget[[#This Row],[Variance_%]]&gt;0.05,"Overspend",IF(tbl_Budget[[#This Row],[Variance_%]]&lt;-0.05,"Underspend","On Budget"))</f>
        <v>On Budget</v>
      </c>
    </row>
    <row r="278" spans="1:14" hidden="1">
      <c r="A278" s="1">
        <v>44986</v>
      </c>
      <c r="B278">
        <v>3</v>
      </c>
      <c r="C278" t="s">
        <v>34</v>
      </c>
      <c r="D278" t="s">
        <v>35</v>
      </c>
      <c r="E278">
        <v>2023</v>
      </c>
      <c r="F278" t="s">
        <v>28</v>
      </c>
      <c r="G278" t="s">
        <v>23</v>
      </c>
      <c r="H278" t="s">
        <v>15</v>
      </c>
      <c r="I278" t="s">
        <v>29</v>
      </c>
      <c r="J278">
        <v>8035.1</v>
      </c>
      <c r="K278">
        <v>7579.17</v>
      </c>
      <c r="L278" s="20">
        <f>tbl_Budget[[#This Row],[Actual]]-tbl_Budget[[#This Row],[Budget]]</f>
        <v>-455.93000000000029</v>
      </c>
      <c r="M278" s="3">
        <f>tbl_Budget[[#This Row],[Variance]]/tbl_Budget[[#This Row],[Budget]]</f>
        <v>-5.6742293188634899E-2</v>
      </c>
      <c r="N278" t="str">
        <f>IF(tbl_Budget[[#This Row],[Variance_%]]&gt;0.05,"Overspend",IF(tbl_Budget[[#This Row],[Variance_%]]&lt;-0.05,"Underspend","On Budget"))</f>
        <v>Underspend</v>
      </c>
    </row>
    <row r="279" spans="1:14" hidden="1">
      <c r="A279" s="1">
        <v>44986</v>
      </c>
      <c r="B279">
        <v>3</v>
      </c>
      <c r="C279" t="s">
        <v>34</v>
      </c>
      <c r="D279" t="s">
        <v>35</v>
      </c>
      <c r="E279">
        <v>2023</v>
      </c>
      <c r="F279" t="s">
        <v>28</v>
      </c>
      <c r="G279" t="s">
        <v>23</v>
      </c>
      <c r="H279" t="s">
        <v>17</v>
      </c>
      <c r="I279" t="s">
        <v>29</v>
      </c>
      <c r="J279">
        <v>7501.33</v>
      </c>
      <c r="K279">
        <v>7428.41</v>
      </c>
      <c r="L279" s="20">
        <f>tbl_Budget[[#This Row],[Actual]]-tbl_Budget[[#This Row],[Budget]]</f>
        <v>-72.920000000000073</v>
      </c>
      <c r="M279" s="3">
        <f>tbl_Budget[[#This Row],[Variance]]/tbl_Budget[[#This Row],[Budget]]</f>
        <v>-9.720942819473357E-3</v>
      </c>
      <c r="N279" t="str">
        <f>IF(tbl_Budget[[#This Row],[Variance_%]]&gt;0.05,"Overspend",IF(tbl_Budget[[#This Row],[Variance_%]]&lt;-0.05,"Underspend","On Budget"))</f>
        <v>On Budget</v>
      </c>
    </row>
    <row r="280" spans="1:14" hidden="1">
      <c r="A280" s="1">
        <v>44986</v>
      </c>
      <c r="B280">
        <v>3</v>
      </c>
      <c r="C280" t="s">
        <v>34</v>
      </c>
      <c r="D280" t="s">
        <v>35</v>
      </c>
      <c r="E280">
        <v>2023</v>
      </c>
      <c r="F280" t="s">
        <v>28</v>
      </c>
      <c r="G280" t="s">
        <v>23</v>
      </c>
      <c r="H280" t="s">
        <v>18</v>
      </c>
      <c r="I280" t="s">
        <v>29</v>
      </c>
      <c r="J280">
        <v>7733.26</v>
      </c>
      <c r="K280">
        <v>8095.2</v>
      </c>
      <c r="L280" s="20">
        <f>tbl_Budget[[#This Row],[Actual]]-tbl_Budget[[#This Row],[Budget]]</f>
        <v>361.9399999999996</v>
      </c>
      <c r="M280" s="3">
        <f>tbl_Budget[[#This Row],[Variance]]/tbl_Budget[[#This Row],[Budget]]</f>
        <v>4.6803030028732977E-2</v>
      </c>
      <c r="N280" t="str">
        <f>IF(tbl_Budget[[#This Row],[Variance_%]]&gt;0.05,"Overspend",IF(tbl_Budget[[#This Row],[Variance_%]]&lt;-0.05,"Underspend","On Budget"))</f>
        <v>On Budget</v>
      </c>
    </row>
    <row r="281" spans="1:14" hidden="1">
      <c r="A281" s="1">
        <v>44986</v>
      </c>
      <c r="B281">
        <v>3</v>
      </c>
      <c r="C281" t="s">
        <v>34</v>
      </c>
      <c r="D281" t="s">
        <v>35</v>
      </c>
      <c r="E281">
        <v>2023</v>
      </c>
      <c r="F281" t="s">
        <v>28</v>
      </c>
      <c r="G281" t="s">
        <v>23</v>
      </c>
      <c r="H281" t="s">
        <v>19</v>
      </c>
      <c r="I281" t="s">
        <v>29</v>
      </c>
      <c r="J281">
        <v>8400.7900000000009</v>
      </c>
      <c r="K281">
        <v>8354.23</v>
      </c>
      <c r="L281" s="20">
        <f>tbl_Budget[[#This Row],[Actual]]-tbl_Budget[[#This Row],[Budget]]</f>
        <v>-46.56000000000131</v>
      </c>
      <c r="M281" s="3">
        <f>tbl_Budget[[#This Row],[Variance]]/tbl_Budget[[#This Row],[Budget]]</f>
        <v>-5.5423358993620013E-3</v>
      </c>
      <c r="N281" t="str">
        <f>IF(tbl_Budget[[#This Row],[Variance_%]]&gt;0.05,"Overspend",IF(tbl_Budget[[#This Row],[Variance_%]]&lt;-0.05,"Underspend","On Budget"))</f>
        <v>On Budget</v>
      </c>
    </row>
    <row r="282" spans="1:14" hidden="1">
      <c r="A282" s="1">
        <v>44986</v>
      </c>
      <c r="B282">
        <v>3</v>
      </c>
      <c r="C282" t="s">
        <v>34</v>
      </c>
      <c r="D282" t="s">
        <v>35</v>
      </c>
      <c r="E282">
        <v>2023</v>
      </c>
      <c r="F282" t="s">
        <v>30</v>
      </c>
      <c r="G282" t="s">
        <v>14</v>
      </c>
      <c r="H282" t="s">
        <v>15</v>
      </c>
      <c r="I282" t="s">
        <v>31</v>
      </c>
      <c r="J282">
        <v>42721.93</v>
      </c>
      <c r="K282">
        <v>44004.42</v>
      </c>
      <c r="L282" s="20">
        <f>tbl_Budget[[#This Row],[Actual]]-tbl_Budget[[#This Row],[Budget]]</f>
        <v>1282.489999999998</v>
      </c>
      <c r="M282" s="3">
        <f>tbl_Budget[[#This Row],[Variance]]/tbl_Budget[[#This Row],[Budget]]</f>
        <v>3.001947711631937E-2</v>
      </c>
      <c r="N282" t="str">
        <f>IF(tbl_Budget[[#This Row],[Variance_%]]&gt;0.05,"Overspend",IF(tbl_Budget[[#This Row],[Variance_%]]&lt;-0.05,"Underspend","On Budget"))</f>
        <v>On Budget</v>
      </c>
    </row>
    <row r="283" spans="1:14" hidden="1">
      <c r="A283" s="1">
        <v>44986</v>
      </c>
      <c r="B283">
        <v>3</v>
      </c>
      <c r="C283" t="s">
        <v>34</v>
      </c>
      <c r="D283" t="s">
        <v>35</v>
      </c>
      <c r="E283">
        <v>2023</v>
      </c>
      <c r="F283" t="s">
        <v>30</v>
      </c>
      <c r="G283" t="s">
        <v>14</v>
      </c>
      <c r="H283" t="s">
        <v>17</v>
      </c>
      <c r="I283" t="s">
        <v>31</v>
      </c>
      <c r="J283">
        <v>41641.68</v>
      </c>
      <c r="K283">
        <v>40262.67</v>
      </c>
      <c r="L283" s="20">
        <f>tbl_Budget[[#This Row],[Actual]]-tbl_Budget[[#This Row],[Budget]]</f>
        <v>-1379.010000000002</v>
      </c>
      <c r="M283" s="3">
        <f>tbl_Budget[[#This Row],[Variance]]/tbl_Budget[[#This Row],[Budget]]</f>
        <v>-3.3116099062285721E-2</v>
      </c>
      <c r="N283" t="str">
        <f>IF(tbl_Budget[[#This Row],[Variance_%]]&gt;0.05,"Overspend",IF(tbl_Budget[[#This Row],[Variance_%]]&lt;-0.05,"Underspend","On Budget"))</f>
        <v>On Budget</v>
      </c>
    </row>
    <row r="284" spans="1:14" hidden="1">
      <c r="A284" s="1">
        <v>44986</v>
      </c>
      <c r="B284">
        <v>3</v>
      </c>
      <c r="C284" t="s">
        <v>34</v>
      </c>
      <c r="D284" t="s">
        <v>35</v>
      </c>
      <c r="E284">
        <v>2023</v>
      </c>
      <c r="F284" t="s">
        <v>30</v>
      </c>
      <c r="G284" t="s">
        <v>14</v>
      </c>
      <c r="H284" t="s">
        <v>18</v>
      </c>
      <c r="I284" t="s">
        <v>31</v>
      </c>
      <c r="J284">
        <v>42458.3</v>
      </c>
      <c r="K284">
        <v>42930.33</v>
      </c>
      <c r="L284" s="20">
        <f>tbl_Budget[[#This Row],[Actual]]-tbl_Budget[[#This Row],[Budget]]</f>
        <v>472.02999999999884</v>
      </c>
      <c r="M284" s="3">
        <f>tbl_Budget[[#This Row],[Variance]]/tbl_Budget[[#This Row],[Budget]]</f>
        <v>1.11174964612337E-2</v>
      </c>
      <c r="N284" t="str">
        <f>IF(tbl_Budget[[#This Row],[Variance_%]]&gt;0.05,"Overspend",IF(tbl_Budget[[#This Row],[Variance_%]]&lt;-0.05,"Underspend","On Budget"))</f>
        <v>On Budget</v>
      </c>
    </row>
    <row r="285" spans="1:14" hidden="1">
      <c r="A285" s="1">
        <v>44986</v>
      </c>
      <c r="B285">
        <v>3</v>
      </c>
      <c r="C285" t="s">
        <v>34</v>
      </c>
      <c r="D285" t="s">
        <v>35</v>
      </c>
      <c r="E285">
        <v>2023</v>
      </c>
      <c r="F285" t="s">
        <v>30</v>
      </c>
      <c r="G285" t="s">
        <v>14</v>
      </c>
      <c r="H285" t="s">
        <v>19</v>
      </c>
      <c r="I285" t="s">
        <v>31</v>
      </c>
      <c r="J285">
        <v>46984.46</v>
      </c>
      <c r="K285">
        <v>45200.38</v>
      </c>
      <c r="L285" s="20">
        <f>tbl_Budget[[#This Row],[Actual]]-tbl_Budget[[#This Row],[Budget]]</f>
        <v>-1784.0800000000017</v>
      </c>
      <c r="M285" s="3">
        <f>tbl_Budget[[#This Row],[Variance]]/tbl_Budget[[#This Row],[Budget]]</f>
        <v>-3.7971703835693794E-2</v>
      </c>
      <c r="N285" t="str">
        <f>IF(tbl_Budget[[#This Row],[Variance_%]]&gt;0.05,"Overspend",IF(tbl_Budget[[#This Row],[Variance_%]]&lt;-0.05,"Underspend","On Budget"))</f>
        <v>On Budget</v>
      </c>
    </row>
    <row r="286" spans="1:14" hidden="1">
      <c r="A286" s="1">
        <v>44986</v>
      </c>
      <c r="B286">
        <v>3</v>
      </c>
      <c r="C286" t="s">
        <v>34</v>
      </c>
      <c r="D286" t="s">
        <v>35</v>
      </c>
      <c r="E286">
        <v>2023</v>
      </c>
      <c r="F286" t="s">
        <v>30</v>
      </c>
      <c r="G286" t="s">
        <v>20</v>
      </c>
      <c r="H286" t="s">
        <v>15</v>
      </c>
      <c r="I286" t="s">
        <v>31</v>
      </c>
      <c r="J286">
        <v>17126.55</v>
      </c>
      <c r="K286">
        <v>17730.5</v>
      </c>
      <c r="L286" s="20">
        <f>tbl_Budget[[#This Row],[Actual]]-tbl_Budget[[#This Row],[Budget]]</f>
        <v>603.95000000000073</v>
      </c>
      <c r="M286" s="3">
        <f>tbl_Budget[[#This Row],[Variance]]/tbl_Budget[[#This Row],[Budget]]</f>
        <v>3.5263961510053149E-2</v>
      </c>
      <c r="N286" t="str">
        <f>IF(tbl_Budget[[#This Row],[Variance_%]]&gt;0.05,"Overspend",IF(tbl_Budget[[#This Row],[Variance_%]]&lt;-0.05,"Underspend","On Budget"))</f>
        <v>On Budget</v>
      </c>
    </row>
    <row r="287" spans="1:14" hidden="1">
      <c r="A287" s="1">
        <v>44986</v>
      </c>
      <c r="B287">
        <v>3</v>
      </c>
      <c r="C287" t="s">
        <v>34</v>
      </c>
      <c r="D287" t="s">
        <v>35</v>
      </c>
      <c r="E287">
        <v>2023</v>
      </c>
      <c r="F287" t="s">
        <v>30</v>
      </c>
      <c r="G287" t="s">
        <v>20</v>
      </c>
      <c r="H287" t="s">
        <v>17</v>
      </c>
      <c r="I287" t="s">
        <v>31</v>
      </c>
      <c r="J287">
        <v>15922.68</v>
      </c>
      <c r="K287">
        <v>16417.77</v>
      </c>
      <c r="L287" s="20">
        <f>tbl_Budget[[#This Row],[Actual]]-tbl_Budget[[#This Row],[Budget]]</f>
        <v>495.09000000000015</v>
      </c>
      <c r="M287" s="3">
        <f>tbl_Budget[[#This Row],[Variance]]/tbl_Budget[[#This Row],[Budget]]</f>
        <v>3.1093383777102857E-2</v>
      </c>
      <c r="N287" t="str">
        <f>IF(tbl_Budget[[#This Row],[Variance_%]]&gt;0.05,"Overspend",IF(tbl_Budget[[#This Row],[Variance_%]]&lt;-0.05,"Underspend","On Budget"))</f>
        <v>On Budget</v>
      </c>
    </row>
    <row r="288" spans="1:14" hidden="1">
      <c r="A288" s="1">
        <v>44986</v>
      </c>
      <c r="B288">
        <v>3</v>
      </c>
      <c r="C288" t="s">
        <v>34</v>
      </c>
      <c r="D288" t="s">
        <v>35</v>
      </c>
      <c r="E288">
        <v>2023</v>
      </c>
      <c r="F288" t="s">
        <v>30</v>
      </c>
      <c r="G288" t="s">
        <v>20</v>
      </c>
      <c r="H288" t="s">
        <v>18</v>
      </c>
      <c r="I288" t="s">
        <v>31</v>
      </c>
      <c r="J288">
        <v>16159.01</v>
      </c>
      <c r="K288">
        <v>16264.76</v>
      </c>
      <c r="L288" s="20">
        <f>tbl_Budget[[#This Row],[Actual]]-tbl_Budget[[#This Row],[Budget]]</f>
        <v>105.75</v>
      </c>
      <c r="M288" s="3">
        <f>tbl_Budget[[#This Row],[Variance]]/tbl_Budget[[#This Row],[Budget]]</f>
        <v>6.5443365651732376E-3</v>
      </c>
      <c r="N288" t="str">
        <f>IF(tbl_Budget[[#This Row],[Variance_%]]&gt;0.05,"Overspend",IF(tbl_Budget[[#This Row],[Variance_%]]&lt;-0.05,"Underspend","On Budget"))</f>
        <v>On Budget</v>
      </c>
    </row>
    <row r="289" spans="1:14" hidden="1">
      <c r="A289" s="1">
        <v>44986</v>
      </c>
      <c r="B289">
        <v>3</v>
      </c>
      <c r="C289" t="s">
        <v>34</v>
      </c>
      <c r="D289" t="s">
        <v>35</v>
      </c>
      <c r="E289">
        <v>2023</v>
      </c>
      <c r="F289" t="s">
        <v>30</v>
      </c>
      <c r="G289" t="s">
        <v>20</v>
      </c>
      <c r="H289" t="s">
        <v>19</v>
      </c>
      <c r="I289" t="s">
        <v>31</v>
      </c>
      <c r="J289">
        <v>17658.060000000001</v>
      </c>
      <c r="K289">
        <v>18183.11</v>
      </c>
      <c r="L289" s="20">
        <f>tbl_Budget[[#This Row],[Actual]]-tbl_Budget[[#This Row],[Budget]]</f>
        <v>525.04999999999927</v>
      </c>
      <c r="M289" s="3">
        <f>tbl_Budget[[#This Row],[Variance]]/tbl_Budget[[#This Row],[Budget]]</f>
        <v>2.973429697260057E-2</v>
      </c>
      <c r="N289" t="str">
        <f>IF(tbl_Budget[[#This Row],[Variance_%]]&gt;0.05,"Overspend",IF(tbl_Budget[[#This Row],[Variance_%]]&lt;-0.05,"Underspend","On Budget"))</f>
        <v>On Budget</v>
      </c>
    </row>
    <row r="290" spans="1:14">
      <c r="A290" s="1">
        <v>44986</v>
      </c>
      <c r="B290">
        <v>3</v>
      </c>
      <c r="C290" t="s">
        <v>34</v>
      </c>
      <c r="D290" t="s">
        <v>35</v>
      </c>
      <c r="E290">
        <v>2023</v>
      </c>
      <c r="F290" t="s">
        <v>30</v>
      </c>
      <c r="G290" t="s">
        <v>21</v>
      </c>
      <c r="H290" t="s">
        <v>15</v>
      </c>
      <c r="I290" t="s">
        <v>31</v>
      </c>
      <c r="J290">
        <v>6905.13</v>
      </c>
      <c r="K290">
        <v>7236.6</v>
      </c>
      <c r="L290" s="20">
        <f>tbl_Budget[[#This Row],[Actual]]-tbl_Budget[[#This Row],[Budget]]</f>
        <v>331.47000000000025</v>
      </c>
      <c r="M290" s="3">
        <f>tbl_Budget[[#This Row],[Variance]]/tbl_Budget[[#This Row],[Budget]]</f>
        <v>4.8003440920011679E-2</v>
      </c>
      <c r="N290" t="str">
        <f>IF(tbl_Budget[[#This Row],[Variance_%]]&gt;0.05,"Overspend",IF(tbl_Budget[[#This Row],[Variance_%]]&lt;-0.05,"Underspend","On Budget"))</f>
        <v>On Budget</v>
      </c>
    </row>
    <row r="291" spans="1:14">
      <c r="A291" s="1">
        <v>44986</v>
      </c>
      <c r="B291">
        <v>3</v>
      </c>
      <c r="C291" t="s">
        <v>34</v>
      </c>
      <c r="D291" t="s">
        <v>35</v>
      </c>
      <c r="E291">
        <v>2023</v>
      </c>
      <c r="F291" t="s">
        <v>30</v>
      </c>
      <c r="G291" t="s">
        <v>21</v>
      </c>
      <c r="H291" t="s">
        <v>17</v>
      </c>
      <c r="I291" t="s">
        <v>31</v>
      </c>
      <c r="J291">
        <v>6849.94</v>
      </c>
      <c r="K291">
        <v>6536.97</v>
      </c>
      <c r="L291" s="20">
        <f>tbl_Budget[[#This Row],[Actual]]-tbl_Budget[[#This Row],[Budget]]</f>
        <v>-312.96999999999935</v>
      </c>
      <c r="M291" s="3">
        <f>tbl_Budget[[#This Row],[Variance]]/tbl_Budget[[#This Row],[Budget]]</f>
        <v>-4.56894512944638E-2</v>
      </c>
      <c r="N291" t="str">
        <f>IF(tbl_Budget[[#This Row],[Variance_%]]&gt;0.05,"Overspend",IF(tbl_Budget[[#This Row],[Variance_%]]&lt;-0.05,"Underspend","On Budget"))</f>
        <v>On Budget</v>
      </c>
    </row>
    <row r="292" spans="1:14">
      <c r="A292" s="1">
        <v>44986</v>
      </c>
      <c r="B292">
        <v>3</v>
      </c>
      <c r="C292" t="s">
        <v>34</v>
      </c>
      <c r="D292" t="s">
        <v>35</v>
      </c>
      <c r="E292">
        <v>2023</v>
      </c>
      <c r="F292" t="s">
        <v>30</v>
      </c>
      <c r="G292" t="s">
        <v>21</v>
      </c>
      <c r="H292" t="s">
        <v>18</v>
      </c>
      <c r="I292" t="s">
        <v>31</v>
      </c>
      <c r="J292">
        <v>6967.28</v>
      </c>
      <c r="K292">
        <v>6698.63</v>
      </c>
      <c r="L292" s="20">
        <f>tbl_Budget[[#This Row],[Actual]]-tbl_Budget[[#This Row],[Budget]]</f>
        <v>-268.64999999999964</v>
      </c>
      <c r="M292" s="3">
        <f>tbl_Budget[[#This Row],[Variance]]/tbl_Budget[[#This Row],[Budget]]</f>
        <v>-3.8558806306047647E-2</v>
      </c>
      <c r="N292" t="str">
        <f>IF(tbl_Budget[[#This Row],[Variance_%]]&gt;0.05,"Overspend",IF(tbl_Budget[[#This Row],[Variance_%]]&lt;-0.05,"Underspend","On Budget"))</f>
        <v>On Budget</v>
      </c>
    </row>
    <row r="293" spans="1:14">
      <c r="A293" s="1">
        <v>44986</v>
      </c>
      <c r="B293">
        <v>3</v>
      </c>
      <c r="C293" t="s">
        <v>34</v>
      </c>
      <c r="D293" t="s">
        <v>35</v>
      </c>
      <c r="E293">
        <v>2023</v>
      </c>
      <c r="F293" t="s">
        <v>30</v>
      </c>
      <c r="G293" t="s">
        <v>21</v>
      </c>
      <c r="H293" t="s">
        <v>19</v>
      </c>
      <c r="I293" t="s">
        <v>31</v>
      </c>
      <c r="J293">
        <v>7293.44</v>
      </c>
      <c r="K293">
        <v>7511.17</v>
      </c>
      <c r="L293" s="20">
        <f>tbl_Budget[[#This Row],[Actual]]-tbl_Budget[[#This Row],[Budget]]</f>
        <v>217.73000000000047</v>
      </c>
      <c r="M293" s="3">
        <f>tbl_Budget[[#This Row],[Variance]]/tbl_Budget[[#This Row],[Budget]]</f>
        <v>2.9852854071604137E-2</v>
      </c>
      <c r="N293" t="str">
        <f>IF(tbl_Budget[[#This Row],[Variance_%]]&gt;0.05,"Overspend",IF(tbl_Budget[[#This Row],[Variance_%]]&lt;-0.05,"Underspend","On Budget"))</f>
        <v>On Budget</v>
      </c>
    </row>
    <row r="294" spans="1:14" hidden="1">
      <c r="A294" s="1">
        <v>44986</v>
      </c>
      <c r="B294">
        <v>3</v>
      </c>
      <c r="C294" t="s">
        <v>34</v>
      </c>
      <c r="D294" t="s">
        <v>35</v>
      </c>
      <c r="E294">
        <v>2023</v>
      </c>
      <c r="F294" t="s">
        <v>30</v>
      </c>
      <c r="G294" t="s">
        <v>22</v>
      </c>
      <c r="H294" t="s">
        <v>15</v>
      </c>
      <c r="I294" t="s">
        <v>31</v>
      </c>
      <c r="J294">
        <v>7288.51</v>
      </c>
      <c r="K294">
        <v>7172.25</v>
      </c>
      <c r="L294" s="20">
        <f>tbl_Budget[[#This Row],[Actual]]-tbl_Budget[[#This Row],[Budget]]</f>
        <v>-116.26000000000022</v>
      </c>
      <c r="M294" s="3">
        <f>tbl_Budget[[#This Row],[Variance]]/tbl_Budget[[#This Row],[Budget]]</f>
        <v>-1.5951134045230124E-2</v>
      </c>
      <c r="N294" t="str">
        <f>IF(tbl_Budget[[#This Row],[Variance_%]]&gt;0.05,"Overspend",IF(tbl_Budget[[#This Row],[Variance_%]]&lt;-0.05,"Underspend","On Budget"))</f>
        <v>On Budget</v>
      </c>
    </row>
    <row r="295" spans="1:14" hidden="1">
      <c r="A295" s="1">
        <v>44986</v>
      </c>
      <c r="B295">
        <v>3</v>
      </c>
      <c r="C295" t="s">
        <v>34</v>
      </c>
      <c r="D295" t="s">
        <v>35</v>
      </c>
      <c r="E295">
        <v>2023</v>
      </c>
      <c r="F295" t="s">
        <v>30</v>
      </c>
      <c r="G295" t="s">
        <v>22</v>
      </c>
      <c r="H295" t="s">
        <v>17</v>
      </c>
      <c r="I295" t="s">
        <v>31</v>
      </c>
      <c r="J295">
        <v>7012.73</v>
      </c>
      <c r="K295">
        <v>6963.16</v>
      </c>
      <c r="L295" s="20">
        <f>tbl_Budget[[#This Row],[Actual]]-tbl_Budget[[#This Row],[Budget]]</f>
        <v>-49.569999999999709</v>
      </c>
      <c r="M295" s="3">
        <f>tbl_Budget[[#This Row],[Variance]]/tbl_Budget[[#This Row],[Budget]]</f>
        <v>-7.0685738649569731E-3</v>
      </c>
      <c r="N295" t="str">
        <f>IF(tbl_Budget[[#This Row],[Variance_%]]&gt;0.05,"Overspend",IF(tbl_Budget[[#This Row],[Variance_%]]&lt;-0.05,"Underspend","On Budget"))</f>
        <v>On Budget</v>
      </c>
    </row>
    <row r="296" spans="1:14" hidden="1">
      <c r="A296" s="1">
        <v>44986</v>
      </c>
      <c r="B296">
        <v>3</v>
      </c>
      <c r="C296" t="s">
        <v>34</v>
      </c>
      <c r="D296" t="s">
        <v>35</v>
      </c>
      <c r="E296">
        <v>2023</v>
      </c>
      <c r="F296" t="s">
        <v>30</v>
      </c>
      <c r="G296" t="s">
        <v>22</v>
      </c>
      <c r="H296" t="s">
        <v>18</v>
      </c>
      <c r="I296" t="s">
        <v>31</v>
      </c>
      <c r="J296">
        <v>7307.27</v>
      </c>
      <c r="K296">
        <v>7239.45</v>
      </c>
      <c r="L296" s="20">
        <f>tbl_Budget[[#This Row],[Actual]]-tbl_Budget[[#This Row],[Budget]]</f>
        <v>-67.820000000000618</v>
      </c>
      <c r="M296" s="3">
        <f>tbl_Budget[[#This Row],[Variance]]/tbl_Budget[[#This Row],[Budget]]</f>
        <v>-9.2811679327574614E-3</v>
      </c>
      <c r="N296" t="str">
        <f>IF(tbl_Budget[[#This Row],[Variance_%]]&gt;0.05,"Overspend",IF(tbl_Budget[[#This Row],[Variance_%]]&lt;-0.05,"Underspend","On Budget"))</f>
        <v>On Budget</v>
      </c>
    </row>
    <row r="297" spans="1:14" hidden="1">
      <c r="A297" s="1">
        <v>44986</v>
      </c>
      <c r="B297">
        <v>3</v>
      </c>
      <c r="C297" t="s">
        <v>34</v>
      </c>
      <c r="D297" t="s">
        <v>35</v>
      </c>
      <c r="E297">
        <v>2023</v>
      </c>
      <c r="F297" t="s">
        <v>30</v>
      </c>
      <c r="G297" t="s">
        <v>22</v>
      </c>
      <c r="H297" t="s">
        <v>19</v>
      </c>
      <c r="I297" t="s">
        <v>31</v>
      </c>
      <c r="J297">
        <v>7563.59</v>
      </c>
      <c r="K297">
        <v>7428.28</v>
      </c>
      <c r="L297" s="20">
        <f>tbl_Budget[[#This Row],[Actual]]-tbl_Budget[[#This Row],[Budget]]</f>
        <v>-135.3100000000004</v>
      </c>
      <c r="M297" s="3">
        <f>tbl_Budget[[#This Row],[Variance]]/tbl_Budget[[#This Row],[Budget]]</f>
        <v>-1.7889652929362961E-2</v>
      </c>
      <c r="N297" t="str">
        <f>IF(tbl_Budget[[#This Row],[Variance_%]]&gt;0.05,"Overspend",IF(tbl_Budget[[#This Row],[Variance_%]]&lt;-0.05,"Underspend","On Budget"))</f>
        <v>On Budget</v>
      </c>
    </row>
    <row r="298" spans="1:14" hidden="1">
      <c r="A298" s="1">
        <v>44986</v>
      </c>
      <c r="B298">
        <v>3</v>
      </c>
      <c r="C298" t="s">
        <v>34</v>
      </c>
      <c r="D298" t="s">
        <v>35</v>
      </c>
      <c r="E298">
        <v>2023</v>
      </c>
      <c r="F298" t="s">
        <v>30</v>
      </c>
      <c r="G298" t="s">
        <v>23</v>
      </c>
      <c r="H298" t="s">
        <v>15</v>
      </c>
      <c r="I298" t="s">
        <v>31</v>
      </c>
      <c r="J298">
        <v>6159.87</v>
      </c>
      <c r="K298">
        <v>6253.42</v>
      </c>
      <c r="L298" s="20">
        <f>tbl_Budget[[#This Row],[Actual]]-tbl_Budget[[#This Row],[Budget]]</f>
        <v>93.550000000000182</v>
      </c>
      <c r="M298" s="3">
        <f>tbl_Budget[[#This Row],[Variance]]/tbl_Budget[[#This Row],[Budget]]</f>
        <v>1.5187008816744538E-2</v>
      </c>
      <c r="N298" t="str">
        <f>IF(tbl_Budget[[#This Row],[Variance_%]]&gt;0.05,"Overspend",IF(tbl_Budget[[#This Row],[Variance_%]]&lt;-0.05,"Underspend","On Budget"))</f>
        <v>On Budget</v>
      </c>
    </row>
    <row r="299" spans="1:14" hidden="1">
      <c r="A299" s="1">
        <v>44986</v>
      </c>
      <c r="B299">
        <v>3</v>
      </c>
      <c r="C299" t="s">
        <v>34</v>
      </c>
      <c r="D299" t="s">
        <v>35</v>
      </c>
      <c r="E299">
        <v>2023</v>
      </c>
      <c r="F299" t="s">
        <v>30</v>
      </c>
      <c r="G299" t="s">
        <v>23</v>
      </c>
      <c r="H299" t="s">
        <v>17</v>
      </c>
      <c r="I299" t="s">
        <v>31</v>
      </c>
      <c r="J299">
        <v>6145.11</v>
      </c>
      <c r="K299">
        <v>5939.52</v>
      </c>
      <c r="L299" s="20">
        <f>tbl_Budget[[#This Row],[Actual]]-tbl_Budget[[#This Row],[Budget]]</f>
        <v>-205.58999999999924</v>
      </c>
      <c r="M299" s="3">
        <f>tbl_Budget[[#This Row],[Variance]]/tbl_Budget[[#This Row],[Budget]]</f>
        <v>-3.3455869789149301E-2</v>
      </c>
      <c r="N299" t="str">
        <f>IF(tbl_Budget[[#This Row],[Variance_%]]&gt;0.05,"Overspend",IF(tbl_Budget[[#This Row],[Variance_%]]&lt;-0.05,"Underspend","On Budget"))</f>
        <v>On Budget</v>
      </c>
    </row>
    <row r="300" spans="1:14" hidden="1">
      <c r="A300" s="1">
        <v>44986</v>
      </c>
      <c r="B300">
        <v>3</v>
      </c>
      <c r="C300" t="s">
        <v>34</v>
      </c>
      <c r="D300" t="s">
        <v>35</v>
      </c>
      <c r="E300">
        <v>2023</v>
      </c>
      <c r="F300" t="s">
        <v>30</v>
      </c>
      <c r="G300" t="s">
        <v>23</v>
      </c>
      <c r="H300" t="s">
        <v>18</v>
      </c>
      <c r="I300" t="s">
        <v>31</v>
      </c>
      <c r="J300">
        <v>6196.77</v>
      </c>
      <c r="K300">
        <v>6404.34</v>
      </c>
      <c r="L300" s="20">
        <f>tbl_Budget[[#This Row],[Actual]]-tbl_Budget[[#This Row],[Budget]]</f>
        <v>207.56999999999971</v>
      </c>
      <c r="M300" s="3">
        <f>tbl_Budget[[#This Row],[Variance]]/tbl_Budget[[#This Row],[Budget]]</f>
        <v>3.3496482845095057E-2</v>
      </c>
      <c r="N300" t="str">
        <f>IF(tbl_Budget[[#This Row],[Variance_%]]&gt;0.05,"Overspend",IF(tbl_Budget[[#This Row],[Variance_%]]&lt;-0.05,"Underspend","On Budget"))</f>
        <v>On Budget</v>
      </c>
    </row>
    <row r="301" spans="1:14" hidden="1">
      <c r="A301" s="1">
        <v>44986</v>
      </c>
      <c r="B301">
        <v>3</v>
      </c>
      <c r="C301" t="s">
        <v>34</v>
      </c>
      <c r="D301" t="s">
        <v>35</v>
      </c>
      <c r="E301">
        <v>2023</v>
      </c>
      <c r="F301" t="s">
        <v>30</v>
      </c>
      <c r="G301" t="s">
        <v>23</v>
      </c>
      <c r="H301" t="s">
        <v>19</v>
      </c>
      <c r="I301" t="s">
        <v>31</v>
      </c>
      <c r="J301">
        <v>6414.45</v>
      </c>
      <c r="K301">
        <v>6215.62</v>
      </c>
      <c r="L301" s="20">
        <f>tbl_Budget[[#This Row],[Actual]]-tbl_Budget[[#This Row],[Budget]]</f>
        <v>-198.82999999999993</v>
      </c>
      <c r="M301" s="3">
        <f>tbl_Budget[[#This Row],[Variance]]/tbl_Budget[[#This Row],[Budget]]</f>
        <v>-3.0997201630693191E-2</v>
      </c>
      <c r="N301" t="str">
        <f>IF(tbl_Budget[[#This Row],[Variance_%]]&gt;0.05,"Overspend",IF(tbl_Budget[[#This Row],[Variance_%]]&lt;-0.05,"Underspend","On Budget"))</f>
        <v>On Budget</v>
      </c>
    </row>
    <row r="302" spans="1:14" hidden="1">
      <c r="A302" s="1">
        <v>45017</v>
      </c>
      <c r="B302">
        <v>4</v>
      </c>
      <c r="C302" t="s">
        <v>36</v>
      </c>
      <c r="D302" t="s">
        <v>37</v>
      </c>
      <c r="E302">
        <v>2023</v>
      </c>
      <c r="F302" t="s">
        <v>13</v>
      </c>
      <c r="G302" t="s">
        <v>14</v>
      </c>
      <c r="H302" t="s">
        <v>15</v>
      </c>
      <c r="I302" t="s">
        <v>16</v>
      </c>
      <c r="J302">
        <v>49326.57</v>
      </c>
      <c r="K302">
        <v>55033.74</v>
      </c>
      <c r="L302" s="20">
        <f>tbl_Budget[[#This Row],[Actual]]-tbl_Budget[[#This Row],[Budget]]</f>
        <v>5707.1699999999983</v>
      </c>
      <c r="M302" s="3">
        <f>tbl_Budget[[#This Row],[Variance]]/tbl_Budget[[#This Row],[Budget]]</f>
        <v>0.11570174046158081</v>
      </c>
      <c r="N302" t="str">
        <f>IF(tbl_Budget[[#This Row],[Variance_%]]&gt;0.05,"Overspend",IF(tbl_Budget[[#This Row],[Variance_%]]&lt;-0.05,"Underspend","On Budget"))</f>
        <v>Overspend</v>
      </c>
    </row>
    <row r="303" spans="1:14" hidden="1">
      <c r="A303" s="1">
        <v>45017</v>
      </c>
      <c r="B303">
        <v>4</v>
      </c>
      <c r="C303" t="s">
        <v>36</v>
      </c>
      <c r="D303" t="s">
        <v>37</v>
      </c>
      <c r="E303">
        <v>2023</v>
      </c>
      <c r="F303" t="s">
        <v>13</v>
      </c>
      <c r="G303" t="s">
        <v>14</v>
      </c>
      <c r="H303" t="s">
        <v>17</v>
      </c>
      <c r="I303" t="s">
        <v>16</v>
      </c>
      <c r="J303">
        <v>46968.97</v>
      </c>
      <c r="K303">
        <v>56343.1</v>
      </c>
      <c r="L303" s="20">
        <f>tbl_Budget[[#This Row],[Actual]]-tbl_Budget[[#This Row],[Budget]]</f>
        <v>9374.1299999999974</v>
      </c>
      <c r="M303" s="3">
        <f>tbl_Budget[[#This Row],[Variance]]/tbl_Budget[[#This Row],[Budget]]</f>
        <v>0.1995813406170073</v>
      </c>
      <c r="N303" t="str">
        <f>IF(tbl_Budget[[#This Row],[Variance_%]]&gt;0.05,"Overspend",IF(tbl_Budget[[#This Row],[Variance_%]]&lt;-0.05,"Underspend","On Budget"))</f>
        <v>Overspend</v>
      </c>
    </row>
    <row r="304" spans="1:14" hidden="1">
      <c r="A304" s="1">
        <v>45017</v>
      </c>
      <c r="B304">
        <v>4</v>
      </c>
      <c r="C304" t="s">
        <v>36</v>
      </c>
      <c r="D304" t="s">
        <v>37</v>
      </c>
      <c r="E304">
        <v>2023</v>
      </c>
      <c r="F304" t="s">
        <v>13</v>
      </c>
      <c r="G304" t="s">
        <v>14</v>
      </c>
      <c r="H304" t="s">
        <v>18</v>
      </c>
      <c r="I304" t="s">
        <v>16</v>
      </c>
      <c r="J304">
        <v>47967.86</v>
      </c>
      <c r="K304">
        <v>53031.73</v>
      </c>
      <c r="L304" s="20">
        <f>tbl_Budget[[#This Row],[Actual]]-tbl_Budget[[#This Row],[Budget]]</f>
        <v>5063.8700000000026</v>
      </c>
      <c r="M304" s="3">
        <f>tbl_Budget[[#This Row],[Variance]]/tbl_Budget[[#This Row],[Budget]]</f>
        <v>0.10556797822542016</v>
      </c>
      <c r="N304" t="str">
        <f>IF(tbl_Budget[[#This Row],[Variance_%]]&gt;0.05,"Overspend",IF(tbl_Budget[[#This Row],[Variance_%]]&lt;-0.05,"Underspend","On Budget"))</f>
        <v>Overspend</v>
      </c>
    </row>
    <row r="305" spans="1:14" hidden="1">
      <c r="A305" s="1">
        <v>45017</v>
      </c>
      <c r="B305">
        <v>4</v>
      </c>
      <c r="C305" t="s">
        <v>36</v>
      </c>
      <c r="D305" t="s">
        <v>37</v>
      </c>
      <c r="E305">
        <v>2023</v>
      </c>
      <c r="F305" t="s">
        <v>13</v>
      </c>
      <c r="G305" t="s">
        <v>14</v>
      </c>
      <c r="H305" t="s">
        <v>19</v>
      </c>
      <c r="I305" t="s">
        <v>16</v>
      </c>
      <c r="J305">
        <v>50707.28</v>
      </c>
      <c r="K305">
        <v>60105.58</v>
      </c>
      <c r="L305" s="20">
        <f>tbl_Budget[[#This Row],[Actual]]-tbl_Budget[[#This Row],[Budget]]</f>
        <v>9398.3000000000029</v>
      </c>
      <c r="M305" s="3">
        <f>tbl_Budget[[#This Row],[Variance]]/tbl_Budget[[#This Row],[Budget]]</f>
        <v>0.18534419515304318</v>
      </c>
      <c r="N305" t="str">
        <f>IF(tbl_Budget[[#This Row],[Variance_%]]&gt;0.05,"Overspend",IF(tbl_Budget[[#This Row],[Variance_%]]&lt;-0.05,"Underspend","On Budget"))</f>
        <v>Overspend</v>
      </c>
    </row>
    <row r="306" spans="1:14" hidden="1">
      <c r="A306" s="1">
        <v>45017</v>
      </c>
      <c r="B306">
        <v>4</v>
      </c>
      <c r="C306" t="s">
        <v>36</v>
      </c>
      <c r="D306" t="s">
        <v>37</v>
      </c>
      <c r="E306">
        <v>2023</v>
      </c>
      <c r="F306" t="s">
        <v>13</v>
      </c>
      <c r="G306" t="s">
        <v>20</v>
      </c>
      <c r="H306" t="s">
        <v>15</v>
      </c>
      <c r="I306" t="s">
        <v>16</v>
      </c>
      <c r="J306">
        <v>19280.45</v>
      </c>
      <c r="K306">
        <v>23329.71</v>
      </c>
      <c r="L306" s="20">
        <f>tbl_Budget[[#This Row],[Actual]]-tbl_Budget[[#This Row],[Budget]]</f>
        <v>4049.2599999999984</v>
      </c>
      <c r="M306" s="3">
        <f>tbl_Budget[[#This Row],[Variance]]/tbl_Budget[[#This Row],[Budget]]</f>
        <v>0.21001895702641787</v>
      </c>
      <c r="N306" t="str">
        <f>IF(tbl_Budget[[#This Row],[Variance_%]]&gt;0.05,"Overspend",IF(tbl_Budget[[#This Row],[Variance_%]]&lt;-0.05,"Underspend","On Budget"))</f>
        <v>Overspend</v>
      </c>
    </row>
    <row r="307" spans="1:14" hidden="1">
      <c r="A307" s="1">
        <v>45017</v>
      </c>
      <c r="B307">
        <v>4</v>
      </c>
      <c r="C307" t="s">
        <v>36</v>
      </c>
      <c r="D307" t="s">
        <v>37</v>
      </c>
      <c r="E307">
        <v>2023</v>
      </c>
      <c r="F307" t="s">
        <v>13</v>
      </c>
      <c r="G307" t="s">
        <v>20</v>
      </c>
      <c r="H307" t="s">
        <v>17</v>
      </c>
      <c r="I307" t="s">
        <v>16</v>
      </c>
      <c r="J307">
        <v>18399.7</v>
      </c>
      <c r="K307">
        <v>20224.240000000002</v>
      </c>
      <c r="L307" s="20">
        <f>tbl_Budget[[#This Row],[Actual]]-tbl_Budget[[#This Row],[Budget]]</f>
        <v>1824.5400000000009</v>
      </c>
      <c r="M307" s="3">
        <f>tbl_Budget[[#This Row],[Variance]]/tbl_Budget[[#This Row],[Budget]]</f>
        <v>9.9161399370641959E-2</v>
      </c>
      <c r="N307" t="str">
        <f>IF(tbl_Budget[[#This Row],[Variance_%]]&gt;0.05,"Overspend",IF(tbl_Budget[[#This Row],[Variance_%]]&lt;-0.05,"Underspend","On Budget"))</f>
        <v>Overspend</v>
      </c>
    </row>
    <row r="308" spans="1:14" hidden="1">
      <c r="A308" s="1">
        <v>45017</v>
      </c>
      <c r="B308">
        <v>4</v>
      </c>
      <c r="C308" t="s">
        <v>36</v>
      </c>
      <c r="D308" t="s">
        <v>37</v>
      </c>
      <c r="E308">
        <v>2023</v>
      </c>
      <c r="F308" t="s">
        <v>13</v>
      </c>
      <c r="G308" t="s">
        <v>20</v>
      </c>
      <c r="H308" t="s">
        <v>18</v>
      </c>
      <c r="I308" t="s">
        <v>16</v>
      </c>
      <c r="J308">
        <v>18063.96</v>
      </c>
      <c r="K308">
        <v>20700.89</v>
      </c>
      <c r="L308" s="20">
        <f>tbl_Budget[[#This Row],[Actual]]-tbl_Budget[[#This Row],[Budget]]</f>
        <v>2636.9300000000003</v>
      </c>
      <c r="M308" s="3">
        <f>tbl_Budget[[#This Row],[Variance]]/tbl_Budget[[#This Row],[Budget]]</f>
        <v>0.14597740473296</v>
      </c>
      <c r="N308" t="str">
        <f>IF(tbl_Budget[[#This Row],[Variance_%]]&gt;0.05,"Overspend",IF(tbl_Budget[[#This Row],[Variance_%]]&lt;-0.05,"Underspend","On Budget"))</f>
        <v>Overspend</v>
      </c>
    </row>
    <row r="309" spans="1:14" hidden="1">
      <c r="A309" s="1">
        <v>45017</v>
      </c>
      <c r="B309">
        <v>4</v>
      </c>
      <c r="C309" t="s">
        <v>36</v>
      </c>
      <c r="D309" t="s">
        <v>37</v>
      </c>
      <c r="E309">
        <v>2023</v>
      </c>
      <c r="F309" t="s">
        <v>13</v>
      </c>
      <c r="G309" t="s">
        <v>20</v>
      </c>
      <c r="H309" t="s">
        <v>19</v>
      </c>
      <c r="I309" t="s">
        <v>16</v>
      </c>
      <c r="J309">
        <v>19963.669999999998</v>
      </c>
      <c r="K309">
        <v>23210.959999999999</v>
      </c>
      <c r="L309" s="20">
        <f>tbl_Budget[[#This Row],[Actual]]-tbl_Budget[[#This Row],[Budget]]</f>
        <v>3247.2900000000009</v>
      </c>
      <c r="M309" s="3">
        <f>tbl_Budget[[#This Row],[Variance]]/tbl_Budget[[#This Row],[Budget]]</f>
        <v>0.16265997183884531</v>
      </c>
      <c r="N309" t="str">
        <f>IF(tbl_Budget[[#This Row],[Variance_%]]&gt;0.05,"Overspend",IF(tbl_Budget[[#This Row],[Variance_%]]&lt;-0.05,"Underspend","On Budget"))</f>
        <v>Overspend</v>
      </c>
    </row>
    <row r="310" spans="1:14">
      <c r="A310" s="1">
        <v>45017</v>
      </c>
      <c r="B310">
        <v>4</v>
      </c>
      <c r="C310" t="s">
        <v>36</v>
      </c>
      <c r="D310" t="s">
        <v>37</v>
      </c>
      <c r="E310">
        <v>2023</v>
      </c>
      <c r="F310" t="s">
        <v>13</v>
      </c>
      <c r="G310" t="s">
        <v>21</v>
      </c>
      <c r="H310" t="s">
        <v>15</v>
      </c>
      <c r="I310" t="s">
        <v>16</v>
      </c>
      <c r="J310">
        <v>10377.39</v>
      </c>
      <c r="K310">
        <v>11598.6</v>
      </c>
      <c r="L310" s="20">
        <f>tbl_Budget[[#This Row],[Actual]]-tbl_Budget[[#This Row],[Budget]]</f>
        <v>1221.2100000000009</v>
      </c>
      <c r="M310" s="3">
        <f>tbl_Budget[[#This Row],[Variance]]/tbl_Budget[[#This Row],[Budget]]</f>
        <v>0.117679879044731</v>
      </c>
      <c r="N310" t="str">
        <f>IF(tbl_Budget[[#This Row],[Variance_%]]&gt;0.05,"Overspend",IF(tbl_Budget[[#This Row],[Variance_%]]&lt;-0.05,"Underspend","On Budget"))</f>
        <v>Overspend</v>
      </c>
    </row>
    <row r="311" spans="1:14">
      <c r="A311" s="1">
        <v>45017</v>
      </c>
      <c r="B311">
        <v>4</v>
      </c>
      <c r="C311" t="s">
        <v>36</v>
      </c>
      <c r="D311" t="s">
        <v>37</v>
      </c>
      <c r="E311">
        <v>2023</v>
      </c>
      <c r="F311" t="s">
        <v>13</v>
      </c>
      <c r="G311" t="s">
        <v>21</v>
      </c>
      <c r="H311" t="s">
        <v>17</v>
      </c>
      <c r="I311" t="s">
        <v>16</v>
      </c>
      <c r="J311">
        <v>10288.73</v>
      </c>
      <c r="K311">
        <v>11974.75</v>
      </c>
      <c r="L311" s="20">
        <f>tbl_Budget[[#This Row],[Actual]]-tbl_Budget[[#This Row],[Budget]]</f>
        <v>1686.0200000000004</v>
      </c>
      <c r="M311" s="3">
        <f>tbl_Budget[[#This Row],[Variance]]/tbl_Budget[[#This Row],[Budget]]</f>
        <v>0.16387056517179482</v>
      </c>
      <c r="N311" t="str">
        <f>IF(tbl_Budget[[#This Row],[Variance_%]]&gt;0.05,"Overspend",IF(tbl_Budget[[#This Row],[Variance_%]]&lt;-0.05,"Underspend","On Budget"))</f>
        <v>Overspend</v>
      </c>
    </row>
    <row r="312" spans="1:14">
      <c r="A312" s="1">
        <v>45017</v>
      </c>
      <c r="B312">
        <v>4</v>
      </c>
      <c r="C312" t="s">
        <v>36</v>
      </c>
      <c r="D312" t="s">
        <v>37</v>
      </c>
      <c r="E312">
        <v>2023</v>
      </c>
      <c r="F312" t="s">
        <v>13</v>
      </c>
      <c r="G312" t="s">
        <v>21</v>
      </c>
      <c r="H312" t="s">
        <v>18</v>
      </c>
      <c r="I312" t="s">
        <v>16</v>
      </c>
      <c r="J312">
        <v>10155.77</v>
      </c>
      <c r="K312">
        <v>11526.41</v>
      </c>
      <c r="L312" s="20">
        <f>tbl_Budget[[#This Row],[Actual]]-tbl_Budget[[#This Row],[Budget]]</f>
        <v>1370.6399999999994</v>
      </c>
      <c r="M312" s="3">
        <f>tbl_Budget[[#This Row],[Variance]]/tbl_Budget[[#This Row],[Budget]]</f>
        <v>0.13496170157457282</v>
      </c>
      <c r="N312" t="str">
        <f>IF(tbl_Budget[[#This Row],[Variance_%]]&gt;0.05,"Overspend",IF(tbl_Budget[[#This Row],[Variance_%]]&lt;-0.05,"Underspend","On Budget"))</f>
        <v>Overspend</v>
      </c>
    </row>
    <row r="313" spans="1:14">
      <c r="A313" s="1">
        <v>45017</v>
      </c>
      <c r="B313">
        <v>4</v>
      </c>
      <c r="C313" t="s">
        <v>36</v>
      </c>
      <c r="D313" t="s">
        <v>37</v>
      </c>
      <c r="E313">
        <v>2023</v>
      </c>
      <c r="F313" t="s">
        <v>13</v>
      </c>
      <c r="G313" t="s">
        <v>21</v>
      </c>
      <c r="H313" t="s">
        <v>19</v>
      </c>
      <c r="I313" t="s">
        <v>16</v>
      </c>
      <c r="J313">
        <v>11172.94</v>
      </c>
      <c r="K313">
        <v>13076.05</v>
      </c>
      <c r="L313" s="20">
        <f>tbl_Budget[[#This Row],[Actual]]-tbl_Budget[[#This Row],[Budget]]</f>
        <v>1903.1099999999988</v>
      </c>
      <c r="M313" s="3">
        <f>tbl_Budget[[#This Row],[Variance]]/tbl_Budget[[#This Row],[Budget]]</f>
        <v>0.17033207016237434</v>
      </c>
      <c r="N313" t="str">
        <f>IF(tbl_Budget[[#This Row],[Variance_%]]&gt;0.05,"Overspend",IF(tbl_Budget[[#This Row],[Variance_%]]&lt;-0.05,"Underspend","On Budget"))</f>
        <v>Overspend</v>
      </c>
    </row>
    <row r="314" spans="1:14" hidden="1">
      <c r="A314" s="1">
        <v>45017</v>
      </c>
      <c r="B314">
        <v>4</v>
      </c>
      <c r="C314" t="s">
        <v>36</v>
      </c>
      <c r="D314" t="s">
        <v>37</v>
      </c>
      <c r="E314">
        <v>2023</v>
      </c>
      <c r="F314" t="s">
        <v>13</v>
      </c>
      <c r="G314" t="s">
        <v>22</v>
      </c>
      <c r="H314" t="s">
        <v>15</v>
      </c>
      <c r="I314" t="s">
        <v>16</v>
      </c>
      <c r="J314">
        <v>8454.91</v>
      </c>
      <c r="K314">
        <v>9476.9</v>
      </c>
      <c r="L314" s="20">
        <f>tbl_Budget[[#This Row],[Actual]]-tbl_Budget[[#This Row],[Budget]]</f>
        <v>1021.9899999999998</v>
      </c>
      <c r="M314" s="3">
        <f>tbl_Budget[[#This Row],[Variance]]/tbl_Budget[[#This Row],[Budget]]</f>
        <v>0.12087532569832202</v>
      </c>
      <c r="N314" t="str">
        <f>IF(tbl_Budget[[#This Row],[Variance_%]]&gt;0.05,"Overspend",IF(tbl_Budget[[#This Row],[Variance_%]]&lt;-0.05,"Underspend","On Budget"))</f>
        <v>Overspend</v>
      </c>
    </row>
    <row r="315" spans="1:14" hidden="1">
      <c r="A315" s="1">
        <v>45017</v>
      </c>
      <c r="B315">
        <v>4</v>
      </c>
      <c r="C315" t="s">
        <v>36</v>
      </c>
      <c r="D315" t="s">
        <v>37</v>
      </c>
      <c r="E315">
        <v>2023</v>
      </c>
      <c r="F315" t="s">
        <v>13</v>
      </c>
      <c r="G315" t="s">
        <v>22</v>
      </c>
      <c r="H315" t="s">
        <v>17</v>
      </c>
      <c r="I315" t="s">
        <v>16</v>
      </c>
      <c r="J315">
        <v>7648.97</v>
      </c>
      <c r="K315">
        <v>8675.92</v>
      </c>
      <c r="L315" s="20">
        <f>tbl_Budget[[#This Row],[Actual]]-tbl_Budget[[#This Row],[Budget]]</f>
        <v>1026.9499999999998</v>
      </c>
      <c r="M315" s="3">
        <f>tbl_Budget[[#This Row],[Variance]]/tbl_Budget[[#This Row],[Budget]]</f>
        <v>0.1342599068894243</v>
      </c>
      <c r="N315" t="str">
        <f>IF(tbl_Budget[[#This Row],[Variance_%]]&gt;0.05,"Overspend",IF(tbl_Budget[[#This Row],[Variance_%]]&lt;-0.05,"Underspend","On Budget"))</f>
        <v>Overspend</v>
      </c>
    </row>
    <row r="316" spans="1:14" hidden="1">
      <c r="A316" s="1">
        <v>45017</v>
      </c>
      <c r="B316">
        <v>4</v>
      </c>
      <c r="C316" t="s">
        <v>36</v>
      </c>
      <c r="D316" t="s">
        <v>37</v>
      </c>
      <c r="E316">
        <v>2023</v>
      </c>
      <c r="F316" t="s">
        <v>13</v>
      </c>
      <c r="G316" t="s">
        <v>22</v>
      </c>
      <c r="H316" t="s">
        <v>18</v>
      </c>
      <c r="I316" t="s">
        <v>16</v>
      </c>
      <c r="J316">
        <v>7843.02</v>
      </c>
      <c r="K316">
        <v>8942.7099999999991</v>
      </c>
      <c r="L316" s="20">
        <f>tbl_Budget[[#This Row],[Actual]]-tbl_Budget[[#This Row],[Budget]]</f>
        <v>1099.6899999999987</v>
      </c>
      <c r="M316" s="3">
        <f>tbl_Budget[[#This Row],[Variance]]/tbl_Budget[[#This Row],[Budget]]</f>
        <v>0.14021257117793892</v>
      </c>
      <c r="N316" t="str">
        <f>IF(tbl_Budget[[#This Row],[Variance_%]]&gt;0.05,"Overspend",IF(tbl_Budget[[#This Row],[Variance_%]]&lt;-0.05,"Underspend","On Budget"))</f>
        <v>Overspend</v>
      </c>
    </row>
    <row r="317" spans="1:14" hidden="1">
      <c r="A317" s="1">
        <v>45017</v>
      </c>
      <c r="B317">
        <v>4</v>
      </c>
      <c r="C317" t="s">
        <v>36</v>
      </c>
      <c r="D317" t="s">
        <v>37</v>
      </c>
      <c r="E317">
        <v>2023</v>
      </c>
      <c r="F317" t="s">
        <v>13</v>
      </c>
      <c r="G317" t="s">
        <v>22</v>
      </c>
      <c r="H317" t="s">
        <v>19</v>
      </c>
      <c r="I317" t="s">
        <v>16</v>
      </c>
      <c r="J317">
        <v>8425.7900000000009</v>
      </c>
      <c r="K317">
        <v>9936.14</v>
      </c>
      <c r="L317" s="20">
        <f>tbl_Budget[[#This Row],[Actual]]-tbl_Budget[[#This Row],[Budget]]</f>
        <v>1510.3499999999985</v>
      </c>
      <c r="M317" s="3">
        <f>tbl_Budget[[#This Row],[Variance]]/tbl_Budget[[#This Row],[Budget]]</f>
        <v>0.17925322135965865</v>
      </c>
      <c r="N317" t="str">
        <f>IF(tbl_Budget[[#This Row],[Variance_%]]&gt;0.05,"Overspend",IF(tbl_Budget[[#This Row],[Variance_%]]&lt;-0.05,"Underspend","On Budget"))</f>
        <v>Overspend</v>
      </c>
    </row>
    <row r="318" spans="1:14" hidden="1">
      <c r="A318" s="1">
        <v>45017</v>
      </c>
      <c r="B318">
        <v>4</v>
      </c>
      <c r="C318" t="s">
        <v>36</v>
      </c>
      <c r="D318" t="s">
        <v>37</v>
      </c>
      <c r="E318">
        <v>2023</v>
      </c>
      <c r="F318" t="s">
        <v>13</v>
      </c>
      <c r="G318" t="s">
        <v>23</v>
      </c>
      <c r="H318" t="s">
        <v>15</v>
      </c>
      <c r="I318" t="s">
        <v>16</v>
      </c>
      <c r="J318">
        <v>8662.44</v>
      </c>
      <c r="K318">
        <v>9828.68</v>
      </c>
      <c r="L318" s="20">
        <f>tbl_Budget[[#This Row],[Actual]]-tbl_Budget[[#This Row],[Budget]]</f>
        <v>1166.2399999999998</v>
      </c>
      <c r="M318" s="3">
        <f>tbl_Budget[[#This Row],[Variance]]/tbl_Budget[[#This Row],[Budget]]</f>
        <v>0.13463181274560052</v>
      </c>
      <c r="N318" t="str">
        <f>IF(tbl_Budget[[#This Row],[Variance_%]]&gt;0.05,"Overspend",IF(tbl_Budget[[#This Row],[Variance_%]]&lt;-0.05,"Underspend","On Budget"))</f>
        <v>Overspend</v>
      </c>
    </row>
    <row r="319" spans="1:14" hidden="1">
      <c r="A319" s="1">
        <v>45017</v>
      </c>
      <c r="B319">
        <v>4</v>
      </c>
      <c r="C319" t="s">
        <v>36</v>
      </c>
      <c r="D319" t="s">
        <v>37</v>
      </c>
      <c r="E319">
        <v>2023</v>
      </c>
      <c r="F319" t="s">
        <v>13</v>
      </c>
      <c r="G319" t="s">
        <v>23</v>
      </c>
      <c r="H319" t="s">
        <v>17</v>
      </c>
      <c r="I319" t="s">
        <v>16</v>
      </c>
      <c r="J319">
        <v>7939.09</v>
      </c>
      <c r="K319">
        <v>8866.86</v>
      </c>
      <c r="L319" s="20">
        <f>tbl_Budget[[#This Row],[Actual]]-tbl_Budget[[#This Row],[Budget]]</f>
        <v>927.77000000000044</v>
      </c>
      <c r="M319" s="3">
        <f>tbl_Budget[[#This Row],[Variance]]/tbl_Budget[[#This Row],[Budget]]</f>
        <v>0.11686100044211621</v>
      </c>
      <c r="N319" t="str">
        <f>IF(tbl_Budget[[#This Row],[Variance_%]]&gt;0.05,"Overspend",IF(tbl_Budget[[#This Row],[Variance_%]]&lt;-0.05,"Underspend","On Budget"))</f>
        <v>Overspend</v>
      </c>
    </row>
    <row r="320" spans="1:14" hidden="1">
      <c r="A320" s="1">
        <v>45017</v>
      </c>
      <c r="B320">
        <v>4</v>
      </c>
      <c r="C320" t="s">
        <v>36</v>
      </c>
      <c r="D320" t="s">
        <v>37</v>
      </c>
      <c r="E320">
        <v>2023</v>
      </c>
      <c r="F320" t="s">
        <v>13</v>
      </c>
      <c r="G320" t="s">
        <v>23</v>
      </c>
      <c r="H320" t="s">
        <v>18</v>
      </c>
      <c r="I320" t="s">
        <v>16</v>
      </c>
      <c r="J320">
        <v>8442.44</v>
      </c>
      <c r="K320">
        <v>10092.040000000001</v>
      </c>
      <c r="L320" s="20">
        <f>tbl_Budget[[#This Row],[Actual]]-tbl_Budget[[#This Row],[Budget]]</f>
        <v>1649.6000000000004</v>
      </c>
      <c r="M320" s="3">
        <f>tbl_Budget[[#This Row],[Variance]]/tbl_Budget[[#This Row],[Budget]]</f>
        <v>0.19539374872667148</v>
      </c>
      <c r="N320" t="str">
        <f>IF(tbl_Budget[[#This Row],[Variance_%]]&gt;0.05,"Overspend",IF(tbl_Budget[[#This Row],[Variance_%]]&lt;-0.05,"Underspend","On Budget"))</f>
        <v>Overspend</v>
      </c>
    </row>
    <row r="321" spans="1:14" hidden="1">
      <c r="A321" s="1">
        <v>45017</v>
      </c>
      <c r="B321">
        <v>4</v>
      </c>
      <c r="C321" t="s">
        <v>36</v>
      </c>
      <c r="D321" t="s">
        <v>37</v>
      </c>
      <c r="E321">
        <v>2023</v>
      </c>
      <c r="F321" t="s">
        <v>13</v>
      </c>
      <c r="G321" t="s">
        <v>23</v>
      </c>
      <c r="H321" t="s">
        <v>19</v>
      </c>
      <c r="I321" t="s">
        <v>16</v>
      </c>
      <c r="J321">
        <v>8810.3799999999992</v>
      </c>
      <c r="K321">
        <v>10129.68</v>
      </c>
      <c r="L321" s="20">
        <f>tbl_Budget[[#This Row],[Actual]]-tbl_Budget[[#This Row],[Budget]]</f>
        <v>1319.3000000000011</v>
      </c>
      <c r="M321" s="3">
        <f>tbl_Budget[[#This Row],[Variance]]/tbl_Budget[[#This Row],[Budget]]</f>
        <v>0.14974382489745064</v>
      </c>
      <c r="N321" t="str">
        <f>IF(tbl_Budget[[#This Row],[Variance_%]]&gt;0.05,"Overspend",IF(tbl_Budget[[#This Row],[Variance_%]]&lt;-0.05,"Underspend","On Budget"))</f>
        <v>Overspend</v>
      </c>
    </row>
    <row r="322" spans="1:14" hidden="1">
      <c r="A322" s="1">
        <v>45017</v>
      </c>
      <c r="B322">
        <v>4</v>
      </c>
      <c r="C322" t="s">
        <v>36</v>
      </c>
      <c r="D322" t="s">
        <v>37</v>
      </c>
      <c r="E322">
        <v>2023</v>
      </c>
      <c r="F322" t="s">
        <v>24</v>
      </c>
      <c r="G322" t="s">
        <v>14</v>
      </c>
      <c r="H322" t="s">
        <v>15</v>
      </c>
      <c r="I322" t="s">
        <v>25</v>
      </c>
      <c r="J322">
        <v>52181.98</v>
      </c>
      <c r="K322">
        <v>45153.48</v>
      </c>
      <c r="L322" s="20">
        <f>tbl_Budget[[#This Row],[Actual]]-tbl_Budget[[#This Row],[Budget]]</f>
        <v>-7028.5</v>
      </c>
      <c r="M322" s="3">
        <f>tbl_Budget[[#This Row],[Variance]]/tbl_Budget[[#This Row],[Budget]]</f>
        <v>-0.13469209102452609</v>
      </c>
      <c r="N322" t="str">
        <f>IF(tbl_Budget[[#This Row],[Variance_%]]&gt;0.05,"Overspend",IF(tbl_Budget[[#This Row],[Variance_%]]&lt;-0.05,"Underspend","On Budget"))</f>
        <v>Underspend</v>
      </c>
    </row>
    <row r="323" spans="1:14" hidden="1">
      <c r="A323" s="1">
        <v>45017</v>
      </c>
      <c r="B323">
        <v>4</v>
      </c>
      <c r="C323" t="s">
        <v>36</v>
      </c>
      <c r="D323" t="s">
        <v>37</v>
      </c>
      <c r="E323">
        <v>2023</v>
      </c>
      <c r="F323" t="s">
        <v>24</v>
      </c>
      <c r="G323" t="s">
        <v>14</v>
      </c>
      <c r="H323" t="s">
        <v>17</v>
      </c>
      <c r="I323" t="s">
        <v>25</v>
      </c>
      <c r="J323">
        <v>48427.5</v>
      </c>
      <c r="K323">
        <v>43453.51</v>
      </c>
      <c r="L323" s="20">
        <f>tbl_Budget[[#This Row],[Actual]]-tbl_Budget[[#This Row],[Budget]]</f>
        <v>-4973.989999999998</v>
      </c>
      <c r="M323" s="3">
        <f>tbl_Budget[[#This Row],[Variance]]/tbl_Budget[[#This Row],[Budget]]</f>
        <v>-0.10271003045790095</v>
      </c>
      <c r="N323" t="str">
        <f>IF(tbl_Budget[[#This Row],[Variance_%]]&gt;0.05,"Overspend",IF(tbl_Budget[[#This Row],[Variance_%]]&lt;-0.05,"Underspend","On Budget"))</f>
        <v>Underspend</v>
      </c>
    </row>
    <row r="324" spans="1:14" hidden="1">
      <c r="A324" s="1">
        <v>45017</v>
      </c>
      <c r="B324">
        <v>4</v>
      </c>
      <c r="C324" t="s">
        <v>36</v>
      </c>
      <c r="D324" t="s">
        <v>37</v>
      </c>
      <c r="E324">
        <v>2023</v>
      </c>
      <c r="F324" t="s">
        <v>24</v>
      </c>
      <c r="G324" t="s">
        <v>14</v>
      </c>
      <c r="H324" t="s">
        <v>18</v>
      </c>
      <c r="I324" t="s">
        <v>25</v>
      </c>
      <c r="J324">
        <v>51925.8</v>
      </c>
      <c r="K324">
        <v>44610.12</v>
      </c>
      <c r="L324" s="20">
        <f>tbl_Budget[[#This Row],[Actual]]-tbl_Budget[[#This Row],[Budget]]</f>
        <v>-7315.68</v>
      </c>
      <c r="M324" s="3">
        <f>tbl_Budget[[#This Row],[Variance]]/tbl_Budget[[#This Row],[Budget]]</f>
        <v>-0.1408871890274199</v>
      </c>
      <c r="N324" t="str">
        <f>IF(tbl_Budget[[#This Row],[Variance_%]]&gt;0.05,"Overspend",IF(tbl_Budget[[#This Row],[Variance_%]]&lt;-0.05,"Underspend","On Budget"))</f>
        <v>Underspend</v>
      </c>
    </row>
    <row r="325" spans="1:14" hidden="1">
      <c r="A325" s="1">
        <v>45017</v>
      </c>
      <c r="B325">
        <v>4</v>
      </c>
      <c r="C325" t="s">
        <v>36</v>
      </c>
      <c r="D325" t="s">
        <v>37</v>
      </c>
      <c r="E325">
        <v>2023</v>
      </c>
      <c r="F325" t="s">
        <v>24</v>
      </c>
      <c r="G325" t="s">
        <v>14</v>
      </c>
      <c r="H325" t="s">
        <v>19</v>
      </c>
      <c r="I325" t="s">
        <v>25</v>
      </c>
      <c r="J325">
        <v>53141.21</v>
      </c>
      <c r="K325">
        <v>45411.88</v>
      </c>
      <c r="L325" s="20">
        <f>tbl_Budget[[#This Row],[Actual]]-tbl_Budget[[#This Row],[Budget]]</f>
        <v>-7729.3300000000017</v>
      </c>
      <c r="M325" s="3">
        <f>tbl_Budget[[#This Row],[Variance]]/tbl_Budget[[#This Row],[Budget]]</f>
        <v>-0.14544888985403234</v>
      </c>
      <c r="N325" t="str">
        <f>IF(tbl_Budget[[#This Row],[Variance_%]]&gt;0.05,"Overspend",IF(tbl_Budget[[#This Row],[Variance_%]]&lt;-0.05,"Underspend","On Budget"))</f>
        <v>Underspend</v>
      </c>
    </row>
    <row r="326" spans="1:14" hidden="1">
      <c r="A326" s="1">
        <v>45017</v>
      </c>
      <c r="B326">
        <v>4</v>
      </c>
      <c r="C326" t="s">
        <v>36</v>
      </c>
      <c r="D326" t="s">
        <v>37</v>
      </c>
      <c r="E326">
        <v>2023</v>
      </c>
      <c r="F326" t="s">
        <v>24</v>
      </c>
      <c r="G326" t="s">
        <v>20</v>
      </c>
      <c r="H326" t="s">
        <v>15</v>
      </c>
      <c r="I326" t="s">
        <v>25</v>
      </c>
      <c r="J326">
        <v>28103.66</v>
      </c>
      <c r="K326">
        <v>25086.59</v>
      </c>
      <c r="L326" s="20">
        <f>tbl_Budget[[#This Row],[Actual]]-tbl_Budget[[#This Row],[Budget]]</f>
        <v>-3017.0699999999997</v>
      </c>
      <c r="M326" s="3">
        <f>tbl_Budget[[#This Row],[Variance]]/tbl_Budget[[#This Row],[Budget]]</f>
        <v>-0.10735505624534313</v>
      </c>
      <c r="N326" t="str">
        <f>IF(tbl_Budget[[#This Row],[Variance_%]]&gt;0.05,"Overspend",IF(tbl_Budget[[#This Row],[Variance_%]]&lt;-0.05,"Underspend","On Budget"))</f>
        <v>Underspend</v>
      </c>
    </row>
    <row r="327" spans="1:14" hidden="1">
      <c r="A327" s="1">
        <v>45017</v>
      </c>
      <c r="B327">
        <v>4</v>
      </c>
      <c r="C327" t="s">
        <v>36</v>
      </c>
      <c r="D327" t="s">
        <v>37</v>
      </c>
      <c r="E327">
        <v>2023</v>
      </c>
      <c r="F327" t="s">
        <v>24</v>
      </c>
      <c r="G327" t="s">
        <v>20</v>
      </c>
      <c r="H327" t="s">
        <v>17</v>
      </c>
      <c r="I327" t="s">
        <v>25</v>
      </c>
      <c r="J327">
        <v>27542.59</v>
      </c>
      <c r="K327">
        <v>24003.7</v>
      </c>
      <c r="L327" s="20">
        <f>tbl_Budget[[#This Row],[Actual]]-tbl_Budget[[#This Row],[Budget]]</f>
        <v>-3538.8899999999994</v>
      </c>
      <c r="M327" s="3">
        <f>tbl_Budget[[#This Row],[Variance]]/tbl_Budget[[#This Row],[Budget]]</f>
        <v>-0.12848791635064094</v>
      </c>
      <c r="N327" t="str">
        <f>IF(tbl_Budget[[#This Row],[Variance_%]]&gt;0.05,"Overspend",IF(tbl_Budget[[#This Row],[Variance_%]]&lt;-0.05,"Underspend","On Budget"))</f>
        <v>Underspend</v>
      </c>
    </row>
    <row r="328" spans="1:14" hidden="1">
      <c r="A328" s="1">
        <v>45017</v>
      </c>
      <c r="B328">
        <v>4</v>
      </c>
      <c r="C328" t="s">
        <v>36</v>
      </c>
      <c r="D328" t="s">
        <v>37</v>
      </c>
      <c r="E328">
        <v>2023</v>
      </c>
      <c r="F328" t="s">
        <v>24</v>
      </c>
      <c r="G328" t="s">
        <v>20</v>
      </c>
      <c r="H328" t="s">
        <v>18</v>
      </c>
      <c r="I328" t="s">
        <v>25</v>
      </c>
      <c r="J328">
        <v>27976.94</v>
      </c>
      <c r="K328">
        <v>24277.26</v>
      </c>
      <c r="L328" s="20">
        <f>tbl_Budget[[#This Row],[Actual]]-tbl_Budget[[#This Row],[Budget]]</f>
        <v>-3699.6800000000003</v>
      </c>
      <c r="M328" s="3">
        <f>tbl_Budget[[#This Row],[Variance]]/tbl_Budget[[#This Row],[Budget]]</f>
        <v>-0.13224033793545686</v>
      </c>
      <c r="N328" t="str">
        <f>IF(tbl_Budget[[#This Row],[Variance_%]]&gt;0.05,"Overspend",IF(tbl_Budget[[#This Row],[Variance_%]]&lt;-0.05,"Underspend","On Budget"))</f>
        <v>Underspend</v>
      </c>
    </row>
    <row r="329" spans="1:14" hidden="1">
      <c r="A329" s="1">
        <v>45017</v>
      </c>
      <c r="B329">
        <v>4</v>
      </c>
      <c r="C329" t="s">
        <v>36</v>
      </c>
      <c r="D329" t="s">
        <v>37</v>
      </c>
      <c r="E329">
        <v>2023</v>
      </c>
      <c r="F329" t="s">
        <v>24</v>
      </c>
      <c r="G329" t="s">
        <v>20</v>
      </c>
      <c r="H329" t="s">
        <v>19</v>
      </c>
      <c r="I329" t="s">
        <v>25</v>
      </c>
      <c r="J329">
        <v>30448.79</v>
      </c>
      <c r="K329">
        <v>26993.66</v>
      </c>
      <c r="L329" s="20">
        <f>tbl_Budget[[#This Row],[Actual]]-tbl_Budget[[#This Row],[Budget]]</f>
        <v>-3455.130000000001</v>
      </c>
      <c r="M329" s="3">
        <f>tbl_Budget[[#This Row],[Variance]]/tbl_Budget[[#This Row],[Budget]]</f>
        <v>-0.11347347464382003</v>
      </c>
      <c r="N329" t="str">
        <f>IF(tbl_Budget[[#This Row],[Variance_%]]&gt;0.05,"Overspend",IF(tbl_Budget[[#This Row],[Variance_%]]&lt;-0.05,"Underspend","On Budget"))</f>
        <v>Underspend</v>
      </c>
    </row>
    <row r="330" spans="1:14">
      <c r="A330" s="1">
        <v>45017</v>
      </c>
      <c r="B330">
        <v>4</v>
      </c>
      <c r="C330" t="s">
        <v>36</v>
      </c>
      <c r="D330" t="s">
        <v>37</v>
      </c>
      <c r="E330">
        <v>2023</v>
      </c>
      <c r="F330" t="s">
        <v>24</v>
      </c>
      <c r="G330" t="s">
        <v>21</v>
      </c>
      <c r="H330" t="s">
        <v>15</v>
      </c>
      <c r="I330" t="s">
        <v>25</v>
      </c>
      <c r="J330">
        <v>10924.99</v>
      </c>
      <c r="K330">
        <v>9758.1</v>
      </c>
      <c r="L330" s="20">
        <f>tbl_Budget[[#This Row],[Actual]]-tbl_Budget[[#This Row],[Budget]]</f>
        <v>-1166.8899999999994</v>
      </c>
      <c r="M330" s="3">
        <f>tbl_Budget[[#This Row],[Variance]]/tbl_Budget[[#This Row],[Budget]]</f>
        <v>-0.10680925108398263</v>
      </c>
      <c r="N330" t="str">
        <f>IF(tbl_Budget[[#This Row],[Variance_%]]&gt;0.05,"Overspend",IF(tbl_Budget[[#This Row],[Variance_%]]&lt;-0.05,"Underspend","On Budget"))</f>
        <v>Underspend</v>
      </c>
    </row>
    <row r="331" spans="1:14">
      <c r="A331" s="1">
        <v>45017</v>
      </c>
      <c r="B331">
        <v>4</v>
      </c>
      <c r="C331" t="s">
        <v>36</v>
      </c>
      <c r="D331" t="s">
        <v>37</v>
      </c>
      <c r="E331">
        <v>2023</v>
      </c>
      <c r="F331" t="s">
        <v>24</v>
      </c>
      <c r="G331" t="s">
        <v>21</v>
      </c>
      <c r="H331" t="s">
        <v>17</v>
      </c>
      <c r="I331" t="s">
        <v>25</v>
      </c>
      <c r="J331">
        <v>10329.19</v>
      </c>
      <c r="K331">
        <v>9009.4</v>
      </c>
      <c r="L331" s="20">
        <f>tbl_Budget[[#This Row],[Actual]]-tbl_Budget[[#This Row],[Budget]]</f>
        <v>-1319.7900000000009</v>
      </c>
      <c r="M331" s="3">
        <f>tbl_Budget[[#This Row],[Variance]]/tbl_Budget[[#This Row],[Budget]]</f>
        <v>-0.12777284569264394</v>
      </c>
      <c r="N331" t="str">
        <f>IF(tbl_Budget[[#This Row],[Variance_%]]&gt;0.05,"Overspend",IF(tbl_Budget[[#This Row],[Variance_%]]&lt;-0.05,"Underspend","On Budget"))</f>
        <v>Underspend</v>
      </c>
    </row>
    <row r="332" spans="1:14">
      <c r="A332" s="1">
        <v>45017</v>
      </c>
      <c r="B332">
        <v>4</v>
      </c>
      <c r="C332" t="s">
        <v>36</v>
      </c>
      <c r="D332" t="s">
        <v>37</v>
      </c>
      <c r="E332">
        <v>2023</v>
      </c>
      <c r="F332" t="s">
        <v>24</v>
      </c>
      <c r="G332" t="s">
        <v>21</v>
      </c>
      <c r="H332" t="s">
        <v>18</v>
      </c>
      <c r="I332" t="s">
        <v>25</v>
      </c>
      <c r="J332">
        <v>10912.15</v>
      </c>
      <c r="K332">
        <v>9741.8700000000008</v>
      </c>
      <c r="L332" s="20">
        <f>tbl_Budget[[#This Row],[Actual]]-tbl_Budget[[#This Row],[Budget]]</f>
        <v>-1170.2799999999988</v>
      </c>
      <c r="M332" s="3">
        <f>tbl_Budget[[#This Row],[Variance]]/tbl_Budget[[#This Row],[Budget]]</f>
        <v>-0.10724559321490255</v>
      </c>
      <c r="N332" t="str">
        <f>IF(tbl_Budget[[#This Row],[Variance_%]]&gt;0.05,"Overspend",IF(tbl_Budget[[#This Row],[Variance_%]]&lt;-0.05,"Underspend","On Budget"))</f>
        <v>Underspend</v>
      </c>
    </row>
    <row r="333" spans="1:14">
      <c r="A333" s="1">
        <v>45017</v>
      </c>
      <c r="B333">
        <v>4</v>
      </c>
      <c r="C333" t="s">
        <v>36</v>
      </c>
      <c r="D333" t="s">
        <v>37</v>
      </c>
      <c r="E333">
        <v>2023</v>
      </c>
      <c r="F333" t="s">
        <v>24</v>
      </c>
      <c r="G333" t="s">
        <v>21</v>
      </c>
      <c r="H333" t="s">
        <v>19</v>
      </c>
      <c r="I333" t="s">
        <v>25</v>
      </c>
      <c r="J333">
        <v>11390.35</v>
      </c>
      <c r="K333">
        <v>10195.25</v>
      </c>
      <c r="L333" s="20">
        <f>tbl_Budget[[#This Row],[Actual]]-tbl_Budget[[#This Row],[Budget]]</f>
        <v>-1195.1000000000004</v>
      </c>
      <c r="M333" s="3">
        <f>tbl_Budget[[#This Row],[Variance]]/tbl_Budget[[#This Row],[Budget]]</f>
        <v>-0.10492214901210238</v>
      </c>
      <c r="N333" t="str">
        <f>IF(tbl_Budget[[#This Row],[Variance_%]]&gt;0.05,"Overspend",IF(tbl_Budget[[#This Row],[Variance_%]]&lt;-0.05,"Underspend","On Budget"))</f>
        <v>Underspend</v>
      </c>
    </row>
    <row r="334" spans="1:14" hidden="1">
      <c r="A334" s="1">
        <v>45017</v>
      </c>
      <c r="B334">
        <v>4</v>
      </c>
      <c r="C334" t="s">
        <v>36</v>
      </c>
      <c r="D334" t="s">
        <v>37</v>
      </c>
      <c r="E334">
        <v>2023</v>
      </c>
      <c r="F334" t="s">
        <v>24</v>
      </c>
      <c r="G334" t="s">
        <v>22</v>
      </c>
      <c r="H334" t="s">
        <v>15</v>
      </c>
      <c r="I334" t="s">
        <v>25</v>
      </c>
      <c r="J334">
        <v>8750.34</v>
      </c>
      <c r="K334">
        <v>7512.2</v>
      </c>
      <c r="L334" s="20">
        <f>tbl_Budget[[#This Row],[Actual]]-tbl_Budget[[#This Row],[Budget]]</f>
        <v>-1238.1400000000003</v>
      </c>
      <c r="M334" s="3">
        <f>tbl_Budget[[#This Row],[Variance]]/tbl_Budget[[#This Row],[Budget]]</f>
        <v>-0.14149621614702976</v>
      </c>
      <c r="N334" t="str">
        <f>IF(tbl_Budget[[#This Row],[Variance_%]]&gt;0.05,"Overspend",IF(tbl_Budget[[#This Row],[Variance_%]]&lt;-0.05,"Underspend","On Budget"))</f>
        <v>Underspend</v>
      </c>
    </row>
    <row r="335" spans="1:14" hidden="1">
      <c r="A335" s="1">
        <v>45017</v>
      </c>
      <c r="B335">
        <v>4</v>
      </c>
      <c r="C335" t="s">
        <v>36</v>
      </c>
      <c r="D335" t="s">
        <v>37</v>
      </c>
      <c r="E335">
        <v>2023</v>
      </c>
      <c r="F335" t="s">
        <v>24</v>
      </c>
      <c r="G335" t="s">
        <v>22</v>
      </c>
      <c r="H335" t="s">
        <v>17</v>
      </c>
      <c r="I335" t="s">
        <v>25</v>
      </c>
      <c r="J335">
        <v>8148.15</v>
      </c>
      <c r="K335">
        <v>6945.41</v>
      </c>
      <c r="L335" s="20">
        <f>tbl_Budget[[#This Row],[Actual]]-tbl_Budget[[#This Row],[Budget]]</f>
        <v>-1202.7399999999998</v>
      </c>
      <c r="M335" s="3">
        <f>tbl_Budget[[#This Row],[Variance]]/tbl_Budget[[#This Row],[Budget]]</f>
        <v>-0.1476089664525076</v>
      </c>
      <c r="N335" t="str">
        <f>IF(tbl_Budget[[#This Row],[Variance_%]]&gt;0.05,"Overspend",IF(tbl_Budget[[#This Row],[Variance_%]]&lt;-0.05,"Underspend","On Budget"))</f>
        <v>Underspend</v>
      </c>
    </row>
    <row r="336" spans="1:14" hidden="1">
      <c r="A336" s="1">
        <v>45017</v>
      </c>
      <c r="B336">
        <v>4</v>
      </c>
      <c r="C336" t="s">
        <v>36</v>
      </c>
      <c r="D336" t="s">
        <v>37</v>
      </c>
      <c r="E336">
        <v>2023</v>
      </c>
      <c r="F336" t="s">
        <v>24</v>
      </c>
      <c r="G336" t="s">
        <v>22</v>
      </c>
      <c r="H336" t="s">
        <v>18</v>
      </c>
      <c r="I336" t="s">
        <v>25</v>
      </c>
      <c r="J336">
        <v>8237.67</v>
      </c>
      <c r="K336">
        <v>7083.45</v>
      </c>
      <c r="L336" s="20">
        <f>tbl_Budget[[#This Row],[Actual]]-tbl_Budget[[#This Row],[Budget]]</f>
        <v>-1154.2200000000003</v>
      </c>
      <c r="M336" s="3">
        <f>tbl_Budget[[#This Row],[Variance]]/tbl_Budget[[#This Row],[Budget]]</f>
        <v>-0.14011486257643244</v>
      </c>
      <c r="N336" t="str">
        <f>IF(tbl_Budget[[#This Row],[Variance_%]]&gt;0.05,"Overspend",IF(tbl_Budget[[#This Row],[Variance_%]]&lt;-0.05,"Underspend","On Budget"))</f>
        <v>Underspend</v>
      </c>
    </row>
    <row r="337" spans="1:14" hidden="1">
      <c r="A337" s="1">
        <v>45017</v>
      </c>
      <c r="B337">
        <v>4</v>
      </c>
      <c r="C337" t="s">
        <v>36</v>
      </c>
      <c r="D337" t="s">
        <v>37</v>
      </c>
      <c r="E337">
        <v>2023</v>
      </c>
      <c r="F337" t="s">
        <v>24</v>
      </c>
      <c r="G337" t="s">
        <v>22</v>
      </c>
      <c r="H337" t="s">
        <v>19</v>
      </c>
      <c r="I337" t="s">
        <v>25</v>
      </c>
      <c r="J337">
        <v>8957.0499999999993</v>
      </c>
      <c r="K337">
        <v>7997.32</v>
      </c>
      <c r="L337" s="20">
        <f>tbl_Budget[[#This Row],[Actual]]-tbl_Budget[[#This Row],[Budget]]</f>
        <v>-959.72999999999956</v>
      </c>
      <c r="M337" s="3">
        <f>tbl_Budget[[#This Row],[Variance]]/tbl_Budget[[#This Row],[Budget]]</f>
        <v>-0.1071480007368497</v>
      </c>
      <c r="N337" t="str">
        <f>IF(tbl_Budget[[#This Row],[Variance_%]]&gt;0.05,"Overspend",IF(tbl_Budget[[#This Row],[Variance_%]]&lt;-0.05,"Underspend","On Budget"))</f>
        <v>Underspend</v>
      </c>
    </row>
    <row r="338" spans="1:14" hidden="1">
      <c r="A338" s="1">
        <v>45017</v>
      </c>
      <c r="B338">
        <v>4</v>
      </c>
      <c r="C338" t="s">
        <v>36</v>
      </c>
      <c r="D338" t="s">
        <v>37</v>
      </c>
      <c r="E338">
        <v>2023</v>
      </c>
      <c r="F338" t="s">
        <v>24</v>
      </c>
      <c r="G338" t="s">
        <v>23</v>
      </c>
      <c r="H338" t="s">
        <v>15</v>
      </c>
      <c r="I338" t="s">
        <v>25</v>
      </c>
      <c r="J338">
        <v>7539.19</v>
      </c>
      <c r="K338">
        <v>6603.18</v>
      </c>
      <c r="L338" s="20">
        <f>tbl_Budget[[#This Row],[Actual]]-tbl_Budget[[#This Row],[Budget]]</f>
        <v>-936.00999999999931</v>
      </c>
      <c r="M338" s="3">
        <f>tbl_Budget[[#This Row],[Variance]]/tbl_Budget[[#This Row],[Budget]]</f>
        <v>-0.12415259464212991</v>
      </c>
      <c r="N338" t="str">
        <f>IF(tbl_Budget[[#This Row],[Variance_%]]&gt;0.05,"Overspend",IF(tbl_Budget[[#This Row],[Variance_%]]&lt;-0.05,"Underspend","On Budget"))</f>
        <v>Underspend</v>
      </c>
    </row>
    <row r="339" spans="1:14" hidden="1">
      <c r="A339" s="1">
        <v>45017</v>
      </c>
      <c r="B339">
        <v>4</v>
      </c>
      <c r="C339" t="s">
        <v>36</v>
      </c>
      <c r="D339" t="s">
        <v>37</v>
      </c>
      <c r="E339">
        <v>2023</v>
      </c>
      <c r="F339" t="s">
        <v>24</v>
      </c>
      <c r="G339" t="s">
        <v>23</v>
      </c>
      <c r="H339" t="s">
        <v>17</v>
      </c>
      <c r="I339" t="s">
        <v>25</v>
      </c>
      <c r="J339">
        <v>7119.5</v>
      </c>
      <c r="K339">
        <v>6275.86</v>
      </c>
      <c r="L339" s="20">
        <f>tbl_Budget[[#This Row],[Actual]]-tbl_Budget[[#This Row],[Budget]]</f>
        <v>-843.64000000000033</v>
      </c>
      <c r="M339" s="3">
        <f>tbl_Budget[[#This Row],[Variance]]/tbl_Budget[[#This Row],[Budget]]</f>
        <v>-0.11849708546948526</v>
      </c>
      <c r="N339" t="str">
        <f>IF(tbl_Budget[[#This Row],[Variance_%]]&gt;0.05,"Overspend",IF(tbl_Budget[[#This Row],[Variance_%]]&lt;-0.05,"Underspend","On Budget"))</f>
        <v>Underspend</v>
      </c>
    </row>
    <row r="340" spans="1:14" hidden="1">
      <c r="A340" s="1">
        <v>45017</v>
      </c>
      <c r="B340">
        <v>4</v>
      </c>
      <c r="C340" t="s">
        <v>36</v>
      </c>
      <c r="D340" t="s">
        <v>37</v>
      </c>
      <c r="E340">
        <v>2023</v>
      </c>
      <c r="F340" t="s">
        <v>24</v>
      </c>
      <c r="G340" t="s">
        <v>23</v>
      </c>
      <c r="H340" t="s">
        <v>18</v>
      </c>
      <c r="I340" t="s">
        <v>25</v>
      </c>
      <c r="J340">
        <v>7153.45</v>
      </c>
      <c r="K340">
        <v>6165.71</v>
      </c>
      <c r="L340" s="20">
        <f>tbl_Budget[[#This Row],[Actual]]-tbl_Budget[[#This Row],[Budget]]</f>
        <v>-987.73999999999978</v>
      </c>
      <c r="M340" s="3">
        <f>tbl_Budget[[#This Row],[Variance]]/tbl_Budget[[#This Row],[Budget]]</f>
        <v>-0.13807882909644995</v>
      </c>
      <c r="N340" t="str">
        <f>IF(tbl_Budget[[#This Row],[Variance_%]]&gt;0.05,"Overspend",IF(tbl_Budget[[#This Row],[Variance_%]]&lt;-0.05,"Underspend","On Budget"))</f>
        <v>Underspend</v>
      </c>
    </row>
    <row r="341" spans="1:14" hidden="1">
      <c r="A341" s="1">
        <v>45017</v>
      </c>
      <c r="B341">
        <v>4</v>
      </c>
      <c r="C341" t="s">
        <v>36</v>
      </c>
      <c r="D341" t="s">
        <v>37</v>
      </c>
      <c r="E341">
        <v>2023</v>
      </c>
      <c r="F341" t="s">
        <v>24</v>
      </c>
      <c r="G341" t="s">
        <v>23</v>
      </c>
      <c r="H341" t="s">
        <v>19</v>
      </c>
      <c r="I341" t="s">
        <v>25</v>
      </c>
      <c r="J341">
        <v>7887.53</v>
      </c>
      <c r="K341">
        <v>6713.51</v>
      </c>
      <c r="L341" s="20">
        <f>tbl_Budget[[#This Row],[Actual]]-tbl_Budget[[#This Row],[Budget]]</f>
        <v>-1174.0199999999995</v>
      </c>
      <c r="M341" s="3">
        <f>tbl_Budget[[#This Row],[Variance]]/tbl_Budget[[#This Row],[Budget]]</f>
        <v>-0.14884507570811137</v>
      </c>
      <c r="N341" t="str">
        <f>IF(tbl_Budget[[#This Row],[Variance_%]]&gt;0.05,"Overspend",IF(tbl_Budget[[#This Row],[Variance_%]]&lt;-0.05,"Underspend","On Budget"))</f>
        <v>Underspend</v>
      </c>
    </row>
    <row r="342" spans="1:14" hidden="1">
      <c r="A342" s="1">
        <v>45017</v>
      </c>
      <c r="B342">
        <v>4</v>
      </c>
      <c r="C342" t="s">
        <v>36</v>
      </c>
      <c r="D342" t="s">
        <v>37</v>
      </c>
      <c r="E342">
        <v>2023</v>
      </c>
      <c r="F342" t="s">
        <v>26</v>
      </c>
      <c r="G342" t="s">
        <v>14</v>
      </c>
      <c r="H342" t="s">
        <v>15</v>
      </c>
      <c r="I342" t="s">
        <v>27</v>
      </c>
      <c r="J342">
        <v>46537.31</v>
      </c>
      <c r="K342">
        <v>47698.91</v>
      </c>
      <c r="L342" s="20">
        <f>tbl_Budget[[#This Row],[Actual]]-tbl_Budget[[#This Row],[Budget]]</f>
        <v>1161.6000000000058</v>
      </c>
      <c r="M342" s="3">
        <f>tbl_Budget[[#This Row],[Variance]]/tbl_Budget[[#This Row],[Budget]]</f>
        <v>2.4960617620571664E-2</v>
      </c>
      <c r="N342" t="str">
        <f>IF(tbl_Budget[[#This Row],[Variance_%]]&gt;0.05,"Overspend",IF(tbl_Budget[[#This Row],[Variance_%]]&lt;-0.05,"Underspend","On Budget"))</f>
        <v>On Budget</v>
      </c>
    </row>
    <row r="343" spans="1:14" hidden="1">
      <c r="A343" s="1">
        <v>45017</v>
      </c>
      <c r="B343">
        <v>4</v>
      </c>
      <c r="C343" t="s">
        <v>36</v>
      </c>
      <c r="D343" t="s">
        <v>37</v>
      </c>
      <c r="E343">
        <v>2023</v>
      </c>
      <c r="F343" t="s">
        <v>26</v>
      </c>
      <c r="G343" t="s">
        <v>14</v>
      </c>
      <c r="H343" t="s">
        <v>17</v>
      </c>
      <c r="I343" t="s">
        <v>27</v>
      </c>
      <c r="J343">
        <v>43341.03</v>
      </c>
      <c r="K343">
        <v>43584.23</v>
      </c>
      <c r="L343" s="20">
        <f>tbl_Budget[[#This Row],[Actual]]-tbl_Budget[[#This Row],[Budget]]</f>
        <v>243.20000000000437</v>
      </c>
      <c r="M343" s="3">
        <f>tbl_Budget[[#This Row],[Variance]]/tbl_Budget[[#This Row],[Budget]]</f>
        <v>5.6113110371397348E-3</v>
      </c>
      <c r="N343" t="str">
        <f>IF(tbl_Budget[[#This Row],[Variance_%]]&gt;0.05,"Overspend",IF(tbl_Budget[[#This Row],[Variance_%]]&lt;-0.05,"Underspend","On Budget"))</f>
        <v>On Budget</v>
      </c>
    </row>
    <row r="344" spans="1:14" hidden="1">
      <c r="A344" s="1">
        <v>45017</v>
      </c>
      <c r="B344">
        <v>4</v>
      </c>
      <c r="C344" t="s">
        <v>36</v>
      </c>
      <c r="D344" t="s">
        <v>37</v>
      </c>
      <c r="E344">
        <v>2023</v>
      </c>
      <c r="F344" t="s">
        <v>26</v>
      </c>
      <c r="G344" t="s">
        <v>14</v>
      </c>
      <c r="H344" t="s">
        <v>18</v>
      </c>
      <c r="I344" t="s">
        <v>27</v>
      </c>
      <c r="J344">
        <v>45327.65</v>
      </c>
      <c r="K344">
        <v>45178.62</v>
      </c>
      <c r="L344" s="20">
        <f>tbl_Budget[[#This Row],[Actual]]-tbl_Budget[[#This Row],[Budget]]</f>
        <v>-149.02999999999884</v>
      </c>
      <c r="M344" s="3">
        <f>tbl_Budget[[#This Row],[Variance]]/tbl_Budget[[#This Row],[Budget]]</f>
        <v>-3.2878386591848204E-3</v>
      </c>
      <c r="N344" t="str">
        <f>IF(tbl_Budget[[#This Row],[Variance_%]]&gt;0.05,"Overspend",IF(tbl_Budget[[#This Row],[Variance_%]]&lt;-0.05,"Underspend","On Budget"))</f>
        <v>On Budget</v>
      </c>
    </row>
    <row r="345" spans="1:14" hidden="1">
      <c r="A345" s="1">
        <v>45017</v>
      </c>
      <c r="B345">
        <v>4</v>
      </c>
      <c r="C345" t="s">
        <v>36</v>
      </c>
      <c r="D345" t="s">
        <v>37</v>
      </c>
      <c r="E345">
        <v>2023</v>
      </c>
      <c r="F345" t="s">
        <v>26</v>
      </c>
      <c r="G345" t="s">
        <v>14</v>
      </c>
      <c r="H345" t="s">
        <v>19</v>
      </c>
      <c r="I345" t="s">
        <v>27</v>
      </c>
      <c r="J345">
        <v>46957.8</v>
      </c>
      <c r="K345">
        <v>47339.15</v>
      </c>
      <c r="L345" s="20">
        <f>tbl_Budget[[#This Row],[Actual]]-tbl_Budget[[#This Row],[Budget]]</f>
        <v>381.34999999999854</v>
      </c>
      <c r="M345" s="3">
        <f>tbl_Budget[[#This Row],[Variance]]/tbl_Budget[[#This Row],[Budget]]</f>
        <v>8.1211215176179141E-3</v>
      </c>
      <c r="N345" t="str">
        <f>IF(tbl_Budget[[#This Row],[Variance_%]]&gt;0.05,"Overspend",IF(tbl_Budget[[#This Row],[Variance_%]]&lt;-0.05,"Underspend","On Budget"))</f>
        <v>On Budget</v>
      </c>
    </row>
    <row r="346" spans="1:14" hidden="1">
      <c r="A346" s="1">
        <v>45017</v>
      </c>
      <c r="B346">
        <v>4</v>
      </c>
      <c r="C346" t="s">
        <v>36</v>
      </c>
      <c r="D346" t="s">
        <v>37</v>
      </c>
      <c r="E346">
        <v>2023</v>
      </c>
      <c r="F346" t="s">
        <v>26</v>
      </c>
      <c r="G346" t="s">
        <v>20</v>
      </c>
      <c r="H346" t="s">
        <v>15</v>
      </c>
      <c r="I346" t="s">
        <v>27</v>
      </c>
      <c r="J346">
        <v>15473.12</v>
      </c>
      <c r="K346">
        <v>15825.47</v>
      </c>
      <c r="L346" s="20">
        <f>tbl_Budget[[#This Row],[Actual]]-tbl_Budget[[#This Row],[Budget]]</f>
        <v>352.34999999999854</v>
      </c>
      <c r="M346" s="3">
        <f>tbl_Budget[[#This Row],[Variance]]/tbl_Budget[[#This Row],[Budget]]</f>
        <v>2.2771748684169615E-2</v>
      </c>
      <c r="N346" t="str">
        <f>IF(tbl_Budget[[#This Row],[Variance_%]]&gt;0.05,"Overspend",IF(tbl_Budget[[#This Row],[Variance_%]]&lt;-0.05,"Underspend","On Budget"))</f>
        <v>On Budget</v>
      </c>
    </row>
    <row r="347" spans="1:14" hidden="1">
      <c r="A347" s="1">
        <v>45017</v>
      </c>
      <c r="B347">
        <v>4</v>
      </c>
      <c r="C347" t="s">
        <v>36</v>
      </c>
      <c r="D347" t="s">
        <v>37</v>
      </c>
      <c r="E347">
        <v>2023</v>
      </c>
      <c r="F347" t="s">
        <v>26</v>
      </c>
      <c r="G347" t="s">
        <v>20</v>
      </c>
      <c r="H347" t="s">
        <v>17</v>
      </c>
      <c r="I347" t="s">
        <v>27</v>
      </c>
      <c r="J347">
        <v>14843.95</v>
      </c>
      <c r="K347">
        <v>14676.54</v>
      </c>
      <c r="L347" s="20">
        <f>tbl_Budget[[#This Row],[Actual]]-tbl_Budget[[#This Row],[Budget]]</f>
        <v>-167.40999999999985</v>
      </c>
      <c r="M347" s="3">
        <f>tbl_Budget[[#This Row],[Variance]]/tbl_Budget[[#This Row],[Budget]]</f>
        <v>-1.127799541227233E-2</v>
      </c>
      <c r="N347" t="str">
        <f>IF(tbl_Budget[[#This Row],[Variance_%]]&gt;0.05,"Overspend",IF(tbl_Budget[[#This Row],[Variance_%]]&lt;-0.05,"Underspend","On Budget"))</f>
        <v>On Budget</v>
      </c>
    </row>
    <row r="348" spans="1:14" hidden="1">
      <c r="A348" s="1">
        <v>45017</v>
      </c>
      <c r="B348">
        <v>4</v>
      </c>
      <c r="C348" t="s">
        <v>36</v>
      </c>
      <c r="D348" t="s">
        <v>37</v>
      </c>
      <c r="E348">
        <v>2023</v>
      </c>
      <c r="F348" t="s">
        <v>26</v>
      </c>
      <c r="G348" t="s">
        <v>20</v>
      </c>
      <c r="H348" t="s">
        <v>18</v>
      </c>
      <c r="I348" t="s">
        <v>27</v>
      </c>
      <c r="J348">
        <v>14960.39</v>
      </c>
      <c r="K348">
        <v>14505.09</v>
      </c>
      <c r="L348" s="20">
        <f>tbl_Budget[[#This Row],[Actual]]-tbl_Budget[[#This Row],[Budget]]</f>
        <v>-455.29999999999927</v>
      </c>
      <c r="M348" s="3">
        <f>tbl_Budget[[#This Row],[Variance]]/tbl_Budget[[#This Row],[Budget]]</f>
        <v>-3.0433698586734656E-2</v>
      </c>
      <c r="N348" t="str">
        <f>IF(tbl_Budget[[#This Row],[Variance_%]]&gt;0.05,"Overspend",IF(tbl_Budget[[#This Row],[Variance_%]]&lt;-0.05,"Underspend","On Budget"))</f>
        <v>On Budget</v>
      </c>
    </row>
    <row r="349" spans="1:14" hidden="1">
      <c r="A349" s="1">
        <v>45017</v>
      </c>
      <c r="B349">
        <v>4</v>
      </c>
      <c r="C349" t="s">
        <v>36</v>
      </c>
      <c r="D349" t="s">
        <v>37</v>
      </c>
      <c r="E349">
        <v>2023</v>
      </c>
      <c r="F349" t="s">
        <v>26</v>
      </c>
      <c r="G349" t="s">
        <v>20</v>
      </c>
      <c r="H349" t="s">
        <v>19</v>
      </c>
      <c r="I349" t="s">
        <v>27</v>
      </c>
      <c r="J349">
        <v>16226.86</v>
      </c>
      <c r="K349">
        <v>16431.64</v>
      </c>
      <c r="L349" s="20">
        <f>tbl_Budget[[#This Row],[Actual]]-tbl_Budget[[#This Row],[Budget]]</f>
        <v>204.77999999999884</v>
      </c>
      <c r="M349" s="3">
        <f>tbl_Budget[[#This Row],[Variance]]/tbl_Budget[[#This Row],[Budget]]</f>
        <v>1.2619816772930736E-2</v>
      </c>
      <c r="N349" t="str">
        <f>IF(tbl_Budget[[#This Row],[Variance_%]]&gt;0.05,"Overspend",IF(tbl_Budget[[#This Row],[Variance_%]]&lt;-0.05,"Underspend","On Budget"))</f>
        <v>On Budget</v>
      </c>
    </row>
    <row r="350" spans="1:14">
      <c r="A350" s="1">
        <v>45017</v>
      </c>
      <c r="B350">
        <v>4</v>
      </c>
      <c r="C350" t="s">
        <v>36</v>
      </c>
      <c r="D350" t="s">
        <v>37</v>
      </c>
      <c r="E350">
        <v>2023</v>
      </c>
      <c r="F350" t="s">
        <v>26</v>
      </c>
      <c r="G350" t="s">
        <v>21</v>
      </c>
      <c r="H350" t="s">
        <v>15</v>
      </c>
      <c r="I350" t="s">
        <v>27</v>
      </c>
      <c r="J350">
        <v>8448.32</v>
      </c>
      <c r="K350">
        <v>8309.8700000000008</v>
      </c>
      <c r="L350" s="20">
        <f>tbl_Budget[[#This Row],[Actual]]-tbl_Budget[[#This Row],[Budget]]</f>
        <v>-138.44999999999891</v>
      </c>
      <c r="M350" s="3">
        <f>tbl_Budget[[#This Row],[Variance]]/tbl_Budget[[#This Row],[Budget]]</f>
        <v>-1.638787356539512E-2</v>
      </c>
      <c r="N350" t="str">
        <f>IF(tbl_Budget[[#This Row],[Variance_%]]&gt;0.05,"Overspend",IF(tbl_Budget[[#This Row],[Variance_%]]&lt;-0.05,"Underspend","On Budget"))</f>
        <v>On Budget</v>
      </c>
    </row>
    <row r="351" spans="1:14">
      <c r="A351" s="1">
        <v>45017</v>
      </c>
      <c r="B351">
        <v>4</v>
      </c>
      <c r="C351" t="s">
        <v>36</v>
      </c>
      <c r="D351" t="s">
        <v>37</v>
      </c>
      <c r="E351">
        <v>2023</v>
      </c>
      <c r="F351" t="s">
        <v>26</v>
      </c>
      <c r="G351" t="s">
        <v>21</v>
      </c>
      <c r="H351" t="s">
        <v>17</v>
      </c>
      <c r="I351" t="s">
        <v>27</v>
      </c>
      <c r="J351">
        <v>8414.82</v>
      </c>
      <c r="K351">
        <v>8553.34</v>
      </c>
      <c r="L351" s="20">
        <f>tbl_Budget[[#This Row],[Actual]]-tbl_Budget[[#This Row],[Budget]]</f>
        <v>138.52000000000044</v>
      </c>
      <c r="M351" s="3">
        <f>tbl_Budget[[#This Row],[Variance]]/tbl_Budget[[#This Row],[Budget]]</f>
        <v>1.6461433518482921E-2</v>
      </c>
      <c r="N351" t="str">
        <f>IF(tbl_Budget[[#This Row],[Variance_%]]&gt;0.05,"Overspend",IF(tbl_Budget[[#This Row],[Variance_%]]&lt;-0.05,"Underspend","On Budget"))</f>
        <v>On Budget</v>
      </c>
    </row>
    <row r="352" spans="1:14">
      <c r="A352" s="1">
        <v>45017</v>
      </c>
      <c r="B352">
        <v>4</v>
      </c>
      <c r="C352" t="s">
        <v>36</v>
      </c>
      <c r="D352" t="s">
        <v>37</v>
      </c>
      <c r="E352">
        <v>2023</v>
      </c>
      <c r="F352" t="s">
        <v>26</v>
      </c>
      <c r="G352" t="s">
        <v>21</v>
      </c>
      <c r="H352" t="s">
        <v>18</v>
      </c>
      <c r="I352" t="s">
        <v>27</v>
      </c>
      <c r="J352">
        <v>8530.66</v>
      </c>
      <c r="K352">
        <v>8303.44</v>
      </c>
      <c r="L352" s="20">
        <f>tbl_Budget[[#This Row],[Actual]]-tbl_Budget[[#This Row],[Budget]]</f>
        <v>-227.21999999999935</v>
      </c>
      <c r="M352" s="3">
        <f>tbl_Budget[[#This Row],[Variance]]/tbl_Budget[[#This Row],[Budget]]</f>
        <v>-2.6635688211697494E-2</v>
      </c>
      <c r="N352" t="str">
        <f>IF(tbl_Budget[[#This Row],[Variance_%]]&gt;0.05,"Overspend",IF(tbl_Budget[[#This Row],[Variance_%]]&lt;-0.05,"Underspend","On Budget"))</f>
        <v>On Budget</v>
      </c>
    </row>
    <row r="353" spans="1:14">
      <c r="A353" s="1">
        <v>45017</v>
      </c>
      <c r="B353">
        <v>4</v>
      </c>
      <c r="C353" t="s">
        <v>36</v>
      </c>
      <c r="D353" t="s">
        <v>37</v>
      </c>
      <c r="E353">
        <v>2023</v>
      </c>
      <c r="F353" t="s">
        <v>26</v>
      </c>
      <c r="G353" t="s">
        <v>21</v>
      </c>
      <c r="H353" t="s">
        <v>19</v>
      </c>
      <c r="I353" t="s">
        <v>27</v>
      </c>
      <c r="J353">
        <v>8840.8700000000008</v>
      </c>
      <c r="K353">
        <v>8756.5300000000007</v>
      </c>
      <c r="L353" s="20">
        <f>tbl_Budget[[#This Row],[Actual]]-tbl_Budget[[#This Row],[Budget]]</f>
        <v>-84.340000000000146</v>
      </c>
      <c r="M353" s="3">
        <f>tbl_Budget[[#This Row],[Variance]]/tbl_Budget[[#This Row],[Budget]]</f>
        <v>-9.5397851116462672E-3</v>
      </c>
      <c r="N353" t="str">
        <f>IF(tbl_Budget[[#This Row],[Variance_%]]&gt;0.05,"Overspend",IF(tbl_Budget[[#This Row],[Variance_%]]&lt;-0.05,"Underspend","On Budget"))</f>
        <v>On Budget</v>
      </c>
    </row>
    <row r="354" spans="1:14" hidden="1">
      <c r="A354" s="1">
        <v>45017</v>
      </c>
      <c r="B354">
        <v>4</v>
      </c>
      <c r="C354" t="s">
        <v>36</v>
      </c>
      <c r="D354" t="s">
        <v>37</v>
      </c>
      <c r="E354">
        <v>2023</v>
      </c>
      <c r="F354" t="s">
        <v>26</v>
      </c>
      <c r="G354" t="s">
        <v>22</v>
      </c>
      <c r="H354" t="s">
        <v>15</v>
      </c>
      <c r="I354" t="s">
        <v>27</v>
      </c>
      <c r="J354">
        <v>6932.44</v>
      </c>
      <c r="K354">
        <v>6814.44</v>
      </c>
      <c r="L354" s="20">
        <f>tbl_Budget[[#This Row],[Actual]]-tbl_Budget[[#This Row],[Budget]]</f>
        <v>-118</v>
      </c>
      <c r="M354" s="3">
        <f>tbl_Budget[[#This Row],[Variance]]/tbl_Budget[[#This Row],[Budget]]</f>
        <v>-1.7021423914235105E-2</v>
      </c>
      <c r="N354" t="str">
        <f>IF(tbl_Budget[[#This Row],[Variance_%]]&gt;0.05,"Overspend",IF(tbl_Budget[[#This Row],[Variance_%]]&lt;-0.05,"Underspend","On Budget"))</f>
        <v>On Budget</v>
      </c>
    </row>
    <row r="355" spans="1:14" hidden="1">
      <c r="A355" s="1">
        <v>45017</v>
      </c>
      <c r="B355">
        <v>4</v>
      </c>
      <c r="C355" t="s">
        <v>36</v>
      </c>
      <c r="D355" t="s">
        <v>37</v>
      </c>
      <c r="E355">
        <v>2023</v>
      </c>
      <c r="F355" t="s">
        <v>26</v>
      </c>
      <c r="G355" t="s">
        <v>22</v>
      </c>
      <c r="H355" t="s">
        <v>17</v>
      </c>
      <c r="I355" t="s">
        <v>27</v>
      </c>
      <c r="J355">
        <v>6515.21</v>
      </c>
      <c r="K355">
        <v>6706.99</v>
      </c>
      <c r="L355" s="20">
        <f>tbl_Budget[[#This Row],[Actual]]-tbl_Budget[[#This Row],[Budget]]</f>
        <v>191.77999999999975</v>
      </c>
      <c r="M355" s="3">
        <f>tbl_Budget[[#This Row],[Variance]]/tbl_Budget[[#This Row],[Budget]]</f>
        <v>2.9435735762930088E-2</v>
      </c>
      <c r="N355" t="str">
        <f>IF(tbl_Budget[[#This Row],[Variance_%]]&gt;0.05,"Overspend",IF(tbl_Budget[[#This Row],[Variance_%]]&lt;-0.05,"Underspend","On Budget"))</f>
        <v>On Budget</v>
      </c>
    </row>
    <row r="356" spans="1:14" hidden="1">
      <c r="A356" s="1">
        <v>45017</v>
      </c>
      <c r="B356">
        <v>4</v>
      </c>
      <c r="C356" t="s">
        <v>36</v>
      </c>
      <c r="D356" t="s">
        <v>37</v>
      </c>
      <c r="E356">
        <v>2023</v>
      </c>
      <c r="F356" t="s">
        <v>26</v>
      </c>
      <c r="G356" t="s">
        <v>22</v>
      </c>
      <c r="H356" t="s">
        <v>18</v>
      </c>
      <c r="I356" t="s">
        <v>27</v>
      </c>
      <c r="J356">
        <v>6472.28</v>
      </c>
      <c r="K356">
        <v>6497.6</v>
      </c>
      <c r="L356" s="20">
        <f>tbl_Budget[[#This Row],[Actual]]-tbl_Budget[[#This Row],[Budget]]</f>
        <v>25.320000000000618</v>
      </c>
      <c r="M356" s="3">
        <f>tbl_Budget[[#This Row],[Variance]]/tbl_Budget[[#This Row],[Budget]]</f>
        <v>3.9120680811090712E-3</v>
      </c>
      <c r="N356" t="str">
        <f>IF(tbl_Budget[[#This Row],[Variance_%]]&gt;0.05,"Overspend",IF(tbl_Budget[[#This Row],[Variance_%]]&lt;-0.05,"Underspend","On Budget"))</f>
        <v>On Budget</v>
      </c>
    </row>
    <row r="357" spans="1:14" hidden="1">
      <c r="A357" s="1">
        <v>45017</v>
      </c>
      <c r="B357">
        <v>4</v>
      </c>
      <c r="C357" t="s">
        <v>36</v>
      </c>
      <c r="D357" t="s">
        <v>37</v>
      </c>
      <c r="E357">
        <v>2023</v>
      </c>
      <c r="F357" t="s">
        <v>26</v>
      </c>
      <c r="G357" t="s">
        <v>22</v>
      </c>
      <c r="H357" t="s">
        <v>19</v>
      </c>
      <c r="I357" t="s">
        <v>27</v>
      </c>
      <c r="J357">
        <v>7229.41</v>
      </c>
      <c r="K357">
        <v>7212.54</v>
      </c>
      <c r="L357" s="20">
        <f>tbl_Budget[[#This Row],[Actual]]-tbl_Budget[[#This Row],[Budget]]</f>
        <v>-16.869999999999891</v>
      </c>
      <c r="M357" s="3">
        <f>tbl_Budget[[#This Row],[Variance]]/tbl_Budget[[#This Row],[Budget]]</f>
        <v>-2.3335237592002518E-3</v>
      </c>
      <c r="N357" t="str">
        <f>IF(tbl_Budget[[#This Row],[Variance_%]]&gt;0.05,"Overspend",IF(tbl_Budget[[#This Row],[Variance_%]]&lt;-0.05,"Underspend","On Budget"))</f>
        <v>On Budget</v>
      </c>
    </row>
    <row r="358" spans="1:14" hidden="1">
      <c r="A358" s="1">
        <v>45017</v>
      </c>
      <c r="B358">
        <v>4</v>
      </c>
      <c r="C358" t="s">
        <v>36</v>
      </c>
      <c r="D358" t="s">
        <v>37</v>
      </c>
      <c r="E358">
        <v>2023</v>
      </c>
      <c r="F358" t="s">
        <v>26</v>
      </c>
      <c r="G358" t="s">
        <v>23</v>
      </c>
      <c r="H358" t="s">
        <v>15</v>
      </c>
      <c r="I358" t="s">
        <v>27</v>
      </c>
      <c r="J358">
        <v>5633.41</v>
      </c>
      <c r="K358">
        <v>5641.64</v>
      </c>
      <c r="L358" s="20">
        <f>tbl_Budget[[#This Row],[Actual]]-tbl_Budget[[#This Row],[Budget]]</f>
        <v>8.2300000000004729</v>
      </c>
      <c r="M358" s="3">
        <f>tbl_Budget[[#This Row],[Variance]]/tbl_Budget[[#This Row],[Budget]]</f>
        <v>1.4609268631256154E-3</v>
      </c>
      <c r="N358" t="str">
        <f>IF(tbl_Budget[[#This Row],[Variance_%]]&gt;0.05,"Overspend",IF(tbl_Budget[[#This Row],[Variance_%]]&lt;-0.05,"Underspend","On Budget"))</f>
        <v>On Budget</v>
      </c>
    </row>
    <row r="359" spans="1:14" hidden="1">
      <c r="A359" s="1">
        <v>45017</v>
      </c>
      <c r="B359">
        <v>4</v>
      </c>
      <c r="C359" t="s">
        <v>36</v>
      </c>
      <c r="D359" t="s">
        <v>37</v>
      </c>
      <c r="E359">
        <v>2023</v>
      </c>
      <c r="F359" t="s">
        <v>26</v>
      </c>
      <c r="G359" t="s">
        <v>23</v>
      </c>
      <c r="H359" t="s">
        <v>17</v>
      </c>
      <c r="I359" t="s">
        <v>27</v>
      </c>
      <c r="J359">
        <v>5554.28</v>
      </c>
      <c r="K359">
        <v>5583.86</v>
      </c>
      <c r="L359" s="20">
        <f>tbl_Budget[[#This Row],[Actual]]-tbl_Budget[[#This Row],[Budget]]</f>
        <v>29.579999999999927</v>
      </c>
      <c r="M359" s="3">
        <f>tbl_Budget[[#This Row],[Variance]]/tbl_Budget[[#This Row],[Budget]]</f>
        <v>5.3256227629863689E-3</v>
      </c>
      <c r="N359" t="str">
        <f>IF(tbl_Budget[[#This Row],[Variance_%]]&gt;0.05,"Overspend",IF(tbl_Budget[[#This Row],[Variance_%]]&lt;-0.05,"Underspend","On Budget"))</f>
        <v>On Budget</v>
      </c>
    </row>
    <row r="360" spans="1:14" hidden="1">
      <c r="A360" s="1">
        <v>45017</v>
      </c>
      <c r="B360">
        <v>4</v>
      </c>
      <c r="C360" t="s">
        <v>36</v>
      </c>
      <c r="D360" t="s">
        <v>37</v>
      </c>
      <c r="E360">
        <v>2023</v>
      </c>
      <c r="F360" t="s">
        <v>26</v>
      </c>
      <c r="G360" t="s">
        <v>23</v>
      </c>
      <c r="H360" t="s">
        <v>18</v>
      </c>
      <c r="I360" t="s">
        <v>27</v>
      </c>
      <c r="J360">
        <v>5749.98</v>
      </c>
      <c r="K360">
        <v>5693.71</v>
      </c>
      <c r="L360" s="20">
        <f>tbl_Budget[[#This Row],[Actual]]-tbl_Budget[[#This Row],[Budget]]</f>
        <v>-56.269999999999527</v>
      </c>
      <c r="M360" s="3">
        <f>tbl_Budget[[#This Row],[Variance]]/tbl_Budget[[#This Row],[Budget]]</f>
        <v>-9.7861209952033804E-3</v>
      </c>
      <c r="N360" t="str">
        <f>IF(tbl_Budget[[#This Row],[Variance_%]]&gt;0.05,"Overspend",IF(tbl_Budget[[#This Row],[Variance_%]]&lt;-0.05,"Underspend","On Budget"))</f>
        <v>On Budget</v>
      </c>
    </row>
    <row r="361" spans="1:14" hidden="1">
      <c r="A361" s="1">
        <v>45017</v>
      </c>
      <c r="B361">
        <v>4</v>
      </c>
      <c r="C361" t="s">
        <v>36</v>
      </c>
      <c r="D361" t="s">
        <v>37</v>
      </c>
      <c r="E361">
        <v>2023</v>
      </c>
      <c r="F361" t="s">
        <v>26</v>
      </c>
      <c r="G361" t="s">
        <v>23</v>
      </c>
      <c r="H361" t="s">
        <v>19</v>
      </c>
      <c r="I361" t="s">
        <v>27</v>
      </c>
      <c r="J361">
        <v>6020.85</v>
      </c>
      <c r="K361">
        <v>6048.47</v>
      </c>
      <c r="L361" s="20">
        <f>tbl_Budget[[#This Row],[Actual]]-tbl_Budget[[#This Row],[Budget]]</f>
        <v>27.619999999999891</v>
      </c>
      <c r="M361" s="3">
        <f>tbl_Budget[[#This Row],[Variance]]/tbl_Budget[[#This Row],[Budget]]</f>
        <v>4.5873921456272603E-3</v>
      </c>
      <c r="N361" t="str">
        <f>IF(tbl_Budget[[#This Row],[Variance_%]]&gt;0.05,"Overspend",IF(tbl_Budget[[#This Row],[Variance_%]]&lt;-0.05,"Underspend","On Budget"))</f>
        <v>On Budget</v>
      </c>
    </row>
    <row r="362" spans="1:14" hidden="1">
      <c r="A362" s="1">
        <v>45017</v>
      </c>
      <c r="B362">
        <v>4</v>
      </c>
      <c r="C362" t="s">
        <v>36</v>
      </c>
      <c r="D362" t="s">
        <v>37</v>
      </c>
      <c r="E362">
        <v>2023</v>
      </c>
      <c r="F362" t="s">
        <v>28</v>
      </c>
      <c r="G362" t="s">
        <v>14</v>
      </c>
      <c r="H362" t="s">
        <v>15</v>
      </c>
      <c r="I362" t="s">
        <v>29</v>
      </c>
      <c r="J362">
        <v>54309.97</v>
      </c>
      <c r="K362">
        <v>63098.49</v>
      </c>
      <c r="L362" s="20">
        <f>tbl_Budget[[#This Row],[Actual]]-tbl_Budget[[#This Row],[Budget]]</f>
        <v>8788.5199999999968</v>
      </c>
      <c r="M362" s="3">
        <f>tbl_Budget[[#This Row],[Variance]]/tbl_Budget[[#This Row],[Budget]]</f>
        <v>0.16182148507907473</v>
      </c>
      <c r="N362" t="str">
        <f>IF(tbl_Budget[[#This Row],[Variance_%]]&gt;0.05,"Overspend",IF(tbl_Budget[[#This Row],[Variance_%]]&lt;-0.05,"Underspend","On Budget"))</f>
        <v>Overspend</v>
      </c>
    </row>
    <row r="363" spans="1:14" hidden="1">
      <c r="A363" s="1">
        <v>45017</v>
      </c>
      <c r="B363">
        <v>4</v>
      </c>
      <c r="C363" t="s">
        <v>36</v>
      </c>
      <c r="D363" t="s">
        <v>37</v>
      </c>
      <c r="E363">
        <v>2023</v>
      </c>
      <c r="F363" t="s">
        <v>28</v>
      </c>
      <c r="G363" t="s">
        <v>14</v>
      </c>
      <c r="H363" t="s">
        <v>17</v>
      </c>
      <c r="I363" t="s">
        <v>29</v>
      </c>
      <c r="J363">
        <v>53560.03</v>
      </c>
      <c r="K363">
        <v>63135.12</v>
      </c>
      <c r="L363" s="20">
        <f>tbl_Budget[[#This Row],[Actual]]-tbl_Budget[[#This Row],[Budget]]</f>
        <v>9575.0900000000038</v>
      </c>
      <c r="M363" s="3">
        <f>tbl_Budget[[#This Row],[Variance]]/tbl_Budget[[#This Row],[Budget]]</f>
        <v>0.17877305147140515</v>
      </c>
      <c r="N363" t="str">
        <f>IF(tbl_Budget[[#This Row],[Variance_%]]&gt;0.05,"Overspend",IF(tbl_Budget[[#This Row],[Variance_%]]&lt;-0.05,"Underspend","On Budget"))</f>
        <v>Overspend</v>
      </c>
    </row>
    <row r="364" spans="1:14" hidden="1">
      <c r="A364" s="1">
        <v>45017</v>
      </c>
      <c r="B364">
        <v>4</v>
      </c>
      <c r="C364" t="s">
        <v>36</v>
      </c>
      <c r="D364" t="s">
        <v>37</v>
      </c>
      <c r="E364">
        <v>2023</v>
      </c>
      <c r="F364" t="s">
        <v>28</v>
      </c>
      <c r="G364" t="s">
        <v>14</v>
      </c>
      <c r="H364" t="s">
        <v>18</v>
      </c>
      <c r="I364" t="s">
        <v>29</v>
      </c>
      <c r="J364">
        <v>54400.38</v>
      </c>
      <c r="K364">
        <v>60036.29</v>
      </c>
      <c r="L364" s="20">
        <f>tbl_Budget[[#This Row],[Actual]]-tbl_Budget[[#This Row],[Budget]]</f>
        <v>5635.9100000000035</v>
      </c>
      <c r="M364" s="3">
        <f>tbl_Budget[[#This Row],[Variance]]/tbl_Budget[[#This Row],[Budget]]</f>
        <v>0.10360056308430206</v>
      </c>
      <c r="N364" t="str">
        <f>IF(tbl_Budget[[#This Row],[Variance_%]]&gt;0.05,"Overspend",IF(tbl_Budget[[#This Row],[Variance_%]]&lt;-0.05,"Underspend","On Budget"))</f>
        <v>Overspend</v>
      </c>
    </row>
    <row r="365" spans="1:14" hidden="1">
      <c r="A365" s="1">
        <v>45017</v>
      </c>
      <c r="B365">
        <v>4</v>
      </c>
      <c r="C365" t="s">
        <v>36</v>
      </c>
      <c r="D365" t="s">
        <v>37</v>
      </c>
      <c r="E365">
        <v>2023</v>
      </c>
      <c r="F365" t="s">
        <v>28</v>
      </c>
      <c r="G365" t="s">
        <v>14</v>
      </c>
      <c r="H365" t="s">
        <v>19</v>
      </c>
      <c r="I365" t="s">
        <v>29</v>
      </c>
      <c r="J365">
        <v>57148.79</v>
      </c>
      <c r="K365">
        <v>53696.2</v>
      </c>
      <c r="L365" s="20">
        <f>tbl_Budget[[#This Row],[Actual]]-tbl_Budget[[#This Row],[Budget]]</f>
        <v>-3452.5900000000038</v>
      </c>
      <c r="M365" s="3">
        <f>tbl_Budget[[#This Row],[Variance]]/tbl_Budget[[#This Row],[Budget]]</f>
        <v>-6.0414052510998108E-2</v>
      </c>
      <c r="N365" t="str">
        <f>IF(tbl_Budget[[#This Row],[Variance_%]]&gt;0.05,"Overspend",IF(tbl_Budget[[#This Row],[Variance_%]]&lt;-0.05,"Underspend","On Budget"))</f>
        <v>Underspend</v>
      </c>
    </row>
    <row r="366" spans="1:14" hidden="1">
      <c r="A366" s="1">
        <v>45017</v>
      </c>
      <c r="B366">
        <v>4</v>
      </c>
      <c r="C366" t="s">
        <v>36</v>
      </c>
      <c r="D366" t="s">
        <v>37</v>
      </c>
      <c r="E366">
        <v>2023</v>
      </c>
      <c r="F366" t="s">
        <v>28</v>
      </c>
      <c r="G366" t="s">
        <v>20</v>
      </c>
      <c r="H366" t="s">
        <v>15</v>
      </c>
      <c r="I366" t="s">
        <v>29</v>
      </c>
      <c r="J366">
        <v>20746.39</v>
      </c>
      <c r="K366">
        <v>19587.060000000001</v>
      </c>
      <c r="L366" s="20">
        <f>tbl_Budget[[#This Row],[Actual]]-tbl_Budget[[#This Row],[Budget]]</f>
        <v>-1159.3299999999981</v>
      </c>
      <c r="M366" s="3">
        <f>tbl_Budget[[#This Row],[Variance]]/tbl_Budget[[#This Row],[Budget]]</f>
        <v>-5.5881047256896167E-2</v>
      </c>
      <c r="N366" t="str">
        <f>IF(tbl_Budget[[#This Row],[Variance_%]]&gt;0.05,"Overspend",IF(tbl_Budget[[#This Row],[Variance_%]]&lt;-0.05,"Underspend","On Budget"))</f>
        <v>Underspend</v>
      </c>
    </row>
    <row r="367" spans="1:14" hidden="1">
      <c r="A367" s="1">
        <v>45017</v>
      </c>
      <c r="B367">
        <v>4</v>
      </c>
      <c r="C367" t="s">
        <v>36</v>
      </c>
      <c r="D367" t="s">
        <v>37</v>
      </c>
      <c r="E367">
        <v>2023</v>
      </c>
      <c r="F367" t="s">
        <v>28</v>
      </c>
      <c r="G367" t="s">
        <v>20</v>
      </c>
      <c r="H367" t="s">
        <v>17</v>
      </c>
      <c r="I367" t="s">
        <v>29</v>
      </c>
      <c r="J367">
        <v>19884.02</v>
      </c>
      <c r="K367">
        <v>18609.71</v>
      </c>
      <c r="L367" s="20">
        <f>tbl_Budget[[#This Row],[Actual]]-tbl_Budget[[#This Row],[Budget]]</f>
        <v>-1274.3100000000013</v>
      </c>
      <c r="M367" s="3">
        <f>tbl_Budget[[#This Row],[Variance]]/tbl_Budget[[#This Row],[Budget]]</f>
        <v>-6.4087141332587735E-2</v>
      </c>
      <c r="N367" t="str">
        <f>IF(tbl_Budget[[#This Row],[Variance_%]]&gt;0.05,"Overspend",IF(tbl_Budget[[#This Row],[Variance_%]]&lt;-0.05,"Underspend","On Budget"))</f>
        <v>Underspend</v>
      </c>
    </row>
    <row r="368" spans="1:14" hidden="1">
      <c r="A368" s="1">
        <v>45017</v>
      </c>
      <c r="B368">
        <v>4</v>
      </c>
      <c r="C368" t="s">
        <v>36</v>
      </c>
      <c r="D368" t="s">
        <v>37</v>
      </c>
      <c r="E368">
        <v>2023</v>
      </c>
      <c r="F368" t="s">
        <v>28</v>
      </c>
      <c r="G368" t="s">
        <v>20</v>
      </c>
      <c r="H368" t="s">
        <v>18</v>
      </c>
      <c r="I368" t="s">
        <v>29</v>
      </c>
      <c r="J368">
        <v>20841.34</v>
      </c>
      <c r="K368">
        <v>18854.419999999998</v>
      </c>
      <c r="L368" s="20">
        <f>tbl_Budget[[#This Row],[Actual]]-tbl_Budget[[#This Row],[Budget]]</f>
        <v>-1986.9200000000019</v>
      </c>
      <c r="M368" s="3">
        <f>tbl_Budget[[#This Row],[Variance]]/tbl_Budget[[#This Row],[Budget]]</f>
        <v>-9.5335520652702843E-2</v>
      </c>
      <c r="N368" t="str">
        <f>IF(tbl_Budget[[#This Row],[Variance_%]]&gt;0.05,"Overspend",IF(tbl_Budget[[#This Row],[Variance_%]]&lt;-0.05,"Underspend","On Budget"))</f>
        <v>Underspend</v>
      </c>
    </row>
    <row r="369" spans="1:14" hidden="1">
      <c r="A369" s="1">
        <v>45017</v>
      </c>
      <c r="B369">
        <v>4</v>
      </c>
      <c r="C369" t="s">
        <v>36</v>
      </c>
      <c r="D369" t="s">
        <v>37</v>
      </c>
      <c r="E369">
        <v>2023</v>
      </c>
      <c r="F369" t="s">
        <v>28</v>
      </c>
      <c r="G369" t="s">
        <v>20</v>
      </c>
      <c r="H369" t="s">
        <v>19</v>
      </c>
      <c r="I369" t="s">
        <v>29</v>
      </c>
      <c r="J369">
        <v>21613.38</v>
      </c>
      <c r="K369">
        <v>24266.82</v>
      </c>
      <c r="L369" s="20">
        <f>tbl_Budget[[#This Row],[Actual]]-tbl_Budget[[#This Row],[Budget]]</f>
        <v>2653.4399999999987</v>
      </c>
      <c r="M369" s="3">
        <f>tbl_Budget[[#This Row],[Variance]]/tbl_Budget[[#This Row],[Budget]]</f>
        <v>0.12276839624343802</v>
      </c>
      <c r="N369" t="str">
        <f>IF(tbl_Budget[[#This Row],[Variance_%]]&gt;0.05,"Overspend",IF(tbl_Budget[[#This Row],[Variance_%]]&lt;-0.05,"Underspend","On Budget"))</f>
        <v>Overspend</v>
      </c>
    </row>
    <row r="370" spans="1:14">
      <c r="A370" s="1">
        <v>45017</v>
      </c>
      <c r="B370">
        <v>4</v>
      </c>
      <c r="C370" t="s">
        <v>36</v>
      </c>
      <c r="D370" t="s">
        <v>37</v>
      </c>
      <c r="E370">
        <v>2023</v>
      </c>
      <c r="F370" t="s">
        <v>28</v>
      </c>
      <c r="G370" t="s">
        <v>21</v>
      </c>
      <c r="H370" t="s">
        <v>15</v>
      </c>
      <c r="I370" t="s">
        <v>29</v>
      </c>
      <c r="J370">
        <v>11562.77</v>
      </c>
      <c r="K370">
        <v>12710.64</v>
      </c>
      <c r="L370" s="20">
        <f>tbl_Budget[[#This Row],[Actual]]-tbl_Budget[[#This Row],[Budget]]</f>
        <v>1147.869999999999</v>
      </c>
      <c r="M370" s="3">
        <f>tbl_Budget[[#This Row],[Variance]]/tbl_Budget[[#This Row],[Budget]]</f>
        <v>9.9272925086289779E-2</v>
      </c>
      <c r="N370" t="str">
        <f>IF(tbl_Budget[[#This Row],[Variance_%]]&gt;0.05,"Overspend",IF(tbl_Budget[[#This Row],[Variance_%]]&lt;-0.05,"Underspend","On Budget"))</f>
        <v>Overspend</v>
      </c>
    </row>
    <row r="371" spans="1:14">
      <c r="A371" s="1">
        <v>45017</v>
      </c>
      <c r="B371">
        <v>4</v>
      </c>
      <c r="C371" t="s">
        <v>36</v>
      </c>
      <c r="D371" t="s">
        <v>37</v>
      </c>
      <c r="E371">
        <v>2023</v>
      </c>
      <c r="F371" t="s">
        <v>28</v>
      </c>
      <c r="G371" t="s">
        <v>21</v>
      </c>
      <c r="H371" t="s">
        <v>17</v>
      </c>
      <c r="I371" t="s">
        <v>29</v>
      </c>
      <c r="J371">
        <v>11171.32</v>
      </c>
      <c r="K371">
        <v>13096.17</v>
      </c>
      <c r="L371" s="20">
        <f>tbl_Budget[[#This Row],[Actual]]-tbl_Budget[[#This Row],[Budget]]</f>
        <v>1924.8500000000004</v>
      </c>
      <c r="M371" s="3">
        <f>tbl_Budget[[#This Row],[Variance]]/tbl_Budget[[#This Row],[Budget]]</f>
        <v>0.17230282544945452</v>
      </c>
      <c r="N371" t="str">
        <f>IF(tbl_Budget[[#This Row],[Variance_%]]&gt;0.05,"Overspend",IF(tbl_Budget[[#This Row],[Variance_%]]&lt;-0.05,"Underspend","On Budget"))</f>
        <v>Overspend</v>
      </c>
    </row>
    <row r="372" spans="1:14">
      <c r="A372" s="1">
        <v>45017</v>
      </c>
      <c r="B372">
        <v>4</v>
      </c>
      <c r="C372" t="s">
        <v>36</v>
      </c>
      <c r="D372" t="s">
        <v>37</v>
      </c>
      <c r="E372">
        <v>2023</v>
      </c>
      <c r="F372" t="s">
        <v>28</v>
      </c>
      <c r="G372" t="s">
        <v>21</v>
      </c>
      <c r="H372" t="s">
        <v>18</v>
      </c>
      <c r="I372" t="s">
        <v>29</v>
      </c>
      <c r="J372">
        <v>11236.75</v>
      </c>
      <c r="K372">
        <v>11210.66</v>
      </c>
      <c r="L372" s="20">
        <f>tbl_Budget[[#This Row],[Actual]]-tbl_Budget[[#This Row],[Budget]]</f>
        <v>-26.090000000000146</v>
      </c>
      <c r="M372" s="3">
        <f>tbl_Budget[[#This Row],[Variance]]/tbl_Budget[[#This Row],[Budget]]</f>
        <v>-2.321845729414657E-3</v>
      </c>
      <c r="N372" t="str">
        <f>IF(tbl_Budget[[#This Row],[Variance_%]]&gt;0.05,"Overspend",IF(tbl_Budget[[#This Row],[Variance_%]]&lt;-0.05,"Underspend","On Budget"))</f>
        <v>On Budget</v>
      </c>
    </row>
    <row r="373" spans="1:14">
      <c r="A373" s="1">
        <v>45017</v>
      </c>
      <c r="B373">
        <v>4</v>
      </c>
      <c r="C373" t="s">
        <v>36</v>
      </c>
      <c r="D373" t="s">
        <v>37</v>
      </c>
      <c r="E373">
        <v>2023</v>
      </c>
      <c r="F373" t="s">
        <v>28</v>
      </c>
      <c r="G373" t="s">
        <v>21</v>
      </c>
      <c r="H373" t="s">
        <v>19</v>
      </c>
      <c r="I373" t="s">
        <v>29</v>
      </c>
      <c r="J373">
        <v>12597.17</v>
      </c>
      <c r="K373">
        <v>14660.07</v>
      </c>
      <c r="L373" s="20">
        <f>tbl_Budget[[#This Row],[Actual]]-tbl_Budget[[#This Row],[Budget]]</f>
        <v>2062.8999999999996</v>
      </c>
      <c r="M373" s="3">
        <f>tbl_Budget[[#This Row],[Variance]]/tbl_Budget[[#This Row],[Budget]]</f>
        <v>0.16375900301416901</v>
      </c>
      <c r="N373" t="str">
        <f>IF(tbl_Budget[[#This Row],[Variance_%]]&gt;0.05,"Overspend",IF(tbl_Budget[[#This Row],[Variance_%]]&lt;-0.05,"Underspend","On Budget"))</f>
        <v>Overspend</v>
      </c>
    </row>
    <row r="374" spans="1:14" hidden="1">
      <c r="A374" s="1">
        <v>45017</v>
      </c>
      <c r="B374">
        <v>4</v>
      </c>
      <c r="C374" t="s">
        <v>36</v>
      </c>
      <c r="D374" t="s">
        <v>37</v>
      </c>
      <c r="E374">
        <v>2023</v>
      </c>
      <c r="F374" t="s">
        <v>28</v>
      </c>
      <c r="G374" t="s">
        <v>22</v>
      </c>
      <c r="H374" t="s">
        <v>15</v>
      </c>
      <c r="I374" t="s">
        <v>29</v>
      </c>
      <c r="J374">
        <v>12140.66</v>
      </c>
      <c r="K374">
        <v>13451</v>
      </c>
      <c r="L374" s="20">
        <f>tbl_Budget[[#This Row],[Actual]]-tbl_Budget[[#This Row],[Budget]]</f>
        <v>1310.3400000000001</v>
      </c>
      <c r="M374" s="3">
        <f>tbl_Budget[[#This Row],[Variance]]/tbl_Budget[[#This Row],[Budget]]</f>
        <v>0.10792988190098397</v>
      </c>
      <c r="N374" t="str">
        <f>IF(tbl_Budget[[#This Row],[Variance_%]]&gt;0.05,"Overspend",IF(tbl_Budget[[#This Row],[Variance_%]]&lt;-0.05,"Underspend","On Budget"))</f>
        <v>Overspend</v>
      </c>
    </row>
    <row r="375" spans="1:14" hidden="1">
      <c r="A375" s="1">
        <v>45017</v>
      </c>
      <c r="B375">
        <v>4</v>
      </c>
      <c r="C375" t="s">
        <v>36</v>
      </c>
      <c r="D375" t="s">
        <v>37</v>
      </c>
      <c r="E375">
        <v>2023</v>
      </c>
      <c r="F375" t="s">
        <v>28</v>
      </c>
      <c r="G375" t="s">
        <v>22</v>
      </c>
      <c r="H375" t="s">
        <v>17</v>
      </c>
      <c r="I375" t="s">
        <v>29</v>
      </c>
      <c r="J375">
        <v>12080.43</v>
      </c>
      <c r="K375">
        <v>12853.34</v>
      </c>
      <c r="L375" s="20">
        <f>tbl_Budget[[#This Row],[Actual]]-tbl_Budget[[#This Row],[Budget]]</f>
        <v>772.90999999999985</v>
      </c>
      <c r="M375" s="3">
        <f>tbl_Budget[[#This Row],[Variance]]/tbl_Budget[[#This Row],[Budget]]</f>
        <v>6.3980338448217475E-2</v>
      </c>
      <c r="N375" t="str">
        <f>IF(tbl_Budget[[#This Row],[Variance_%]]&gt;0.05,"Overspend",IF(tbl_Budget[[#This Row],[Variance_%]]&lt;-0.05,"Underspend","On Budget"))</f>
        <v>Overspend</v>
      </c>
    </row>
    <row r="376" spans="1:14" hidden="1">
      <c r="A376" s="1">
        <v>45017</v>
      </c>
      <c r="B376">
        <v>4</v>
      </c>
      <c r="C376" t="s">
        <v>36</v>
      </c>
      <c r="D376" t="s">
        <v>37</v>
      </c>
      <c r="E376">
        <v>2023</v>
      </c>
      <c r="F376" t="s">
        <v>28</v>
      </c>
      <c r="G376" t="s">
        <v>22</v>
      </c>
      <c r="H376" t="s">
        <v>18</v>
      </c>
      <c r="I376" t="s">
        <v>29</v>
      </c>
      <c r="J376">
        <v>12289.14</v>
      </c>
      <c r="K376">
        <v>11244.95</v>
      </c>
      <c r="L376" s="20">
        <f>tbl_Budget[[#This Row],[Actual]]-tbl_Budget[[#This Row],[Budget]]</f>
        <v>-1044.1899999999987</v>
      </c>
      <c r="M376" s="3">
        <f>tbl_Budget[[#This Row],[Variance]]/tbl_Budget[[#This Row],[Budget]]</f>
        <v>-8.4968516918189449E-2</v>
      </c>
      <c r="N376" t="str">
        <f>IF(tbl_Budget[[#This Row],[Variance_%]]&gt;0.05,"Overspend",IF(tbl_Budget[[#This Row],[Variance_%]]&lt;-0.05,"Underspend","On Budget"))</f>
        <v>Underspend</v>
      </c>
    </row>
    <row r="377" spans="1:14" hidden="1">
      <c r="A377" s="1">
        <v>45017</v>
      </c>
      <c r="B377">
        <v>4</v>
      </c>
      <c r="C377" t="s">
        <v>36</v>
      </c>
      <c r="D377" t="s">
        <v>37</v>
      </c>
      <c r="E377">
        <v>2023</v>
      </c>
      <c r="F377" t="s">
        <v>28</v>
      </c>
      <c r="G377" t="s">
        <v>22</v>
      </c>
      <c r="H377" t="s">
        <v>19</v>
      </c>
      <c r="I377" t="s">
        <v>29</v>
      </c>
      <c r="J377">
        <v>12932.53</v>
      </c>
      <c r="K377">
        <v>13243.48</v>
      </c>
      <c r="L377" s="20">
        <f>tbl_Budget[[#This Row],[Actual]]-tbl_Budget[[#This Row],[Budget]]</f>
        <v>310.94999999999891</v>
      </c>
      <c r="M377" s="3">
        <f>tbl_Budget[[#This Row],[Variance]]/tbl_Budget[[#This Row],[Budget]]</f>
        <v>2.4044019229029347E-2</v>
      </c>
      <c r="N377" t="str">
        <f>IF(tbl_Budget[[#This Row],[Variance_%]]&gt;0.05,"Overspend",IF(tbl_Budget[[#This Row],[Variance_%]]&lt;-0.05,"Underspend","On Budget"))</f>
        <v>On Budget</v>
      </c>
    </row>
    <row r="378" spans="1:14" hidden="1">
      <c r="A378" s="1">
        <v>45017</v>
      </c>
      <c r="B378">
        <v>4</v>
      </c>
      <c r="C378" t="s">
        <v>36</v>
      </c>
      <c r="D378" t="s">
        <v>37</v>
      </c>
      <c r="E378">
        <v>2023</v>
      </c>
      <c r="F378" t="s">
        <v>28</v>
      </c>
      <c r="G378" t="s">
        <v>23</v>
      </c>
      <c r="H378" t="s">
        <v>15</v>
      </c>
      <c r="I378" t="s">
        <v>29</v>
      </c>
      <c r="J378">
        <v>7951.69</v>
      </c>
      <c r="K378">
        <v>9456.26</v>
      </c>
      <c r="L378" s="20">
        <f>tbl_Budget[[#This Row],[Actual]]-tbl_Budget[[#This Row],[Budget]]</f>
        <v>1504.5700000000006</v>
      </c>
      <c r="M378" s="3">
        <f>tbl_Budget[[#This Row],[Variance]]/tbl_Budget[[#This Row],[Budget]]</f>
        <v>0.18921386522864961</v>
      </c>
      <c r="N378" t="str">
        <f>IF(tbl_Budget[[#This Row],[Variance_%]]&gt;0.05,"Overspend",IF(tbl_Budget[[#This Row],[Variance_%]]&lt;-0.05,"Underspend","On Budget"))</f>
        <v>Overspend</v>
      </c>
    </row>
    <row r="379" spans="1:14" hidden="1">
      <c r="A379" s="1">
        <v>45017</v>
      </c>
      <c r="B379">
        <v>4</v>
      </c>
      <c r="C379" t="s">
        <v>36</v>
      </c>
      <c r="D379" t="s">
        <v>37</v>
      </c>
      <c r="E379">
        <v>2023</v>
      </c>
      <c r="F379" t="s">
        <v>28</v>
      </c>
      <c r="G379" t="s">
        <v>23</v>
      </c>
      <c r="H379" t="s">
        <v>17</v>
      </c>
      <c r="I379" t="s">
        <v>29</v>
      </c>
      <c r="J379">
        <v>7504.4</v>
      </c>
      <c r="K379">
        <v>6712.85</v>
      </c>
      <c r="L379" s="20">
        <f>tbl_Budget[[#This Row],[Actual]]-tbl_Budget[[#This Row],[Budget]]</f>
        <v>-791.54999999999927</v>
      </c>
      <c r="M379" s="3">
        <f>tbl_Budget[[#This Row],[Variance]]/tbl_Budget[[#This Row],[Budget]]</f>
        <v>-0.10547811950322468</v>
      </c>
      <c r="N379" t="str">
        <f>IF(tbl_Budget[[#This Row],[Variance_%]]&gt;0.05,"Overspend",IF(tbl_Budget[[#This Row],[Variance_%]]&lt;-0.05,"Underspend","On Budget"))</f>
        <v>Underspend</v>
      </c>
    </row>
    <row r="380" spans="1:14" hidden="1">
      <c r="A380" s="1">
        <v>45017</v>
      </c>
      <c r="B380">
        <v>4</v>
      </c>
      <c r="C380" t="s">
        <v>36</v>
      </c>
      <c r="D380" t="s">
        <v>37</v>
      </c>
      <c r="E380">
        <v>2023</v>
      </c>
      <c r="F380" t="s">
        <v>28</v>
      </c>
      <c r="G380" t="s">
        <v>23</v>
      </c>
      <c r="H380" t="s">
        <v>18</v>
      </c>
      <c r="I380" t="s">
        <v>29</v>
      </c>
      <c r="J380">
        <v>7868.79</v>
      </c>
      <c r="K380">
        <v>7562.84</v>
      </c>
      <c r="L380" s="20">
        <f>tbl_Budget[[#This Row],[Actual]]-tbl_Budget[[#This Row],[Budget]]</f>
        <v>-305.94999999999982</v>
      </c>
      <c r="M380" s="3">
        <f>tbl_Budget[[#This Row],[Variance]]/tbl_Budget[[#This Row],[Budget]]</f>
        <v>-3.8881454454878048E-2</v>
      </c>
      <c r="N380" t="str">
        <f>IF(tbl_Budget[[#This Row],[Variance_%]]&gt;0.05,"Overspend",IF(tbl_Budget[[#This Row],[Variance_%]]&lt;-0.05,"Underspend","On Budget"))</f>
        <v>On Budget</v>
      </c>
    </row>
    <row r="381" spans="1:14" hidden="1">
      <c r="A381" s="1">
        <v>45017</v>
      </c>
      <c r="B381">
        <v>4</v>
      </c>
      <c r="C381" t="s">
        <v>36</v>
      </c>
      <c r="D381" t="s">
        <v>37</v>
      </c>
      <c r="E381">
        <v>2023</v>
      </c>
      <c r="F381" t="s">
        <v>28</v>
      </c>
      <c r="G381" t="s">
        <v>23</v>
      </c>
      <c r="H381" t="s">
        <v>19</v>
      </c>
      <c r="I381" t="s">
        <v>29</v>
      </c>
      <c r="J381">
        <v>8148.56</v>
      </c>
      <c r="K381">
        <v>7166.44</v>
      </c>
      <c r="L381" s="20">
        <f>tbl_Budget[[#This Row],[Actual]]-tbl_Budget[[#This Row],[Budget]]</f>
        <v>-982.1200000000008</v>
      </c>
      <c r="M381" s="3">
        <f>tbl_Budget[[#This Row],[Variance]]/tbl_Budget[[#This Row],[Budget]]</f>
        <v>-0.12052681700815859</v>
      </c>
      <c r="N381" t="str">
        <f>IF(tbl_Budget[[#This Row],[Variance_%]]&gt;0.05,"Overspend",IF(tbl_Budget[[#This Row],[Variance_%]]&lt;-0.05,"Underspend","On Budget"))</f>
        <v>Underspend</v>
      </c>
    </row>
    <row r="382" spans="1:14" hidden="1">
      <c r="A382" s="1">
        <v>45017</v>
      </c>
      <c r="B382">
        <v>4</v>
      </c>
      <c r="C382" t="s">
        <v>36</v>
      </c>
      <c r="D382" t="s">
        <v>37</v>
      </c>
      <c r="E382">
        <v>2023</v>
      </c>
      <c r="F382" t="s">
        <v>30</v>
      </c>
      <c r="G382" t="s">
        <v>14</v>
      </c>
      <c r="H382" t="s">
        <v>15</v>
      </c>
      <c r="I382" t="s">
        <v>31</v>
      </c>
      <c r="J382">
        <v>43736.91</v>
      </c>
      <c r="K382">
        <v>45293.06</v>
      </c>
      <c r="L382" s="20">
        <f>tbl_Budget[[#This Row],[Actual]]-tbl_Budget[[#This Row],[Budget]]</f>
        <v>1556.1499999999942</v>
      </c>
      <c r="M382" s="3">
        <f>tbl_Budget[[#This Row],[Variance]]/tbl_Budget[[#This Row],[Budget]]</f>
        <v>3.5579788329810999E-2</v>
      </c>
      <c r="N382" t="str">
        <f>IF(tbl_Budget[[#This Row],[Variance_%]]&gt;0.05,"Overspend",IF(tbl_Budget[[#This Row],[Variance_%]]&lt;-0.05,"Underspend","On Budget"))</f>
        <v>On Budget</v>
      </c>
    </row>
    <row r="383" spans="1:14" hidden="1">
      <c r="A383" s="1">
        <v>45017</v>
      </c>
      <c r="B383">
        <v>4</v>
      </c>
      <c r="C383" t="s">
        <v>36</v>
      </c>
      <c r="D383" t="s">
        <v>37</v>
      </c>
      <c r="E383">
        <v>2023</v>
      </c>
      <c r="F383" t="s">
        <v>30</v>
      </c>
      <c r="G383" t="s">
        <v>14</v>
      </c>
      <c r="H383" t="s">
        <v>17</v>
      </c>
      <c r="I383" t="s">
        <v>31</v>
      </c>
      <c r="J383">
        <v>42792.38</v>
      </c>
      <c r="K383">
        <v>42284.32</v>
      </c>
      <c r="L383" s="20">
        <f>tbl_Budget[[#This Row],[Actual]]-tbl_Budget[[#This Row],[Budget]]</f>
        <v>-508.05999999999767</v>
      </c>
      <c r="M383" s="3">
        <f>tbl_Budget[[#This Row],[Variance]]/tbl_Budget[[#This Row],[Budget]]</f>
        <v>-1.1872674527567705E-2</v>
      </c>
      <c r="N383" t="str">
        <f>IF(tbl_Budget[[#This Row],[Variance_%]]&gt;0.05,"Overspend",IF(tbl_Budget[[#This Row],[Variance_%]]&lt;-0.05,"Underspend","On Budget"))</f>
        <v>On Budget</v>
      </c>
    </row>
    <row r="384" spans="1:14" hidden="1">
      <c r="A384" s="1">
        <v>45017</v>
      </c>
      <c r="B384">
        <v>4</v>
      </c>
      <c r="C384" t="s">
        <v>36</v>
      </c>
      <c r="D384" t="s">
        <v>37</v>
      </c>
      <c r="E384">
        <v>2023</v>
      </c>
      <c r="F384" t="s">
        <v>30</v>
      </c>
      <c r="G384" t="s">
        <v>14</v>
      </c>
      <c r="H384" t="s">
        <v>18</v>
      </c>
      <c r="I384" t="s">
        <v>31</v>
      </c>
      <c r="J384">
        <v>43479.57</v>
      </c>
      <c r="K384">
        <v>44782.17</v>
      </c>
      <c r="L384" s="20">
        <f>tbl_Budget[[#This Row],[Actual]]-tbl_Budget[[#This Row],[Budget]]</f>
        <v>1302.5999999999985</v>
      </c>
      <c r="M384" s="3">
        <f>tbl_Budget[[#This Row],[Variance]]/tbl_Budget[[#This Row],[Budget]]</f>
        <v>2.9958897937583065E-2</v>
      </c>
      <c r="N384" t="str">
        <f>IF(tbl_Budget[[#This Row],[Variance_%]]&gt;0.05,"Overspend",IF(tbl_Budget[[#This Row],[Variance_%]]&lt;-0.05,"Underspend","On Budget"))</f>
        <v>On Budget</v>
      </c>
    </row>
    <row r="385" spans="1:14" hidden="1">
      <c r="A385" s="1">
        <v>45017</v>
      </c>
      <c r="B385">
        <v>4</v>
      </c>
      <c r="C385" t="s">
        <v>36</v>
      </c>
      <c r="D385" t="s">
        <v>37</v>
      </c>
      <c r="E385">
        <v>2023</v>
      </c>
      <c r="F385" t="s">
        <v>30</v>
      </c>
      <c r="G385" t="s">
        <v>14</v>
      </c>
      <c r="H385" t="s">
        <v>19</v>
      </c>
      <c r="I385" t="s">
        <v>31</v>
      </c>
      <c r="J385">
        <v>46919.76</v>
      </c>
      <c r="K385">
        <v>45592.04</v>
      </c>
      <c r="L385" s="20">
        <f>tbl_Budget[[#This Row],[Actual]]-tbl_Budget[[#This Row],[Budget]]</f>
        <v>-1327.7200000000012</v>
      </c>
      <c r="M385" s="3">
        <f>tbl_Budget[[#This Row],[Variance]]/tbl_Budget[[#This Row],[Budget]]</f>
        <v>-2.8297672451862523E-2</v>
      </c>
      <c r="N385" t="str">
        <f>IF(tbl_Budget[[#This Row],[Variance_%]]&gt;0.05,"Overspend",IF(tbl_Budget[[#This Row],[Variance_%]]&lt;-0.05,"Underspend","On Budget"))</f>
        <v>On Budget</v>
      </c>
    </row>
    <row r="386" spans="1:14" hidden="1">
      <c r="A386" s="1">
        <v>45017</v>
      </c>
      <c r="B386">
        <v>4</v>
      </c>
      <c r="C386" t="s">
        <v>36</v>
      </c>
      <c r="D386" t="s">
        <v>37</v>
      </c>
      <c r="E386">
        <v>2023</v>
      </c>
      <c r="F386" t="s">
        <v>30</v>
      </c>
      <c r="G386" t="s">
        <v>20</v>
      </c>
      <c r="H386" t="s">
        <v>15</v>
      </c>
      <c r="I386" t="s">
        <v>31</v>
      </c>
      <c r="J386">
        <v>16402.23</v>
      </c>
      <c r="K386">
        <v>15844.65</v>
      </c>
      <c r="L386" s="20">
        <f>tbl_Budget[[#This Row],[Actual]]-tbl_Budget[[#This Row],[Budget]]</f>
        <v>-557.57999999999993</v>
      </c>
      <c r="M386" s="3">
        <f>tbl_Budget[[#This Row],[Variance]]/tbl_Budget[[#This Row],[Budget]]</f>
        <v>-3.399415811142753E-2</v>
      </c>
      <c r="N386" t="str">
        <f>IF(tbl_Budget[[#This Row],[Variance_%]]&gt;0.05,"Overspend",IF(tbl_Budget[[#This Row],[Variance_%]]&lt;-0.05,"Underspend","On Budget"))</f>
        <v>On Budget</v>
      </c>
    </row>
    <row r="387" spans="1:14" hidden="1">
      <c r="A387" s="1">
        <v>45017</v>
      </c>
      <c r="B387">
        <v>4</v>
      </c>
      <c r="C387" t="s">
        <v>36</v>
      </c>
      <c r="D387" t="s">
        <v>37</v>
      </c>
      <c r="E387">
        <v>2023</v>
      </c>
      <c r="F387" t="s">
        <v>30</v>
      </c>
      <c r="G387" t="s">
        <v>20</v>
      </c>
      <c r="H387" t="s">
        <v>17</v>
      </c>
      <c r="I387" t="s">
        <v>31</v>
      </c>
      <c r="J387">
        <v>15578.58</v>
      </c>
      <c r="K387">
        <v>14733.25</v>
      </c>
      <c r="L387" s="20">
        <f>tbl_Budget[[#This Row],[Actual]]-tbl_Budget[[#This Row],[Budget]]</f>
        <v>-845.32999999999993</v>
      </c>
      <c r="M387" s="3">
        <f>tbl_Budget[[#This Row],[Variance]]/tbl_Budget[[#This Row],[Budget]]</f>
        <v>-5.4262326861626665E-2</v>
      </c>
      <c r="N387" t="str">
        <f>IF(tbl_Budget[[#This Row],[Variance_%]]&gt;0.05,"Overspend",IF(tbl_Budget[[#This Row],[Variance_%]]&lt;-0.05,"Underspend","On Budget"))</f>
        <v>Underspend</v>
      </c>
    </row>
    <row r="388" spans="1:14" hidden="1">
      <c r="A388" s="1">
        <v>45017</v>
      </c>
      <c r="B388">
        <v>4</v>
      </c>
      <c r="C388" t="s">
        <v>36</v>
      </c>
      <c r="D388" t="s">
        <v>37</v>
      </c>
      <c r="E388">
        <v>2023</v>
      </c>
      <c r="F388" t="s">
        <v>30</v>
      </c>
      <c r="G388" t="s">
        <v>20</v>
      </c>
      <c r="H388" t="s">
        <v>18</v>
      </c>
      <c r="I388" t="s">
        <v>31</v>
      </c>
      <c r="J388">
        <v>16257.64</v>
      </c>
      <c r="K388">
        <v>16548.71</v>
      </c>
      <c r="L388" s="20">
        <f>tbl_Budget[[#This Row],[Actual]]-tbl_Budget[[#This Row],[Budget]]</f>
        <v>291.06999999999971</v>
      </c>
      <c r="M388" s="3">
        <f>tbl_Budget[[#This Row],[Variance]]/tbl_Budget[[#This Row],[Budget]]</f>
        <v>1.7903582561798619E-2</v>
      </c>
      <c r="N388" t="str">
        <f>IF(tbl_Budget[[#This Row],[Variance_%]]&gt;0.05,"Overspend",IF(tbl_Budget[[#This Row],[Variance_%]]&lt;-0.05,"Underspend","On Budget"))</f>
        <v>On Budget</v>
      </c>
    </row>
    <row r="389" spans="1:14" hidden="1">
      <c r="A389" s="1">
        <v>45017</v>
      </c>
      <c r="B389">
        <v>4</v>
      </c>
      <c r="C389" t="s">
        <v>36</v>
      </c>
      <c r="D389" t="s">
        <v>37</v>
      </c>
      <c r="E389">
        <v>2023</v>
      </c>
      <c r="F389" t="s">
        <v>30</v>
      </c>
      <c r="G389" t="s">
        <v>20</v>
      </c>
      <c r="H389" t="s">
        <v>19</v>
      </c>
      <c r="I389" t="s">
        <v>31</v>
      </c>
      <c r="J389">
        <v>17621.93</v>
      </c>
      <c r="K389">
        <v>18070.55</v>
      </c>
      <c r="L389" s="20">
        <f>tbl_Budget[[#This Row],[Actual]]-tbl_Budget[[#This Row],[Budget]]</f>
        <v>448.61999999999898</v>
      </c>
      <c r="M389" s="3">
        <f>tbl_Budget[[#This Row],[Variance]]/tbl_Budget[[#This Row],[Budget]]</f>
        <v>2.5458051416615488E-2</v>
      </c>
      <c r="N389" t="str">
        <f>IF(tbl_Budget[[#This Row],[Variance_%]]&gt;0.05,"Overspend",IF(tbl_Budget[[#This Row],[Variance_%]]&lt;-0.05,"Underspend","On Budget"))</f>
        <v>On Budget</v>
      </c>
    </row>
    <row r="390" spans="1:14">
      <c r="A390" s="1">
        <v>45017</v>
      </c>
      <c r="B390">
        <v>4</v>
      </c>
      <c r="C390" t="s">
        <v>36</v>
      </c>
      <c r="D390" t="s">
        <v>37</v>
      </c>
      <c r="E390">
        <v>2023</v>
      </c>
      <c r="F390" t="s">
        <v>30</v>
      </c>
      <c r="G390" t="s">
        <v>21</v>
      </c>
      <c r="H390" t="s">
        <v>15</v>
      </c>
      <c r="I390" t="s">
        <v>31</v>
      </c>
      <c r="J390">
        <v>6941.29</v>
      </c>
      <c r="K390">
        <v>7238.21</v>
      </c>
      <c r="L390" s="20">
        <f>tbl_Budget[[#This Row],[Actual]]-tbl_Budget[[#This Row],[Budget]]</f>
        <v>296.92000000000007</v>
      </c>
      <c r="M390" s="3">
        <f>tbl_Budget[[#This Row],[Variance]]/tbl_Budget[[#This Row],[Budget]]</f>
        <v>4.2775910529598976E-2</v>
      </c>
      <c r="N390" t="str">
        <f>IF(tbl_Budget[[#This Row],[Variance_%]]&gt;0.05,"Overspend",IF(tbl_Budget[[#This Row],[Variance_%]]&lt;-0.05,"Underspend","On Budget"))</f>
        <v>On Budget</v>
      </c>
    </row>
    <row r="391" spans="1:14">
      <c r="A391" s="1">
        <v>45017</v>
      </c>
      <c r="B391">
        <v>4</v>
      </c>
      <c r="C391" t="s">
        <v>36</v>
      </c>
      <c r="D391" t="s">
        <v>37</v>
      </c>
      <c r="E391">
        <v>2023</v>
      </c>
      <c r="F391" t="s">
        <v>30</v>
      </c>
      <c r="G391" t="s">
        <v>21</v>
      </c>
      <c r="H391" t="s">
        <v>17</v>
      </c>
      <c r="I391" t="s">
        <v>31</v>
      </c>
      <c r="J391">
        <v>6763.07</v>
      </c>
      <c r="K391">
        <v>6922.1</v>
      </c>
      <c r="L391" s="20">
        <f>tbl_Budget[[#This Row],[Actual]]-tbl_Budget[[#This Row],[Budget]]</f>
        <v>159.03000000000065</v>
      </c>
      <c r="M391" s="3">
        <f>tbl_Budget[[#This Row],[Variance]]/tbl_Budget[[#This Row],[Budget]]</f>
        <v>2.3514469020725893E-2</v>
      </c>
      <c r="N391" t="str">
        <f>IF(tbl_Budget[[#This Row],[Variance_%]]&gt;0.05,"Overspend",IF(tbl_Budget[[#This Row],[Variance_%]]&lt;-0.05,"Underspend","On Budget"))</f>
        <v>On Budget</v>
      </c>
    </row>
    <row r="392" spans="1:14">
      <c r="A392" s="1">
        <v>45017</v>
      </c>
      <c r="B392">
        <v>4</v>
      </c>
      <c r="C392" t="s">
        <v>36</v>
      </c>
      <c r="D392" t="s">
        <v>37</v>
      </c>
      <c r="E392">
        <v>2023</v>
      </c>
      <c r="F392" t="s">
        <v>30</v>
      </c>
      <c r="G392" t="s">
        <v>21</v>
      </c>
      <c r="H392" t="s">
        <v>18</v>
      </c>
      <c r="I392" t="s">
        <v>31</v>
      </c>
      <c r="J392">
        <v>6841.41</v>
      </c>
      <c r="K392">
        <v>6970.12</v>
      </c>
      <c r="L392" s="20">
        <f>tbl_Budget[[#This Row],[Actual]]-tbl_Budget[[#This Row],[Budget]]</f>
        <v>128.71000000000004</v>
      </c>
      <c r="M392" s="3">
        <f>tbl_Budget[[#This Row],[Variance]]/tbl_Budget[[#This Row],[Budget]]</f>
        <v>1.8813373266621945E-2</v>
      </c>
      <c r="N392" t="str">
        <f>IF(tbl_Budget[[#This Row],[Variance_%]]&gt;0.05,"Overspend",IF(tbl_Budget[[#This Row],[Variance_%]]&lt;-0.05,"Underspend","On Budget"))</f>
        <v>On Budget</v>
      </c>
    </row>
    <row r="393" spans="1:14">
      <c r="A393" s="1">
        <v>45017</v>
      </c>
      <c r="B393">
        <v>4</v>
      </c>
      <c r="C393" t="s">
        <v>36</v>
      </c>
      <c r="D393" t="s">
        <v>37</v>
      </c>
      <c r="E393">
        <v>2023</v>
      </c>
      <c r="F393" t="s">
        <v>30</v>
      </c>
      <c r="G393" t="s">
        <v>21</v>
      </c>
      <c r="H393" t="s">
        <v>19</v>
      </c>
      <c r="I393" t="s">
        <v>31</v>
      </c>
      <c r="J393">
        <v>7478.48</v>
      </c>
      <c r="K393">
        <v>7519.05</v>
      </c>
      <c r="L393" s="20">
        <f>tbl_Budget[[#This Row],[Actual]]-tbl_Budget[[#This Row],[Budget]]</f>
        <v>40.570000000000618</v>
      </c>
      <c r="M393" s="3">
        <f>tbl_Budget[[#This Row],[Variance]]/tbl_Budget[[#This Row],[Budget]]</f>
        <v>5.4248991773730255E-3</v>
      </c>
      <c r="N393" t="str">
        <f>IF(tbl_Budget[[#This Row],[Variance_%]]&gt;0.05,"Overspend",IF(tbl_Budget[[#This Row],[Variance_%]]&lt;-0.05,"Underspend","On Budget"))</f>
        <v>On Budget</v>
      </c>
    </row>
    <row r="394" spans="1:14" hidden="1">
      <c r="A394" s="1">
        <v>45017</v>
      </c>
      <c r="B394">
        <v>4</v>
      </c>
      <c r="C394" t="s">
        <v>36</v>
      </c>
      <c r="D394" t="s">
        <v>37</v>
      </c>
      <c r="E394">
        <v>2023</v>
      </c>
      <c r="F394" t="s">
        <v>30</v>
      </c>
      <c r="G394" t="s">
        <v>22</v>
      </c>
      <c r="H394" t="s">
        <v>15</v>
      </c>
      <c r="I394" t="s">
        <v>31</v>
      </c>
      <c r="J394">
        <v>7338.61</v>
      </c>
      <c r="K394">
        <v>7201</v>
      </c>
      <c r="L394" s="20">
        <f>tbl_Budget[[#This Row],[Actual]]-tbl_Budget[[#This Row],[Budget]]</f>
        <v>-137.60999999999967</v>
      </c>
      <c r="M394" s="3">
        <f>tbl_Budget[[#This Row],[Variance]]/tbl_Budget[[#This Row],[Budget]]</f>
        <v>-1.8751507438057025E-2</v>
      </c>
      <c r="N394" t="str">
        <f>IF(tbl_Budget[[#This Row],[Variance_%]]&gt;0.05,"Overspend",IF(tbl_Budget[[#This Row],[Variance_%]]&lt;-0.05,"Underspend","On Budget"))</f>
        <v>On Budget</v>
      </c>
    </row>
    <row r="395" spans="1:14" hidden="1">
      <c r="A395" s="1">
        <v>45017</v>
      </c>
      <c r="B395">
        <v>4</v>
      </c>
      <c r="C395" t="s">
        <v>36</v>
      </c>
      <c r="D395" t="s">
        <v>37</v>
      </c>
      <c r="E395">
        <v>2023</v>
      </c>
      <c r="F395" t="s">
        <v>30</v>
      </c>
      <c r="G395" t="s">
        <v>22</v>
      </c>
      <c r="H395" t="s">
        <v>17</v>
      </c>
      <c r="I395" t="s">
        <v>31</v>
      </c>
      <c r="J395">
        <v>6874.77</v>
      </c>
      <c r="K395">
        <v>6993.95</v>
      </c>
      <c r="L395" s="20">
        <f>tbl_Budget[[#This Row],[Actual]]-tbl_Budget[[#This Row],[Budget]]</f>
        <v>119.17999999999938</v>
      </c>
      <c r="M395" s="3">
        <f>tbl_Budget[[#This Row],[Variance]]/tbl_Budget[[#This Row],[Budget]]</f>
        <v>1.7335852690344457E-2</v>
      </c>
      <c r="N395" t="str">
        <f>IF(tbl_Budget[[#This Row],[Variance_%]]&gt;0.05,"Overspend",IF(tbl_Budget[[#This Row],[Variance_%]]&lt;-0.05,"Underspend","On Budget"))</f>
        <v>On Budget</v>
      </c>
    </row>
    <row r="396" spans="1:14" hidden="1">
      <c r="A396" s="1">
        <v>45017</v>
      </c>
      <c r="B396">
        <v>4</v>
      </c>
      <c r="C396" t="s">
        <v>36</v>
      </c>
      <c r="D396" t="s">
        <v>37</v>
      </c>
      <c r="E396">
        <v>2023</v>
      </c>
      <c r="F396" t="s">
        <v>30</v>
      </c>
      <c r="G396" t="s">
        <v>22</v>
      </c>
      <c r="H396" t="s">
        <v>18</v>
      </c>
      <c r="I396" t="s">
        <v>31</v>
      </c>
      <c r="J396">
        <v>6962.63</v>
      </c>
      <c r="K396">
        <v>6693.5</v>
      </c>
      <c r="L396" s="20">
        <f>tbl_Budget[[#This Row],[Actual]]-tbl_Budget[[#This Row],[Budget]]</f>
        <v>-269.13000000000011</v>
      </c>
      <c r="M396" s="3">
        <f>tbl_Budget[[#This Row],[Variance]]/tbl_Budget[[#This Row],[Budget]]</f>
        <v>-3.8653497313515167E-2</v>
      </c>
      <c r="N396" t="str">
        <f>IF(tbl_Budget[[#This Row],[Variance_%]]&gt;0.05,"Overspend",IF(tbl_Budget[[#This Row],[Variance_%]]&lt;-0.05,"Underspend","On Budget"))</f>
        <v>On Budget</v>
      </c>
    </row>
    <row r="397" spans="1:14" hidden="1">
      <c r="A397" s="1">
        <v>45017</v>
      </c>
      <c r="B397">
        <v>4</v>
      </c>
      <c r="C397" t="s">
        <v>36</v>
      </c>
      <c r="D397" t="s">
        <v>37</v>
      </c>
      <c r="E397">
        <v>2023</v>
      </c>
      <c r="F397" t="s">
        <v>30</v>
      </c>
      <c r="G397" t="s">
        <v>22</v>
      </c>
      <c r="H397" t="s">
        <v>19</v>
      </c>
      <c r="I397" t="s">
        <v>31</v>
      </c>
      <c r="J397">
        <v>7787.91</v>
      </c>
      <c r="K397">
        <v>7784.47</v>
      </c>
      <c r="L397" s="20">
        <f>tbl_Budget[[#This Row],[Actual]]-tbl_Budget[[#This Row],[Budget]]</f>
        <v>-3.4399999999995998</v>
      </c>
      <c r="M397" s="3">
        <f>tbl_Budget[[#This Row],[Variance]]/tbl_Budget[[#This Row],[Budget]]</f>
        <v>-4.417102919781559E-4</v>
      </c>
      <c r="N397" t="str">
        <f>IF(tbl_Budget[[#This Row],[Variance_%]]&gt;0.05,"Overspend",IF(tbl_Budget[[#This Row],[Variance_%]]&lt;-0.05,"Underspend","On Budget"))</f>
        <v>On Budget</v>
      </c>
    </row>
    <row r="398" spans="1:14" hidden="1">
      <c r="A398" s="1">
        <v>45017</v>
      </c>
      <c r="B398">
        <v>4</v>
      </c>
      <c r="C398" t="s">
        <v>36</v>
      </c>
      <c r="D398" t="s">
        <v>37</v>
      </c>
      <c r="E398">
        <v>2023</v>
      </c>
      <c r="F398" t="s">
        <v>30</v>
      </c>
      <c r="G398" t="s">
        <v>23</v>
      </c>
      <c r="H398" t="s">
        <v>15</v>
      </c>
      <c r="I398" t="s">
        <v>31</v>
      </c>
      <c r="J398">
        <v>6166.39</v>
      </c>
      <c r="K398">
        <v>6254.65</v>
      </c>
      <c r="L398" s="20">
        <f>tbl_Budget[[#This Row],[Actual]]-tbl_Budget[[#This Row],[Budget]]</f>
        <v>88.259999999999309</v>
      </c>
      <c r="M398" s="3">
        <f>tbl_Budget[[#This Row],[Variance]]/tbl_Budget[[#This Row],[Budget]]</f>
        <v>1.4313074586589447E-2</v>
      </c>
      <c r="N398" t="str">
        <f>IF(tbl_Budget[[#This Row],[Variance_%]]&gt;0.05,"Overspend",IF(tbl_Budget[[#This Row],[Variance_%]]&lt;-0.05,"Underspend","On Budget"))</f>
        <v>On Budget</v>
      </c>
    </row>
    <row r="399" spans="1:14" hidden="1">
      <c r="A399" s="1">
        <v>45017</v>
      </c>
      <c r="B399">
        <v>4</v>
      </c>
      <c r="C399" t="s">
        <v>36</v>
      </c>
      <c r="D399" t="s">
        <v>37</v>
      </c>
      <c r="E399">
        <v>2023</v>
      </c>
      <c r="F399" t="s">
        <v>30</v>
      </c>
      <c r="G399" t="s">
        <v>23</v>
      </c>
      <c r="H399" t="s">
        <v>17</v>
      </c>
      <c r="I399" t="s">
        <v>31</v>
      </c>
      <c r="J399">
        <v>5959.07</v>
      </c>
      <c r="K399">
        <v>6241.39</v>
      </c>
      <c r="L399" s="20">
        <f>tbl_Budget[[#This Row],[Actual]]-tbl_Budget[[#This Row],[Budget]]</f>
        <v>282.32000000000062</v>
      </c>
      <c r="M399" s="3">
        <f>tbl_Budget[[#This Row],[Variance]]/tbl_Budget[[#This Row],[Budget]]</f>
        <v>4.7376520161703191E-2</v>
      </c>
      <c r="N399" t="str">
        <f>IF(tbl_Budget[[#This Row],[Variance_%]]&gt;0.05,"Overspend",IF(tbl_Budget[[#This Row],[Variance_%]]&lt;-0.05,"Underspend","On Budget"))</f>
        <v>On Budget</v>
      </c>
    </row>
    <row r="400" spans="1:14" hidden="1">
      <c r="A400" s="1">
        <v>45017</v>
      </c>
      <c r="B400">
        <v>4</v>
      </c>
      <c r="C400" t="s">
        <v>36</v>
      </c>
      <c r="D400" t="s">
        <v>37</v>
      </c>
      <c r="E400">
        <v>2023</v>
      </c>
      <c r="F400" t="s">
        <v>30</v>
      </c>
      <c r="G400" t="s">
        <v>23</v>
      </c>
      <c r="H400" t="s">
        <v>18</v>
      </c>
      <c r="I400" t="s">
        <v>31</v>
      </c>
      <c r="J400">
        <v>6256.91</v>
      </c>
      <c r="K400">
        <v>6030.52</v>
      </c>
      <c r="L400" s="20">
        <f>tbl_Budget[[#This Row],[Actual]]-tbl_Budget[[#This Row],[Budget]]</f>
        <v>-226.38999999999942</v>
      </c>
      <c r="M400" s="3">
        <f>tbl_Budget[[#This Row],[Variance]]/tbl_Budget[[#This Row],[Budget]]</f>
        <v>-3.6182396742161775E-2</v>
      </c>
      <c r="N400" t="str">
        <f>IF(tbl_Budget[[#This Row],[Variance_%]]&gt;0.05,"Overspend",IF(tbl_Budget[[#This Row],[Variance_%]]&lt;-0.05,"Underspend","On Budget"))</f>
        <v>On Budget</v>
      </c>
    </row>
    <row r="401" spans="1:14" hidden="1">
      <c r="A401" s="1">
        <v>45017</v>
      </c>
      <c r="B401">
        <v>4</v>
      </c>
      <c r="C401" t="s">
        <v>36</v>
      </c>
      <c r="D401" t="s">
        <v>37</v>
      </c>
      <c r="E401">
        <v>2023</v>
      </c>
      <c r="F401" t="s">
        <v>30</v>
      </c>
      <c r="G401" t="s">
        <v>23</v>
      </c>
      <c r="H401" t="s">
        <v>19</v>
      </c>
      <c r="I401" t="s">
        <v>31</v>
      </c>
      <c r="J401">
        <v>6609.72</v>
      </c>
      <c r="K401">
        <v>6500.69</v>
      </c>
      <c r="L401" s="20">
        <f>tbl_Budget[[#This Row],[Actual]]-tbl_Budget[[#This Row],[Budget]]</f>
        <v>-109.03000000000065</v>
      </c>
      <c r="M401" s="3">
        <f>tbl_Budget[[#This Row],[Variance]]/tbl_Budget[[#This Row],[Budget]]</f>
        <v>-1.6495403738736383E-2</v>
      </c>
      <c r="N401" t="str">
        <f>IF(tbl_Budget[[#This Row],[Variance_%]]&gt;0.05,"Overspend",IF(tbl_Budget[[#This Row],[Variance_%]]&lt;-0.05,"Underspend","On Budget"))</f>
        <v>On Budget</v>
      </c>
    </row>
    <row r="402" spans="1:14" hidden="1">
      <c r="A402" s="1">
        <v>45047</v>
      </c>
      <c r="B402">
        <v>5</v>
      </c>
      <c r="C402" t="s">
        <v>38</v>
      </c>
      <c r="D402" t="s">
        <v>39</v>
      </c>
      <c r="E402">
        <v>2023</v>
      </c>
      <c r="F402" t="s">
        <v>13</v>
      </c>
      <c r="G402" t="s">
        <v>14</v>
      </c>
      <c r="H402" t="s">
        <v>15</v>
      </c>
      <c r="I402" t="s">
        <v>16</v>
      </c>
      <c r="J402">
        <v>49486.83</v>
      </c>
      <c r="K402">
        <v>57537.39</v>
      </c>
      <c r="L402" s="20">
        <f>tbl_Budget[[#This Row],[Actual]]-tbl_Budget[[#This Row],[Budget]]</f>
        <v>8050.5599999999977</v>
      </c>
      <c r="M402" s="3">
        <f>tbl_Budget[[#This Row],[Variance]]/tbl_Budget[[#This Row],[Budget]]</f>
        <v>0.16268085872544266</v>
      </c>
      <c r="N402" t="str">
        <f>IF(tbl_Budget[[#This Row],[Variance_%]]&gt;0.05,"Overspend",IF(tbl_Budget[[#This Row],[Variance_%]]&lt;-0.05,"Underspend","On Budget"))</f>
        <v>Overspend</v>
      </c>
    </row>
    <row r="403" spans="1:14" hidden="1">
      <c r="A403" s="1">
        <v>45047</v>
      </c>
      <c r="B403">
        <v>5</v>
      </c>
      <c r="C403" t="s">
        <v>38</v>
      </c>
      <c r="D403" t="s">
        <v>39</v>
      </c>
      <c r="E403">
        <v>2023</v>
      </c>
      <c r="F403" t="s">
        <v>13</v>
      </c>
      <c r="G403" t="s">
        <v>14</v>
      </c>
      <c r="H403" t="s">
        <v>17</v>
      </c>
      <c r="I403" t="s">
        <v>16</v>
      </c>
      <c r="J403">
        <v>47490.07</v>
      </c>
      <c r="K403">
        <v>51893.440000000002</v>
      </c>
      <c r="L403" s="20">
        <f>tbl_Budget[[#This Row],[Actual]]-tbl_Budget[[#This Row],[Budget]]</f>
        <v>4403.3700000000026</v>
      </c>
      <c r="M403" s="3">
        <f>tbl_Budget[[#This Row],[Variance]]/tbl_Budget[[#This Row],[Budget]]</f>
        <v>9.2721910075095754E-2</v>
      </c>
      <c r="N403" t="str">
        <f>IF(tbl_Budget[[#This Row],[Variance_%]]&gt;0.05,"Overspend",IF(tbl_Budget[[#This Row],[Variance_%]]&lt;-0.05,"Underspend","On Budget"))</f>
        <v>Overspend</v>
      </c>
    </row>
    <row r="404" spans="1:14" hidden="1">
      <c r="A404" s="1">
        <v>45047</v>
      </c>
      <c r="B404">
        <v>5</v>
      </c>
      <c r="C404" t="s">
        <v>38</v>
      </c>
      <c r="D404" t="s">
        <v>39</v>
      </c>
      <c r="E404">
        <v>2023</v>
      </c>
      <c r="F404" t="s">
        <v>13</v>
      </c>
      <c r="G404" t="s">
        <v>14</v>
      </c>
      <c r="H404" t="s">
        <v>18</v>
      </c>
      <c r="I404" t="s">
        <v>16</v>
      </c>
      <c r="J404">
        <v>48146.36</v>
      </c>
      <c r="K404">
        <v>55036.59</v>
      </c>
      <c r="L404" s="20">
        <f>tbl_Budget[[#This Row],[Actual]]-tbl_Budget[[#This Row],[Budget]]</f>
        <v>6890.2299999999959</v>
      </c>
      <c r="M404" s="3">
        <f>tbl_Budget[[#This Row],[Variance]]/tbl_Budget[[#This Row],[Budget]]</f>
        <v>0.14311009181171735</v>
      </c>
      <c r="N404" t="str">
        <f>IF(tbl_Budget[[#This Row],[Variance_%]]&gt;0.05,"Overspend",IF(tbl_Budget[[#This Row],[Variance_%]]&lt;-0.05,"Underspend","On Budget"))</f>
        <v>Overspend</v>
      </c>
    </row>
    <row r="405" spans="1:14" hidden="1">
      <c r="A405" s="1">
        <v>45047</v>
      </c>
      <c r="B405">
        <v>5</v>
      </c>
      <c r="C405" t="s">
        <v>38</v>
      </c>
      <c r="D405" t="s">
        <v>39</v>
      </c>
      <c r="E405">
        <v>2023</v>
      </c>
      <c r="F405" t="s">
        <v>13</v>
      </c>
      <c r="G405" t="s">
        <v>14</v>
      </c>
      <c r="H405" t="s">
        <v>19</v>
      </c>
      <c r="I405" t="s">
        <v>16</v>
      </c>
      <c r="J405">
        <v>50954.68</v>
      </c>
      <c r="K405">
        <v>60303.42</v>
      </c>
      <c r="L405" s="20">
        <f>tbl_Budget[[#This Row],[Actual]]-tbl_Budget[[#This Row],[Budget]]</f>
        <v>9348.739999999998</v>
      </c>
      <c r="M405" s="3">
        <f>tbl_Budget[[#This Row],[Variance]]/tbl_Budget[[#This Row],[Budget]]</f>
        <v>0.18347166540934018</v>
      </c>
      <c r="N405" t="str">
        <f>IF(tbl_Budget[[#This Row],[Variance_%]]&gt;0.05,"Overspend",IF(tbl_Budget[[#This Row],[Variance_%]]&lt;-0.05,"Underspend","On Budget"))</f>
        <v>Overspend</v>
      </c>
    </row>
    <row r="406" spans="1:14" hidden="1">
      <c r="A406" s="1">
        <v>45047</v>
      </c>
      <c r="B406">
        <v>5</v>
      </c>
      <c r="C406" t="s">
        <v>38</v>
      </c>
      <c r="D406" t="s">
        <v>39</v>
      </c>
      <c r="E406">
        <v>2023</v>
      </c>
      <c r="F406" t="s">
        <v>13</v>
      </c>
      <c r="G406" t="s">
        <v>20</v>
      </c>
      <c r="H406" t="s">
        <v>15</v>
      </c>
      <c r="I406" t="s">
        <v>16</v>
      </c>
      <c r="J406">
        <v>18846.27</v>
      </c>
      <c r="K406">
        <v>21358.77</v>
      </c>
      <c r="L406" s="20">
        <f>tbl_Budget[[#This Row],[Actual]]-tbl_Budget[[#This Row],[Budget]]</f>
        <v>2512.5</v>
      </c>
      <c r="M406" s="3">
        <f>tbl_Budget[[#This Row],[Variance]]/tbl_Budget[[#This Row],[Budget]]</f>
        <v>0.13331550487178631</v>
      </c>
      <c r="N406" t="str">
        <f>IF(tbl_Budget[[#This Row],[Variance_%]]&gt;0.05,"Overspend",IF(tbl_Budget[[#This Row],[Variance_%]]&lt;-0.05,"Underspend","On Budget"))</f>
        <v>Overspend</v>
      </c>
    </row>
    <row r="407" spans="1:14" hidden="1">
      <c r="A407" s="1">
        <v>45047</v>
      </c>
      <c r="B407">
        <v>5</v>
      </c>
      <c r="C407" t="s">
        <v>38</v>
      </c>
      <c r="D407" t="s">
        <v>39</v>
      </c>
      <c r="E407">
        <v>2023</v>
      </c>
      <c r="F407" t="s">
        <v>13</v>
      </c>
      <c r="G407" t="s">
        <v>20</v>
      </c>
      <c r="H407" t="s">
        <v>17</v>
      </c>
      <c r="I407" t="s">
        <v>16</v>
      </c>
      <c r="J407">
        <v>17889.27</v>
      </c>
      <c r="K407">
        <v>20267.21</v>
      </c>
      <c r="L407" s="20">
        <f>tbl_Budget[[#This Row],[Actual]]-tbl_Budget[[#This Row],[Budget]]</f>
        <v>2377.9399999999987</v>
      </c>
      <c r="M407" s="3">
        <f>tbl_Budget[[#This Row],[Variance]]/tbl_Budget[[#This Row],[Budget]]</f>
        <v>0.13292549109046925</v>
      </c>
      <c r="N407" t="str">
        <f>IF(tbl_Budget[[#This Row],[Variance_%]]&gt;0.05,"Overspend",IF(tbl_Budget[[#This Row],[Variance_%]]&lt;-0.05,"Underspend","On Budget"))</f>
        <v>Overspend</v>
      </c>
    </row>
    <row r="408" spans="1:14" hidden="1">
      <c r="A408" s="1">
        <v>45047</v>
      </c>
      <c r="B408">
        <v>5</v>
      </c>
      <c r="C408" t="s">
        <v>38</v>
      </c>
      <c r="D408" t="s">
        <v>39</v>
      </c>
      <c r="E408">
        <v>2023</v>
      </c>
      <c r="F408" t="s">
        <v>13</v>
      </c>
      <c r="G408" t="s">
        <v>20</v>
      </c>
      <c r="H408" t="s">
        <v>18</v>
      </c>
      <c r="I408" t="s">
        <v>16</v>
      </c>
      <c r="J408">
        <v>18423.61</v>
      </c>
      <c r="K408">
        <v>20184.27</v>
      </c>
      <c r="L408" s="20">
        <f>tbl_Budget[[#This Row],[Actual]]-tbl_Budget[[#This Row],[Budget]]</f>
        <v>1760.6599999999999</v>
      </c>
      <c r="M408" s="3">
        <f>tbl_Budget[[#This Row],[Variance]]/tbl_Budget[[#This Row],[Budget]]</f>
        <v>9.5565418503756855E-2</v>
      </c>
      <c r="N408" t="str">
        <f>IF(tbl_Budget[[#This Row],[Variance_%]]&gt;0.05,"Overspend",IF(tbl_Budget[[#This Row],[Variance_%]]&lt;-0.05,"Underspend","On Budget"))</f>
        <v>Overspend</v>
      </c>
    </row>
    <row r="409" spans="1:14" hidden="1">
      <c r="A409" s="1">
        <v>45047</v>
      </c>
      <c r="B409">
        <v>5</v>
      </c>
      <c r="C409" t="s">
        <v>38</v>
      </c>
      <c r="D409" t="s">
        <v>39</v>
      </c>
      <c r="E409">
        <v>2023</v>
      </c>
      <c r="F409" t="s">
        <v>13</v>
      </c>
      <c r="G409" t="s">
        <v>20</v>
      </c>
      <c r="H409" t="s">
        <v>19</v>
      </c>
      <c r="I409" t="s">
        <v>16</v>
      </c>
      <c r="J409">
        <v>19169.759999999998</v>
      </c>
      <c r="K409">
        <v>22868.21</v>
      </c>
      <c r="L409" s="20">
        <f>tbl_Budget[[#This Row],[Actual]]-tbl_Budget[[#This Row],[Budget]]</f>
        <v>3698.4500000000007</v>
      </c>
      <c r="M409" s="3">
        <f>tbl_Budget[[#This Row],[Variance]]/tbl_Budget[[#This Row],[Budget]]</f>
        <v>0.19293147123386006</v>
      </c>
      <c r="N409" t="str">
        <f>IF(tbl_Budget[[#This Row],[Variance_%]]&gt;0.05,"Overspend",IF(tbl_Budget[[#This Row],[Variance_%]]&lt;-0.05,"Underspend","On Budget"))</f>
        <v>Overspend</v>
      </c>
    </row>
    <row r="410" spans="1:14">
      <c r="A410" s="1">
        <v>45047</v>
      </c>
      <c r="B410">
        <v>5</v>
      </c>
      <c r="C410" t="s">
        <v>38</v>
      </c>
      <c r="D410" t="s">
        <v>39</v>
      </c>
      <c r="E410">
        <v>2023</v>
      </c>
      <c r="F410" t="s">
        <v>13</v>
      </c>
      <c r="G410" t="s">
        <v>21</v>
      </c>
      <c r="H410" t="s">
        <v>15</v>
      </c>
      <c r="I410" t="s">
        <v>16</v>
      </c>
      <c r="J410">
        <v>10354.34</v>
      </c>
      <c r="K410">
        <v>12304.19</v>
      </c>
      <c r="L410" s="20">
        <f>tbl_Budget[[#This Row],[Actual]]-tbl_Budget[[#This Row],[Budget]]</f>
        <v>1949.8500000000004</v>
      </c>
      <c r="M410" s="3">
        <f>tbl_Budget[[#This Row],[Variance]]/tbl_Budget[[#This Row],[Budget]]</f>
        <v>0.18831234052580853</v>
      </c>
      <c r="N410" t="str">
        <f>IF(tbl_Budget[[#This Row],[Variance_%]]&gt;0.05,"Overspend",IF(tbl_Budget[[#This Row],[Variance_%]]&lt;-0.05,"Underspend","On Budget"))</f>
        <v>Overspend</v>
      </c>
    </row>
    <row r="411" spans="1:14">
      <c r="A411" s="1">
        <v>45047</v>
      </c>
      <c r="B411">
        <v>5</v>
      </c>
      <c r="C411" t="s">
        <v>38</v>
      </c>
      <c r="D411" t="s">
        <v>39</v>
      </c>
      <c r="E411">
        <v>2023</v>
      </c>
      <c r="F411" t="s">
        <v>13</v>
      </c>
      <c r="G411" t="s">
        <v>21</v>
      </c>
      <c r="H411" t="s">
        <v>17</v>
      </c>
      <c r="I411" t="s">
        <v>16</v>
      </c>
      <c r="J411">
        <v>10035.08</v>
      </c>
      <c r="K411">
        <v>11871.89</v>
      </c>
      <c r="L411" s="20">
        <f>tbl_Budget[[#This Row],[Actual]]-tbl_Budget[[#This Row],[Budget]]</f>
        <v>1836.8099999999995</v>
      </c>
      <c r="M411" s="3">
        <f>tbl_Budget[[#This Row],[Variance]]/tbl_Budget[[#This Row],[Budget]]</f>
        <v>0.18303889954041219</v>
      </c>
      <c r="N411" t="str">
        <f>IF(tbl_Budget[[#This Row],[Variance_%]]&gt;0.05,"Overspend",IF(tbl_Budget[[#This Row],[Variance_%]]&lt;-0.05,"Underspend","On Budget"))</f>
        <v>Overspend</v>
      </c>
    </row>
    <row r="412" spans="1:14">
      <c r="A412" s="1">
        <v>45047</v>
      </c>
      <c r="B412">
        <v>5</v>
      </c>
      <c r="C412" t="s">
        <v>38</v>
      </c>
      <c r="D412" t="s">
        <v>39</v>
      </c>
      <c r="E412">
        <v>2023</v>
      </c>
      <c r="F412" t="s">
        <v>13</v>
      </c>
      <c r="G412" t="s">
        <v>21</v>
      </c>
      <c r="H412" t="s">
        <v>18</v>
      </c>
      <c r="I412" t="s">
        <v>16</v>
      </c>
      <c r="J412">
        <v>10079.35</v>
      </c>
      <c r="K412">
        <v>11606.58</v>
      </c>
      <c r="L412" s="20">
        <f>tbl_Budget[[#This Row],[Actual]]-tbl_Budget[[#This Row],[Budget]]</f>
        <v>1527.2299999999996</v>
      </c>
      <c r="M412" s="3">
        <f>tbl_Budget[[#This Row],[Variance]]/tbl_Budget[[#This Row],[Budget]]</f>
        <v>0.15152068337740027</v>
      </c>
      <c r="N412" t="str">
        <f>IF(tbl_Budget[[#This Row],[Variance_%]]&gt;0.05,"Overspend",IF(tbl_Budget[[#This Row],[Variance_%]]&lt;-0.05,"Underspend","On Budget"))</f>
        <v>Overspend</v>
      </c>
    </row>
    <row r="413" spans="1:14">
      <c r="A413" s="1">
        <v>45047</v>
      </c>
      <c r="B413">
        <v>5</v>
      </c>
      <c r="C413" t="s">
        <v>38</v>
      </c>
      <c r="D413" t="s">
        <v>39</v>
      </c>
      <c r="E413">
        <v>2023</v>
      </c>
      <c r="F413" t="s">
        <v>13</v>
      </c>
      <c r="G413" t="s">
        <v>21</v>
      </c>
      <c r="H413" t="s">
        <v>19</v>
      </c>
      <c r="I413" t="s">
        <v>16</v>
      </c>
      <c r="J413">
        <v>11090.6</v>
      </c>
      <c r="K413">
        <v>12337.39</v>
      </c>
      <c r="L413" s="20">
        <f>tbl_Budget[[#This Row],[Actual]]-tbl_Budget[[#This Row],[Budget]]</f>
        <v>1246.7899999999991</v>
      </c>
      <c r="M413" s="3">
        <f>tbl_Budget[[#This Row],[Variance]]/tbl_Budget[[#This Row],[Budget]]</f>
        <v>0.11241862478134627</v>
      </c>
      <c r="N413" t="str">
        <f>IF(tbl_Budget[[#This Row],[Variance_%]]&gt;0.05,"Overspend",IF(tbl_Budget[[#This Row],[Variance_%]]&lt;-0.05,"Underspend","On Budget"))</f>
        <v>Overspend</v>
      </c>
    </row>
    <row r="414" spans="1:14" hidden="1">
      <c r="A414" s="1">
        <v>45047</v>
      </c>
      <c r="B414">
        <v>5</v>
      </c>
      <c r="C414" t="s">
        <v>38</v>
      </c>
      <c r="D414" t="s">
        <v>39</v>
      </c>
      <c r="E414">
        <v>2023</v>
      </c>
      <c r="F414" t="s">
        <v>13</v>
      </c>
      <c r="G414" t="s">
        <v>22</v>
      </c>
      <c r="H414" t="s">
        <v>15</v>
      </c>
      <c r="I414" t="s">
        <v>16</v>
      </c>
      <c r="J414">
        <v>8070.64</v>
      </c>
      <c r="K414">
        <v>9159.16</v>
      </c>
      <c r="L414" s="20">
        <f>tbl_Budget[[#This Row],[Actual]]-tbl_Budget[[#This Row],[Budget]]</f>
        <v>1088.5199999999995</v>
      </c>
      <c r="M414" s="3">
        <f>tbl_Budget[[#This Row],[Variance]]/tbl_Budget[[#This Row],[Budget]]</f>
        <v>0.13487406203225513</v>
      </c>
      <c r="N414" t="str">
        <f>IF(tbl_Budget[[#This Row],[Variance_%]]&gt;0.05,"Overspend",IF(tbl_Budget[[#This Row],[Variance_%]]&lt;-0.05,"Underspend","On Budget"))</f>
        <v>Overspend</v>
      </c>
    </row>
    <row r="415" spans="1:14" hidden="1">
      <c r="A415" s="1">
        <v>45047</v>
      </c>
      <c r="B415">
        <v>5</v>
      </c>
      <c r="C415" t="s">
        <v>38</v>
      </c>
      <c r="D415" t="s">
        <v>39</v>
      </c>
      <c r="E415">
        <v>2023</v>
      </c>
      <c r="F415" t="s">
        <v>13</v>
      </c>
      <c r="G415" t="s">
        <v>22</v>
      </c>
      <c r="H415" t="s">
        <v>17</v>
      </c>
      <c r="I415" t="s">
        <v>16</v>
      </c>
      <c r="J415">
        <v>7644.96</v>
      </c>
      <c r="K415">
        <v>9034.57</v>
      </c>
      <c r="L415" s="20">
        <f>tbl_Budget[[#This Row],[Actual]]-tbl_Budget[[#This Row],[Budget]]</f>
        <v>1389.6099999999997</v>
      </c>
      <c r="M415" s="3">
        <f>tbl_Budget[[#This Row],[Variance]]/tbl_Budget[[#This Row],[Budget]]</f>
        <v>0.18176811912684954</v>
      </c>
      <c r="N415" t="str">
        <f>IF(tbl_Budget[[#This Row],[Variance_%]]&gt;0.05,"Overspend",IF(tbl_Budget[[#This Row],[Variance_%]]&lt;-0.05,"Underspend","On Budget"))</f>
        <v>Overspend</v>
      </c>
    </row>
    <row r="416" spans="1:14" hidden="1">
      <c r="A416" s="1">
        <v>45047</v>
      </c>
      <c r="B416">
        <v>5</v>
      </c>
      <c r="C416" t="s">
        <v>38</v>
      </c>
      <c r="D416" t="s">
        <v>39</v>
      </c>
      <c r="E416">
        <v>2023</v>
      </c>
      <c r="F416" t="s">
        <v>13</v>
      </c>
      <c r="G416" t="s">
        <v>22</v>
      </c>
      <c r="H416" t="s">
        <v>18</v>
      </c>
      <c r="I416" t="s">
        <v>16</v>
      </c>
      <c r="J416">
        <v>7909.16</v>
      </c>
      <c r="K416">
        <v>8718.85</v>
      </c>
      <c r="L416" s="20">
        <f>tbl_Budget[[#This Row],[Actual]]-tbl_Budget[[#This Row],[Budget]]</f>
        <v>809.69000000000051</v>
      </c>
      <c r="M416" s="3">
        <f>tbl_Budget[[#This Row],[Variance]]/tbl_Budget[[#This Row],[Budget]]</f>
        <v>0.10237370340213127</v>
      </c>
      <c r="N416" t="str">
        <f>IF(tbl_Budget[[#This Row],[Variance_%]]&gt;0.05,"Overspend",IF(tbl_Budget[[#This Row],[Variance_%]]&lt;-0.05,"Underspend","On Budget"))</f>
        <v>Overspend</v>
      </c>
    </row>
    <row r="417" spans="1:14" hidden="1">
      <c r="A417" s="1">
        <v>45047</v>
      </c>
      <c r="B417">
        <v>5</v>
      </c>
      <c r="C417" t="s">
        <v>38</v>
      </c>
      <c r="D417" t="s">
        <v>39</v>
      </c>
      <c r="E417">
        <v>2023</v>
      </c>
      <c r="F417" t="s">
        <v>13</v>
      </c>
      <c r="G417" t="s">
        <v>22</v>
      </c>
      <c r="H417" t="s">
        <v>19</v>
      </c>
      <c r="I417" t="s">
        <v>16</v>
      </c>
      <c r="J417">
        <v>8413.67</v>
      </c>
      <c r="K417">
        <v>9711.1200000000008</v>
      </c>
      <c r="L417" s="20">
        <f>tbl_Budget[[#This Row],[Actual]]-tbl_Budget[[#This Row],[Budget]]</f>
        <v>1297.4500000000007</v>
      </c>
      <c r="M417" s="3">
        <f>tbl_Budget[[#This Row],[Variance]]/tbl_Budget[[#This Row],[Budget]]</f>
        <v>0.15420737918173646</v>
      </c>
      <c r="N417" t="str">
        <f>IF(tbl_Budget[[#This Row],[Variance_%]]&gt;0.05,"Overspend",IF(tbl_Budget[[#This Row],[Variance_%]]&lt;-0.05,"Underspend","On Budget"))</f>
        <v>Overspend</v>
      </c>
    </row>
    <row r="418" spans="1:14" hidden="1">
      <c r="A418" s="1">
        <v>45047</v>
      </c>
      <c r="B418">
        <v>5</v>
      </c>
      <c r="C418" t="s">
        <v>38</v>
      </c>
      <c r="D418" t="s">
        <v>39</v>
      </c>
      <c r="E418">
        <v>2023</v>
      </c>
      <c r="F418" t="s">
        <v>13</v>
      </c>
      <c r="G418" t="s">
        <v>23</v>
      </c>
      <c r="H418" t="s">
        <v>15</v>
      </c>
      <c r="I418" t="s">
        <v>16</v>
      </c>
      <c r="J418">
        <v>8646.68</v>
      </c>
      <c r="K418">
        <v>10232.64</v>
      </c>
      <c r="L418" s="20">
        <f>tbl_Budget[[#This Row],[Actual]]-tbl_Budget[[#This Row],[Budget]]</f>
        <v>1585.9599999999991</v>
      </c>
      <c r="M418" s="3">
        <f>tbl_Budget[[#This Row],[Variance]]/tbl_Budget[[#This Row],[Budget]]</f>
        <v>0.1834183756077476</v>
      </c>
      <c r="N418" t="str">
        <f>IF(tbl_Budget[[#This Row],[Variance_%]]&gt;0.05,"Overspend",IF(tbl_Budget[[#This Row],[Variance_%]]&lt;-0.05,"Underspend","On Budget"))</f>
        <v>Overspend</v>
      </c>
    </row>
    <row r="419" spans="1:14" hidden="1">
      <c r="A419" s="1">
        <v>45047</v>
      </c>
      <c r="B419">
        <v>5</v>
      </c>
      <c r="C419" t="s">
        <v>38</v>
      </c>
      <c r="D419" t="s">
        <v>39</v>
      </c>
      <c r="E419">
        <v>2023</v>
      </c>
      <c r="F419" t="s">
        <v>13</v>
      </c>
      <c r="G419" t="s">
        <v>23</v>
      </c>
      <c r="H419" t="s">
        <v>17</v>
      </c>
      <c r="I419" t="s">
        <v>16</v>
      </c>
      <c r="J419">
        <v>7850.22</v>
      </c>
      <c r="K419">
        <v>8746.64</v>
      </c>
      <c r="L419" s="20">
        <f>tbl_Budget[[#This Row],[Actual]]-tbl_Budget[[#This Row],[Budget]]</f>
        <v>896.41999999999916</v>
      </c>
      <c r="M419" s="3">
        <f>tbl_Budget[[#This Row],[Variance]]/tbl_Budget[[#This Row],[Budget]]</f>
        <v>0.11419043033188868</v>
      </c>
      <c r="N419" t="str">
        <f>IF(tbl_Budget[[#This Row],[Variance_%]]&gt;0.05,"Overspend",IF(tbl_Budget[[#This Row],[Variance_%]]&lt;-0.05,"Underspend","On Budget"))</f>
        <v>Overspend</v>
      </c>
    </row>
    <row r="420" spans="1:14" hidden="1">
      <c r="A420" s="1">
        <v>45047</v>
      </c>
      <c r="B420">
        <v>5</v>
      </c>
      <c r="C420" t="s">
        <v>38</v>
      </c>
      <c r="D420" t="s">
        <v>39</v>
      </c>
      <c r="E420">
        <v>2023</v>
      </c>
      <c r="F420" t="s">
        <v>13</v>
      </c>
      <c r="G420" t="s">
        <v>23</v>
      </c>
      <c r="H420" t="s">
        <v>18</v>
      </c>
      <c r="I420" t="s">
        <v>16</v>
      </c>
      <c r="J420">
        <v>8017.6</v>
      </c>
      <c r="K420">
        <v>9551.09</v>
      </c>
      <c r="L420" s="20">
        <f>tbl_Budget[[#This Row],[Actual]]-tbl_Budget[[#This Row],[Budget]]</f>
        <v>1533.4899999999998</v>
      </c>
      <c r="M420" s="3">
        <f>tbl_Budget[[#This Row],[Variance]]/tbl_Budget[[#This Row],[Budget]]</f>
        <v>0.19126546597485528</v>
      </c>
      <c r="N420" t="str">
        <f>IF(tbl_Budget[[#This Row],[Variance_%]]&gt;0.05,"Overspend",IF(tbl_Budget[[#This Row],[Variance_%]]&lt;-0.05,"Underspend","On Budget"))</f>
        <v>Overspend</v>
      </c>
    </row>
    <row r="421" spans="1:14" hidden="1">
      <c r="A421" s="1">
        <v>45047</v>
      </c>
      <c r="B421">
        <v>5</v>
      </c>
      <c r="C421" t="s">
        <v>38</v>
      </c>
      <c r="D421" t="s">
        <v>39</v>
      </c>
      <c r="E421">
        <v>2023</v>
      </c>
      <c r="F421" t="s">
        <v>13</v>
      </c>
      <c r="G421" t="s">
        <v>23</v>
      </c>
      <c r="H421" t="s">
        <v>19</v>
      </c>
      <c r="I421" t="s">
        <v>16</v>
      </c>
      <c r="J421">
        <v>8946.3700000000008</v>
      </c>
      <c r="K421">
        <v>10414.07</v>
      </c>
      <c r="L421" s="20">
        <f>tbl_Budget[[#This Row],[Actual]]-tbl_Budget[[#This Row],[Budget]]</f>
        <v>1467.6999999999989</v>
      </c>
      <c r="M421" s="3">
        <f>tbl_Budget[[#This Row],[Variance]]/tbl_Budget[[#This Row],[Budget]]</f>
        <v>0.16405536547225286</v>
      </c>
      <c r="N421" t="str">
        <f>IF(tbl_Budget[[#This Row],[Variance_%]]&gt;0.05,"Overspend",IF(tbl_Budget[[#This Row],[Variance_%]]&lt;-0.05,"Underspend","On Budget"))</f>
        <v>Overspend</v>
      </c>
    </row>
    <row r="422" spans="1:14" hidden="1">
      <c r="A422" s="1">
        <v>45047</v>
      </c>
      <c r="B422">
        <v>5</v>
      </c>
      <c r="C422" t="s">
        <v>38</v>
      </c>
      <c r="D422" t="s">
        <v>39</v>
      </c>
      <c r="E422">
        <v>2023</v>
      </c>
      <c r="F422" t="s">
        <v>24</v>
      </c>
      <c r="G422" t="s">
        <v>14</v>
      </c>
      <c r="H422" t="s">
        <v>15</v>
      </c>
      <c r="I422" t="s">
        <v>25</v>
      </c>
      <c r="J422">
        <v>50510.67</v>
      </c>
      <c r="K422">
        <v>43792.73</v>
      </c>
      <c r="L422" s="20">
        <f>tbl_Budget[[#This Row],[Actual]]-tbl_Budget[[#This Row],[Budget]]</f>
        <v>-6717.9399999999951</v>
      </c>
      <c r="M422" s="3">
        <f>tbl_Budget[[#This Row],[Variance]]/tbl_Budget[[#This Row],[Budget]]</f>
        <v>-0.13300041357598297</v>
      </c>
      <c r="N422" t="str">
        <f>IF(tbl_Budget[[#This Row],[Variance_%]]&gt;0.05,"Overspend",IF(tbl_Budget[[#This Row],[Variance_%]]&lt;-0.05,"Underspend","On Budget"))</f>
        <v>Underspend</v>
      </c>
    </row>
    <row r="423" spans="1:14" hidden="1">
      <c r="A423" s="1">
        <v>45047</v>
      </c>
      <c r="B423">
        <v>5</v>
      </c>
      <c r="C423" t="s">
        <v>38</v>
      </c>
      <c r="D423" t="s">
        <v>39</v>
      </c>
      <c r="E423">
        <v>2023</v>
      </c>
      <c r="F423" t="s">
        <v>24</v>
      </c>
      <c r="G423" t="s">
        <v>14</v>
      </c>
      <c r="H423" t="s">
        <v>17</v>
      </c>
      <c r="I423" t="s">
        <v>25</v>
      </c>
      <c r="J423">
        <v>50740.09</v>
      </c>
      <c r="K423">
        <v>44865.65</v>
      </c>
      <c r="L423" s="20">
        <f>tbl_Budget[[#This Row],[Actual]]-tbl_Budget[[#This Row],[Budget]]</f>
        <v>-5874.4399999999951</v>
      </c>
      <c r="M423" s="3">
        <f>tbl_Budget[[#This Row],[Variance]]/tbl_Budget[[#This Row],[Budget]]</f>
        <v>-0.11577511983128125</v>
      </c>
      <c r="N423" t="str">
        <f>IF(tbl_Budget[[#This Row],[Variance_%]]&gt;0.05,"Overspend",IF(tbl_Budget[[#This Row],[Variance_%]]&lt;-0.05,"Underspend","On Budget"))</f>
        <v>Underspend</v>
      </c>
    </row>
    <row r="424" spans="1:14" hidden="1">
      <c r="A424" s="1">
        <v>45047</v>
      </c>
      <c r="B424">
        <v>5</v>
      </c>
      <c r="C424" t="s">
        <v>38</v>
      </c>
      <c r="D424" t="s">
        <v>39</v>
      </c>
      <c r="E424">
        <v>2023</v>
      </c>
      <c r="F424" t="s">
        <v>24</v>
      </c>
      <c r="G424" t="s">
        <v>14</v>
      </c>
      <c r="H424" t="s">
        <v>18</v>
      </c>
      <c r="I424" t="s">
        <v>25</v>
      </c>
      <c r="J424">
        <v>49421.15</v>
      </c>
      <c r="K424">
        <v>44425.03</v>
      </c>
      <c r="L424" s="20">
        <f>tbl_Budget[[#This Row],[Actual]]-tbl_Budget[[#This Row],[Budget]]</f>
        <v>-4996.1200000000026</v>
      </c>
      <c r="M424" s="3">
        <f>tbl_Budget[[#This Row],[Variance]]/tbl_Budget[[#This Row],[Budget]]</f>
        <v>-0.10109275077573068</v>
      </c>
      <c r="N424" t="str">
        <f>IF(tbl_Budget[[#This Row],[Variance_%]]&gt;0.05,"Overspend",IF(tbl_Budget[[#This Row],[Variance_%]]&lt;-0.05,"Underspend","On Budget"))</f>
        <v>Underspend</v>
      </c>
    </row>
    <row r="425" spans="1:14" hidden="1">
      <c r="A425" s="1">
        <v>45047</v>
      </c>
      <c r="B425">
        <v>5</v>
      </c>
      <c r="C425" t="s">
        <v>38</v>
      </c>
      <c r="D425" t="s">
        <v>39</v>
      </c>
      <c r="E425">
        <v>2023</v>
      </c>
      <c r="F425" t="s">
        <v>24</v>
      </c>
      <c r="G425" t="s">
        <v>14</v>
      </c>
      <c r="H425" t="s">
        <v>19</v>
      </c>
      <c r="I425" t="s">
        <v>25</v>
      </c>
      <c r="J425">
        <v>53927.21</v>
      </c>
      <c r="K425">
        <v>48340.4</v>
      </c>
      <c r="L425" s="20">
        <f>tbl_Budget[[#This Row],[Actual]]-tbl_Budget[[#This Row],[Budget]]</f>
        <v>-5586.8099999999977</v>
      </c>
      <c r="M425" s="3">
        <f>tbl_Budget[[#This Row],[Variance]]/tbl_Budget[[#This Row],[Budget]]</f>
        <v>-0.10359909218370462</v>
      </c>
      <c r="N425" t="str">
        <f>IF(tbl_Budget[[#This Row],[Variance_%]]&gt;0.05,"Overspend",IF(tbl_Budget[[#This Row],[Variance_%]]&lt;-0.05,"Underspend","On Budget"))</f>
        <v>Underspend</v>
      </c>
    </row>
    <row r="426" spans="1:14" hidden="1">
      <c r="A426" s="1">
        <v>45047</v>
      </c>
      <c r="B426">
        <v>5</v>
      </c>
      <c r="C426" t="s">
        <v>38</v>
      </c>
      <c r="D426" t="s">
        <v>39</v>
      </c>
      <c r="E426">
        <v>2023</v>
      </c>
      <c r="F426" t="s">
        <v>24</v>
      </c>
      <c r="G426" t="s">
        <v>20</v>
      </c>
      <c r="H426" t="s">
        <v>15</v>
      </c>
      <c r="I426" t="s">
        <v>25</v>
      </c>
      <c r="J426">
        <v>28509.3</v>
      </c>
      <c r="K426">
        <v>24879.98</v>
      </c>
      <c r="L426" s="20">
        <f>tbl_Budget[[#This Row],[Actual]]-tbl_Budget[[#This Row],[Budget]]</f>
        <v>-3629.3199999999997</v>
      </c>
      <c r="M426" s="3">
        <f>tbl_Budget[[#This Row],[Variance]]/tbl_Budget[[#This Row],[Budget]]</f>
        <v>-0.1273030204178987</v>
      </c>
      <c r="N426" t="str">
        <f>IF(tbl_Budget[[#This Row],[Variance_%]]&gt;0.05,"Overspend",IF(tbl_Budget[[#This Row],[Variance_%]]&lt;-0.05,"Underspend","On Budget"))</f>
        <v>Underspend</v>
      </c>
    </row>
    <row r="427" spans="1:14" hidden="1">
      <c r="A427" s="1">
        <v>45047</v>
      </c>
      <c r="B427">
        <v>5</v>
      </c>
      <c r="C427" t="s">
        <v>38</v>
      </c>
      <c r="D427" t="s">
        <v>39</v>
      </c>
      <c r="E427">
        <v>2023</v>
      </c>
      <c r="F427" t="s">
        <v>24</v>
      </c>
      <c r="G427" t="s">
        <v>20</v>
      </c>
      <c r="H427" t="s">
        <v>17</v>
      </c>
      <c r="I427" t="s">
        <v>25</v>
      </c>
      <c r="J427">
        <v>27000.17</v>
      </c>
      <c r="K427">
        <v>23026.81</v>
      </c>
      <c r="L427" s="20">
        <f>tbl_Budget[[#This Row],[Actual]]-tbl_Budget[[#This Row],[Budget]]</f>
        <v>-3973.3599999999969</v>
      </c>
      <c r="M427" s="3">
        <f>tbl_Budget[[#This Row],[Variance]]/tbl_Budget[[#This Row],[Budget]]</f>
        <v>-0.1471605549150245</v>
      </c>
      <c r="N427" t="str">
        <f>IF(tbl_Budget[[#This Row],[Variance_%]]&gt;0.05,"Overspend",IF(tbl_Budget[[#This Row],[Variance_%]]&lt;-0.05,"Underspend","On Budget"))</f>
        <v>Underspend</v>
      </c>
    </row>
    <row r="428" spans="1:14" hidden="1">
      <c r="A428" s="1">
        <v>45047</v>
      </c>
      <c r="B428">
        <v>5</v>
      </c>
      <c r="C428" t="s">
        <v>38</v>
      </c>
      <c r="D428" t="s">
        <v>39</v>
      </c>
      <c r="E428">
        <v>2023</v>
      </c>
      <c r="F428" t="s">
        <v>24</v>
      </c>
      <c r="G428" t="s">
        <v>20</v>
      </c>
      <c r="H428" t="s">
        <v>18</v>
      </c>
      <c r="I428" t="s">
        <v>25</v>
      </c>
      <c r="J428">
        <v>28462</v>
      </c>
      <c r="K428">
        <v>24960.62</v>
      </c>
      <c r="L428" s="20">
        <f>tbl_Budget[[#This Row],[Actual]]-tbl_Budget[[#This Row],[Budget]]</f>
        <v>-3501.380000000001</v>
      </c>
      <c r="M428" s="3">
        <f>tbl_Budget[[#This Row],[Variance]]/tbl_Budget[[#This Row],[Budget]]</f>
        <v>-0.12301946454922356</v>
      </c>
      <c r="N428" t="str">
        <f>IF(tbl_Budget[[#This Row],[Variance_%]]&gt;0.05,"Overspend",IF(tbl_Budget[[#This Row],[Variance_%]]&lt;-0.05,"Underspend","On Budget"))</f>
        <v>Underspend</v>
      </c>
    </row>
    <row r="429" spans="1:14" hidden="1">
      <c r="A429" s="1">
        <v>45047</v>
      </c>
      <c r="B429">
        <v>5</v>
      </c>
      <c r="C429" t="s">
        <v>38</v>
      </c>
      <c r="D429" t="s">
        <v>39</v>
      </c>
      <c r="E429">
        <v>2023</v>
      </c>
      <c r="F429" t="s">
        <v>24</v>
      </c>
      <c r="G429" t="s">
        <v>20</v>
      </c>
      <c r="H429" t="s">
        <v>19</v>
      </c>
      <c r="I429" t="s">
        <v>25</v>
      </c>
      <c r="J429">
        <v>29636.38</v>
      </c>
      <c r="K429">
        <v>25899.14</v>
      </c>
      <c r="L429" s="20">
        <f>tbl_Budget[[#This Row],[Actual]]-tbl_Budget[[#This Row],[Budget]]</f>
        <v>-3737.2400000000016</v>
      </c>
      <c r="M429" s="3">
        <f>tbl_Budget[[#This Row],[Variance]]/tbl_Budget[[#This Row],[Budget]]</f>
        <v>-0.12610312055655926</v>
      </c>
      <c r="N429" t="str">
        <f>IF(tbl_Budget[[#This Row],[Variance_%]]&gt;0.05,"Overspend",IF(tbl_Budget[[#This Row],[Variance_%]]&lt;-0.05,"Underspend","On Budget"))</f>
        <v>Underspend</v>
      </c>
    </row>
    <row r="430" spans="1:14">
      <c r="A430" s="1">
        <v>45047</v>
      </c>
      <c r="B430">
        <v>5</v>
      </c>
      <c r="C430" t="s">
        <v>38</v>
      </c>
      <c r="D430" t="s">
        <v>39</v>
      </c>
      <c r="E430">
        <v>2023</v>
      </c>
      <c r="F430" t="s">
        <v>24</v>
      </c>
      <c r="G430" t="s">
        <v>21</v>
      </c>
      <c r="H430" t="s">
        <v>15</v>
      </c>
      <c r="I430" t="s">
        <v>25</v>
      </c>
      <c r="J430">
        <v>11413.01</v>
      </c>
      <c r="K430">
        <v>10211.14</v>
      </c>
      <c r="L430" s="20">
        <f>tbl_Budget[[#This Row],[Actual]]-tbl_Budget[[#This Row],[Budget]]</f>
        <v>-1201.8700000000008</v>
      </c>
      <c r="M430" s="3">
        <f>tbl_Budget[[#This Row],[Variance]]/tbl_Budget[[#This Row],[Budget]]</f>
        <v>-0.10530701366247824</v>
      </c>
      <c r="N430" t="str">
        <f>IF(tbl_Budget[[#This Row],[Variance_%]]&gt;0.05,"Overspend",IF(tbl_Budget[[#This Row],[Variance_%]]&lt;-0.05,"Underspend","On Budget"))</f>
        <v>Underspend</v>
      </c>
    </row>
    <row r="431" spans="1:14">
      <c r="A431" s="1">
        <v>45047</v>
      </c>
      <c r="B431">
        <v>5</v>
      </c>
      <c r="C431" t="s">
        <v>38</v>
      </c>
      <c r="D431" t="s">
        <v>39</v>
      </c>
      <c r="E431">
        <v>2023</v>
      </c>
      <c r="F431" t="s">
        <v>24</v>
      </c>
      <c r="G431" t="s">
        <v>21</v>
      </c>
      <c r="H431" t="s">
        <v>17</v>
      </c>
      <c r="I431" t="s">
        <v>25</v>
      </c>
      <c r="J431">
        <v>10479.4</v>
      </c>
      <c r="K431">
        <v>9156.25</v>
      </c>
      <c r="L431" s="20">
        <f>tbl_Budget[[#This Row],[Actual]]-tbl_Budget[[#This Row],[Budget]]</f>
        <v>-1323.1499999999996</v>
      </c>
      <c r="M431" s="3">
        <f>tbl_Budget[[#This Row],[Variance]]/tbl_Budget[[#This Row],[Budget]]</f>
        <v>-0.1262619997328091</v>
      </c>
      <c r="N431" t="str">
        <f>IF(tbl_Budget[[#This Row],[Variance_%]]&gt;0.05,"Overspend",IF(tbl_Budget[[#This Row],[Variance_%]]&lt;-0.05,"Underspend","On Budget"))</f>
        <v>Underspend</v>
      </c>
    </row>
    <row r="432" spans="1:14">
      <c r="A432" s="1">
        <v>45047</v>
      </c>
      <c r="B432">
        <v>5</v>
      </c>
      <c r="C432" t="s">
        <v>38</v>
      </c>
      <c r="D432" t="s">
        <v>39</v>
      </c>
      <c r="E432">
        <v>2023</v>
      </c>
      <c r="F432" t="s">
        <v>24</v>
      </c>
      <c r="G432" t="s">
        <v>21</v>
      </c>
      <c r="H432" t="s">
        <v>18</v>
      </c>
      <c r="I432" t="s">
        <v>25</v>
      </c>
      <c r="J432">
        <v>10779.19</v>
      </c>
      <c r="K432">
        <v>9527.7099999999991</v>
      </c>
      <c r="L432" s="20">
        <f>tbl_Budget[[#This Row],[Actual]]-tbl_Budget[[#This Row],[Budget]]</f>
        <v>-1251.4800000000014</v>
      </c>
      <c r="M432" s="3">
        <f>tbl_Budget[[#This Row],[Variance]]/tbl_Budget[[#This Row],[Budget]]</f>
        <v>-0.11610148814521326</v>
      </c>
      <c r="N432" t="str">
        <f>IF(tbl_Budget[[#This Row],[Variance_%]]&gt;0.05,"Overspend",IF(tbl_Budget[[#This Row],[Variance_%]]&lt;-0.05,"Underspend","On Budget"))</f>
        <v>Underspend</v>
      </c>
    </row>
    <row r="433" spans="1:14">
      <c r="A433" s="1">
        <v>45047</v>
      </c>
      <c r="B433">
        <v>5</v>
      </c>
      <c r="C433" t="s">
        <v>38</v>
      </c>
      <c r="D433" t="s">
        <v>39</v>
      </c>
      <c r="E433">
        <v>2023</v>
      </c>
      <c r="F433" t="s">
        <v>24</v>
      </c>
      <c r="G433" t="s">
        <v>21</v>
      </c>
      <c r="H433" t="s">
        <v>19</v>
      </c>
      <c r="I433" t="s">
        <v>25</v>
      </c>
      <c r="J433">
        <v>11435.87</v>
      </c>
      <c r="K433">
        <v>9894.09</v>
      </c>
      <c r="L433" s="20">
        <f>tbl_Budget[[#This Row],[Actual]]-tbl_Budget[[#This Row],[Budget]]</f>
        <v>-1541.7800000000007</v>
      </c>
      <c r="M433" s="3">
        <f>tbl_Budget[[#This Row],[Variance]]/tbl_Budget[[#This Row],[Budget]]</f>
        <v>-0.13481965080050756</v>
      </c>
      <c r="N433" t="str">
        <f>IF(tbl_Budget[[#This Row],[Variance_%]]&gt;0.05,"Overspend",IF(tbl_Budget[[#This Row],[Variance_%]]&lt;-0.05,"Underspend","On Budget"))</f>
        <v>Underspend</v>
      </c>
    </row>
    <row r="434" spans="1:14" hidden="1">
      <c r="A434" s="1">
        <v>45047</v>
      </c>
      <c r="B434">
        <v>5</v>
      </c>
      <c r="C434" t="s">
        <v>38</v>
      </c>
      <c r="D434" t="s">
        <v>39</v>
      </c>
      <c r="E434">
        <v>2023</v>
      </c>
      <c r="F434" t="s">
        <v>24</v>
      </c>
      <c r="G434" t="s">
        <v>22</v>
      </c>
      <c r="H434" t="s">
        <v>15</v>
      </c>
      <c r="I434" t="s">
        <v>25</v>
      </c>
      <c r="J434">
        <v>8444.65</v>
      </c>
      <c r="K434">
        <v>7280.41</v>
      </c>
      <c r="L434" s="20">
        <f>tbl_Budget[[#This Row],[Actual]]-tbl_Budget[[#This Row],[Budget]]</f>
        <v>-1164.2399999999998</v>
      </c>
      <c r="M434" s="3">
        <f>tbl_Budget[[#This Row],[Variance]]/tbl_Budget[[#This Row],[Budget]]</f>
        <v>-0.13786717033861673</v>
      </c>
      <c r="N434" t="str">
        <f>IF(tbl_Budget[[#This Row],[Variance_%]]&gt;0.05,"Overspend",IF(tbl_Budget[[#This Row],[Variance_%]]&lt;-0.05,"Underspend","On Budget"))</f>
        <v>Underspend</v>
      </c>
    </row>
    <row r="435" spans="1:14" hidden="1">
      <c r="A435" s="1">
        <v>45047</v>
      </c>
      <c r="B435">
        <v>5</v>
      </c>
      <c r="C435" t="s">
        <v>38</v>
      </c>
      <c r="D435" t="s">
        <v>39</v>
      </c>
      <c r="E435">
        <v>2023</v>
      </c>
      <c r="F435" t="s">
        <v>24</v>
      </c>
      <c r="G435" t="s">
        <v>22</v>
      </c>
      <c r="H435" t="s">
        <v>17</v>
      </c>
      <c r="I435" t="s">
        <v>25</v>
      </c>
      <c r="J435">
        <v>8180.21</v>
      </c>
      <c r="K435">
        <v>7049.75</v>
      </c>
      <c r="L435" s="20">
        <f>tbl_Budget[[#This Row],[Actual]]-tbl_Budget[[#This Row],[Budget]]</f>
        <v>-1130.46</v>
      </c>
      <c r="M435" s="3">
        <f>tbl_Budget[[#This Row],[Variance]]/tbl_Budget[[#This Row],[Budget]]</f>
        <v>-0.1381944962293144</v>
      </c>
      <c r="N435" t="str">
        <f>IF(tbl_Budget[[#This Row],[Variance_%]]&gt;0.05,"Overspend",IF(tbl_Budget[[#This Row],[Variance_%]]&lt;-0.05,"Underspend","On Budget"))</f>
        <v>Underspend</v>
      </c>
    </row>
    <row r="436" spans="1:14" hidden="1">
      <c r="A436" s="1">
        <v>45047</v>
      </c>
      <c r="B436">
        <v>5</v>
      </c>
      <c r="C436" t="s">
        <v>38</v>
      </c>
      <c r="D436" t="s">
        <v>39</v>
      </c>
      <c r="E436">
        <v>2023</v>
      </c>
      <c r="F436" t="s">
        <v>24</v>
      </c>
      <c r="G436" t="s">
        <v>22</v>
      </c>
      <c r="H436" t="s">
        <v>18</v>
      </c>
      <c r="I436" t="s">
        <v>25</v>
      </c>
      <c r="J436">
        <v>8531.91</v>
      </c>
      <c r="K436">
        <v>7410.05</v>
      </c>
      <c r="L436" s="20">
        <f>tbl_Budget[[#This Row],[Actual]]-tbl_Budget[[#This Row],[Budget]]</f>
        <v>-1121.8599999999997</v>
      </c>
      <c r="M436" s="3">
        <f>tbl_Budget[[#This Row],[Variance]]/tbl_Budget[[#This Row],[Budget]]</f>
        <v>-0.13148990085455656</v>
      </c>
      <c r="N436" t="str">
        <f>IF(tbl_Budget[[#This Row],[Variance_%]]&gt;0.05,"Overspend",IF(tbl_Budget[[#This Row],[Variance_%]]&lt;-0.05,"Underspend","On Budget"))</f>
        <v>Underspend</v>
      </c>
    </row>
    <row r="437" spans="1:14" hidden="1">
      <c r="A437" s="1">
        <v>45047</v>
      </c>
      <c r="B437">
        <v>5</v>
      </c>
      <c r="C437" t="s">
        <v>38</v>
      </c>
      <c r="D437" t="s">
        <v>39</v>
      </c>
      <c r="E437">
        <v>2023</v>
      </c>
      <c r="F437" t="s">
        <v>24</v>
      </c>
      <c r="G437" t="s">
        <v>22</v>
      </c>
      <c r="H437" t="s">
        <v>19</v>
      </c>
      <c r="I437" t="s">
        <v>25</v>
      </c>
      <c r="J437">
        <v>9221.91</v>
      </c>
      <c r="K437">
        <v>8141.5</v>
      </c>
      <c r="L437" s="20">
        <f>tbl_Budget[[#This Row],[Actual]]-tbl_Budget[[#This Row],[Budget]]</f>
        <v>-1080.4099999999999</v>
      </c>
      <c r="M437" s="3">
        <f>tbl_Budget[[#This Row],[Variance]]/tbl_Budget[[#This Row],[Budget]]</f>
        <v>-0.11715685796109482</v>
      </c>
      <c r="N437" t="str">
        <f>IF(tbl_Budget[[#This Row],[Variance_%]]&gt;0.05,"Overspend",IF(tbl_Budget[[#This Row],[Variance_%]]&lt;-0.05,"Underspend","On Budget"))</f>
        <v>Underspend</v>
      </c>
    </row>
    <row r="438" spans="1:14" hidden="1">
      <c r="A438" s="1">
        <v>45047</v>
      </c>
      <c r="B438">
        <v>5</v>
      </c>
      <c r="C438" t="s">
        <v>38</v>
      </c>
      <c r="D438" t="s">
        <v>39</v>
      </c>
      <c r="E438">
        <v>2023</v>
      </c>
      <c r="F438" t="s">
        <v>24</v>
      </c>
      <c r="G438" t="s">
        <v>23</v>
      </c>
      <c r="H438" t="s">
        <v>15</v>
      </c>
      <c r="I438" t="s">
        <v>25</v>
      </c>
      <c r="J438">
        <v>7219.55</v>
      </c>
      <c r="K438">
        <v>6464</v>
      </c>
      <c r="L438" s="20">
        <f>tbl_Budget[[#This Row],[Actual]]-tbl_Budget[[#This Row],[Budget]]</f>
        <v>-755.55000000000018</v>
      </c>
      <c r="M438" s="3">
        <f>tbl_Budget[[#This Row],[Variance]]/tbl_Budget[[#This Row],[Budget]]</f>
        <v>-0.10465333711934957</v>
      </c>
      <c r="N438" t="str">
        <f>IF(tbl_Budget[[#This Row],[Variance_%]]&gt;0.05,"Overspend",IF(tbl_Budget[[#This Row],[Variance_%]]&lt;-0.05,"Underspend","On Budget"))</f>
        <v>Underspend</v>
      </c>
    </row>
    <row r="439" spans="1:14" hidden="1">
      <c r="A439" s="1">
        <v>45047</v>
      </c>
      <c r="B439">
        <v>5</v>
      </c>
      <c r="C439" t="s">
        <v>38</v>
      </c>
      <c r="D439" t="s">
        <v>39</v>
      </c>
      <c r="E439">
        <v>2023</v>
      </c>
      <c r="F439" t="s">
        <v>24</v>
      </c>
      <c r="G439" t="s">
        <v>23</v>
      </c>
      <c r="H439" t="s">
        <v>17</v>
      </c>
      <c r="I439" t="s">
        <v>25</v>
      </c>
      <c r="J439">
        <v>7238.1</v>
      </c>
      <c r="K439">
        <v>6298.89</v>
      </c>
      <c r="L439" s="20">
        <f>tbl_Budget[[#This Row],[Actual]]-tbl_Budget[[#This Row],[Budget]]</f>
        <v>-939.21</v>
      </c>
      <c r="M439" s="3">
        <f>tbl_Budget[[#This Row],[Variance]]/tbl_Budget[[#This Row],[Budget]]</f>
        <v>-0.1297591909479007</v>
      </c>
      <c r="N439" t="str">
        <f>IF(tbl_Budget[[#This Row],[Variance_%]]&gt;0.05,"Overspend",IF(tbl_Budget[[#This Row],[Variance_%]]&lt;-0.05,"Underspend","On Budget"))</f>
        <v>Underspend</v>
      </c>
    </row>
    <row r="440" spans="1:14" hidden="1">
      <c r="A440" s="1">
        <v>45047</v>
      </c>
      <c r="B440">
        <v>5</v>
      </c>
      <c r="C440" t="s">
        <v>38</v>
      </c>
      <c r="D440" t="s">
        <v>39</v>
      </c>
      <c r="E440">
        <v>2023</v>
      </c>
      <c r="F440" t="s">
        <v>24</v>
      </c>
      <c r="G440" t="s">
        <v>23</v>
      </c>
      <c r="H440" t="s">
        <v>18</v>
      </c>
      <c r="I440" t="s">
        <v>25</v>
      </c>
      <c r="J440">
        <v>7003.21</v>
      </c>
      <c r="K440">
        <v>6198.74</v>
      </c>
      <c r="L440" s="20">
        <f>tbl_Budget[[#This Row],[Actual]]-tbl_Budget[[#This Row],[Budget]]</f>
        <v>-804.47000000000025</v>
      </c>
      <c r="M440" s="3">
        <f>tbl_Budget[[#This Row],[Variance]]/tbl_Budget[[#This Row],[Budget]]</f>
        <v>-0.11487160887650096</v>
      </c>
      <c r="N440" t="str">
        <f>IF(tbl_Budget[[#This Row],[Variance_%]]&gt;0.05,"Overspend",IF(tbl_Budget[[#This Row],[Variance_%]]&lt;-0.05,"Underspend","On Budget"))</f>
        <v>Underspend</v>
      </c>
    </row>
    <row r="441" spans="1:14" hidden="1">
      <c r="A441" s="1">
        <v>45047</v>
      </c>
      <c r="B441">
        <v>5</v>
      </c>
      <c r="C441" t="s">
        <v>38</v>
      </c>
      <c r="D441" t="s">
        <v>39</v>
      </c>
      <c r="E441">
        <v>2023</v>
      </c>
      <c r="F441" t="s">
        <v>24</v>
      </c>
      <c r="G441" t="s">
        <v>23</v>
      </c>
      <c r="H441" t="s">
        <v>19</v>
      </c>
      <c r="I441" t="s">
        <v>25</v>
      </c>
      <c r="J441">
        <v>7487.88</v>
      </c>
      <c r="K441">
        <v>6689.83</v>
      </c>
      <c r="L441" s="20">
        <f>tbl_Budget[[#This Row],[Actual]]-tbl_Budget[[#This Row],[Budget]]</f>
        <v>-798.05000000000018</v>
      </c>
      <c r="M441" s="3">
        <f>tbl_Budget[[#This Row],[Variance]]/tbl_Budget[[#This Row],[Budget]]</f>
        <v>-0.10657889816610311</v>
      </c>
      <c r="N441" t="str">
        <f>IF(tbl_Budget[[#This Row],[Variance_%]]&gt;0.05,"Overspend",IF(tbl_Budget[[#This Row],[Variance_%]]&lt;-0.05,"Underspend","On Budget"))</f>
        <v>Underspend</v>
      </c>
    </row>
    <row r="442" spans="1:14" hidden="1">
      <c r="A442" s="1">
        <v>45047</v>
      </c>
      <c r="B442">
        <v>5</v>
      </c>
      <c r="C442" t="s">
        <v>38</v>
      </c>
      <c r="D442" t="s">
        <v>39</v>
      </c>
      <c r="E442">
        <v>2023</v>
      </c>
      <c r="F442" t="s">
        <v>26</v>
      </c>
      <c r="G442" t="s">
        <v>14</v>
      </c>
      <c r="H442" t="s">
        <v>15</v>
      </c>
      <c r="I442" t="s">
        <v>27</v>
      </c>
      <c r="J442">
        <v>45337.42</v>
      </c>
      <c r="K442">
        <v>44796.78</v>
      </c>
      <c r="L442" s="20">
        <f>tbl_Budget[[#This Row],[Actual]]-tbl_Budget[[#This Row],[Budget]]</f>
        <v>-540.63999999999942</v>
      </c>
      <c r="M442" s="3">
        <f>tbl_Budget[[#This Row],[Variance]]/tbl_Budget[[#This Row],[Budget]]</f>
        <v>-1.1924807366630026E-2</v>
      </c>
      <c r="N442" t="str">
        <f>IF(tbl_Budget[[#This Row],[Variance_%]]&gt;0.05,"Overspend",IF(tbl_Budget[[#This Row],[Variance_%]]&lt;-0.05,"Underspend","On Budget"))</f>
        <v>On Budget</v>
      </c>
    </row>
    <row r="443" spans="1:14" hidden="1">
      <c r="A443" s="1">
        <v>45047</v>
      </c>
      <c r="B443">
        <v>5</v>
      </c>
      <c r="C443" t="s">
        <v>38</v>
      </c>
      <c r="D443" t="s">
        <v>39</v>
      </c>
      <c r="E443">
        <v>2023</v>
      </c>
      <c r="F443" t="s">
        <v>26</v>
      </c>
      <c r="G443" t="s">
        <v>14</v>
      </c>
      <c r="H443" t="s">
        <v>17</v>
      </c>
      <c r="I443" t="s">
        <v>27</v>
      </c>
      <c r="J443">
        <v>43887.91</v>
      </c>
      <c r="K443">
        <v>43771.22</v>
      </c>
      <c r="L443" s="20">
        <f>tbl_Budget[[#This Row],[Actual]]-tbl_Budget[[#This Row],[Budget]]</f>
        <v>-116.69000000000233</v>
      </c>
      <c r="M443" s="3">
        <f>tbl_Budget[[#This Row],[Variance]]/tbl_Budget[[#This Row],[Budget]]</f>
        <v>-2.6588187954268571E-3</v>
      </c>
      <c r="N443" t="str">
        <f>IF(tbl_Budget[[#This Row],[Variance_%]]&gt;0.05,"Overspend",IF(tbl_Budget[[#This Row],[Variance_%]]&lt;-0.05,"Underspend","On Budget"))</f>
        <v>On Budget</v>
      </c>
    </row>
    <row r="444" spans="1:14" hidden="1">
      <c r="A444" s="1">
        <v>45047</v>
      </c>
      <c r="B444">
        <v>5</v>
      </c>
      <c r="C444" t="s">
        <v>38</v>
      </c>
      <c r="D444" t="s">
        <v>39</v>
      </c>
      <c r="E444">
        <v>2023</v>
      </c>
      <c r="F444" t="s">
        <v>26</v>
      </c>
      <c r="G444" t="s">
        <v>14</v>
      </c>
      <c r="H444" t="s">
        <v>18</v>
      </c>
      <c r="I444" t="s">
        <v>27</v>
      </c>
      <c r="J444">
        <v>43691.06</v>
      </c>
      <c r="K444">
        <v>43660.2</v>
      </c>
      <c r="L444" s="20">
        <f>tbl_Budget[[#This Row],[Actual]]-tbl_Budget[[#This Row],[Budget]]</f>
        <v>-30.860000000000582</v>
      </c>
      <c r="M444" s="3">
        <f>tbl_Budget[[#This Row],[Variance]]/tbl_Budget[[#This Row],[Budget]]</f>
        <v>-7.0632298689939272E-4</v>
      </c>
      <c r="N444" t="str">
        <f>IF(tbl_Budget[[#This Row],[Variance_%]]&gt;0.05,"Overspend",IF(tbl_Budget[[#This Row],[Variance_%]]&lt;-0.05,"Underspend","On Budget"))</f>
        <v>On Budget</v>
      </c>
    </row>
    <row r="445" spans="1:14" hidden="1">
      <c r="A445" s="1">
        <v>45047</v>
      </c>
      <c r="B445">
        <v>5</v>
      </c>
      <c r="C445" t="s">
        <v>38</v>
      </c>
      <c r="D445" t="s">
        <v>39</v>
      </c>
      <c r="E445">
        <v>2023</v>
      </c>
      <c r="F445" t="s">
        <v>26</v>
      </c>
      <c r="G445" t="s">
        <v>14</v>
      </c>
      <c r="H445" t="s">
        <v>19</v>
      </c>
      <c r="I445" t="s">
        <v>27</v>
      </c>
      <c r="J445">
        <v>46148.88</v>
      </c>
      <c r="K445">
        <v>46906.879999999997</v>
      </c>
      <c r="L445" s="20">
        <f>tbl_Budget[[#This Row],[Actual]]-tbl_Budget[[#This Row],[Budget]]</f>
        <v>758</v>
      </c>
      <c r="M445" s="3">
        <f>tbl_Budget[[#This Row],[Variance]]/tbl_Budget[[#This Row],[Budget]]</f>
        <v>1.6425100674165874E-2</v>
      </c>
      <c r="N445" t="str">
        <f>IF(tbl_Budget[[#This Row],[Variance_%]]&gt;0.05,"Overspend",IF(tbl_Budget[[#This Row],[Variance_%]]&lt;-0.05,"Underspend","On Budget"))</f>
        <v>On Budget</v>
      </c>
    </row>
    <row r="446" spans="1:14" hidden="1">
      <c r="A446" s="1">
        <v>45047</v>
      </c>
      <c r="B446">
        <v>5</v>
      </c>
      <c r="C446" t="s">
        <v>38</v>
      </c>
      <c r="D446" t="s">
        <v>39</v>
      </c>
      <c r="E446">
        <v>2023</v>
      </c>
      <c r="F446" t="s">
        <v>26</v>
      </c>
      <c r="G446" t="s">
        <v>20</v>
      </c>
      <c r="H446" t="s">
        <v>15</v>
      </c>
      <c r="I446" t="s">
        <v>27</v>
      </c>
      <c r="J446">
        <v>15457.97</v>
      </c>
      <c r="K446">
        <v>16036.96</v>
      </c>
      <c r="L446" s="20">
        <f>tbl_Budget[[#This Row],[Actual]]-tbl_Budget[[#This Row],[Budget]]</f>
        <v>578.98999999999978</v>
      </c>
      <c r="M446" s="3">
        <f>tbl_Budget[[#This Row],[Variance]]/tbl_Budget[[#This Row],[Budget]]</f>
        <v>3.7455759067975922E-2</v>
      </c>
      <c r="N446" t="str">
        <f>IF(tbl_Budget[[#This Row],[Variance_%]]&gt;0.05,"Overspend",IF(tbl_Budget[[#This Row],[Variance_%]]&lt;-0.05,"Underspend","On Budget"))</f>
        <v>On Budget</v>
      </c>
    </row>
    <row r="447" spans="1:14" hidden="1">
      <c r="A447" s="1">
        <v>45047</v>
      </c>
      <c r="B447">
        <v>5</v>
      </c>
      <c r="C447" t="s">
        <v>38</v>
      </c>
      <c r="D447" t="s">
        <v>39</v>
      </c>
      <c r="E447">
        <v>2023</v>
      </c>
      <c r="F447" t="s">
        <v>26</v>
      </c>
      <c r="G447" t="s">
        <v>20</v>
      </c>
      <c r="H447" t="s">
        <v>17</v>
      </c>
      <c r="I447" t="s">
        <v>27</v>
      </c>
      <c r="J447">
        <v>14988.61</v>
      </c>
      <c r="K447">
        <v>14735.4</v>
      </c>
      <c r="L447" s="20">
        <f>tbl_Budget[[#This Row],[Actual]]-tbl_Budget[[#This Row],[Budget]]</f>
        <v>-253.21000000000095</v>
      </c>
      <c r="M447" s="3">
        <f>tbl_Budget[[#This Row],[Variance]]/tbl_Budget[[#This Row],[Budget]]</f>
        <v>-1.6893494460126786E-2</v>
      </c>
      <c r="N447" t="str">
        <f>IF(tbl_Budget[[#This Row],[Variance_%]]&gt;0.05,"Overspend",IF(tbl_Budget[[#This Row],[Variance_%]]&lt;-0.05,"Underspend","On Budget"))</f>
        <v>On Budget</v>
      </c>
    </row>
    <row r="448" spans="1:14" hidden="1">
      <c r="A448" s="1">
        <v>45047</v>
      </c>
      <c r="B448">
        <v>5</v>
      </c>
      <c r="C448" t="s">
        <v>38</v>
      </c>
      <c r="D448" t="s">
        <v>39</v>
      </c>
      <c r="E448">
        <v>2023</v>
      </c>
      <c r="F448" t="s">
        <v>26</v>
      </c>
      <c r="G448" t="s">
        <v>20</v>
      </c>
      <c r="H448" t="s">
        <v>18</v>
      </c>
      <c r="I448" t="s">
        <v>27</v>
      </c>
      <c r="J448">
        <v>15314.72</v>
      </c>
      <c r="K448">
        <v>15078.11</v>
      </c>
      <c r="L448" s="20">
        <f>tbl_Budget[[#This Row],[Actual]]-tbl_Budget[[#This Row],[Budget]]</f>
        <v>-236.60999999999876</v>
      </c>
      <c r="M448" s="3">
        <f>tbl_Budget[[#This Row],[Variance]]/tbl_Budget[[#This Row],[Budget]]</f>
        <v>-1.5449841720906342E-2</v>
      </c>
      <c r="N448" t="str">
        <f>IF(tbl_Budget[[#This Row],[Variance_%]]&gt;0.05,"Overspend",IF(tbl_Budget[[#This Row],[Variance_%]]&lt;-0.05,"Underspend","On Budget"))</f>
        <v>On Budget</v>
      </c>
    </row>
    <row r="449" spans="1:14" hidden="1">
      <c r="A449" s="1">
        <v>45047</v>
      </c>
      <c r="B449">
        <v>5</v>
      </c>
      <c r="C449" t="s">
        <v>38</v>
      </c>
      <c r="D449" t="s">
        <v>39</v>
      </c>
      <c r="E449">
        <v>2023</v>
      </c>
      <c r="F449" t="s">
        <v>26</v>
      </c>
      <c r="G449" t="s">
        <v>20</v>
      </c>
      <c r="H449" t="s">
        <v>19</v>
      </c>
      <c r="I449" t="s">
        <v>27</v>
      </c>
      <c r="J449">
        <v>16322.16</v>
      </c>
      <c r="K449">
        <v>16325.3</v>
      </c>
      <c r="L449" s="20">
        <f>tbl_Budget[[#This Row],[Actual]]-tbl_Budget[[#This Row],[Budget]]</f>
        <v>3.1399999999994179</v>
      </c>
      <c r="M449" s="3">
        <f>tbl_Budget[[#This Row],[Variance]]/tbl_Budget[[#This Row],[Budget]]</f>
        <v>1.9237649918879719E-4</v>
      </c>
      <c r="N449" t="str">
        <f>IF(tbl_Budget[[#This Row],[Variance_%]]&gt;0.05,"Overspend",IF(tbl_Budget[[#This Row],[Variance_%]]&lt;-0.05,"Underspend","On Budget"))</f>
        <v>On Budget</v>
      </c>
    </row>
    <row r="450" spans="1:14">
      <c r="A450" s="1">
        <v>45047</v>
      </c>
      <c r="B450">
        <v>5</v>
      </c>
      <c r="C450" t="s">
        <v>38</v>
      </c>
      <c r="D450" t="s">
        <v>39</v>
      </c>
      <c r="E450">
        <v>2023</v>
      </c>
      <c r="F450" t="s">
        <v>26</v>
      </c>
      <c r="G450" t="s">
        <v>21</v>
      </c>
      <c r="H450" t="s">
        <v>15</v>
      </c>
      <c r="I450" t="s">
        <v>27</v>
      </c>
      <c r="J450">
        <v>8927.1</v>
      </c>
      <c r="K450">
        <v>8971.0400000000009</v>
      </c>
      <c r="L450" s="20">
        <f>tbl_Budget[[#This Row],[Actual]]-tbl_Budget[[#This Row],[Budget]]</f>
        <v>43.940000000000509</v>
      </c>
      <c r="M450" s="3">
        <f>tbl_Budget[[#This Row],[Variance]]/tbl_Budget[[#This Row],[Budget]]</f>
        <v>4.922091160623328E-3</v>
      </c>
      <c r="N450" t="str">
        <f>IF(tbl_Budget[[#This Row],[Variance_%]]&gt;0.05,"Overspend",IF(tbl_Budget[[#This Row],[Variance_%]]&lt;-0.05,"Underspend","On Budget"))</f>
        <v>On Budget</v>
      </c>
    </row>
    <row r="451" spans="1:14">
      <c r="A451" s="1">
        <v>45047</v>
      </c>
      <c r="B451">
        <v>5</v>
      </c>
      <c r="C451" t="s">
        <v>38</v>
      </c>
      <c r="D451" t="s">
        <v>39</v>
      </c>
      <c r="E451">
        <v>2023</v>
      </c>
      <c r="F451" t="s">
        <v>26</v>
      </c>
      <c r="G451" t="s">
        <v>21</v>
      </c>
      <c r="H451" t="s">
        <v>17</v>
      </c>
      <c r="I451" t="s">
        <v>27</v>
      </c>
      <c r="J451">
        <v>8190.55</v>
      </c>
      <c r="K451">
        <v>8087.86</v>
      </c>
      <c r="L451" s="20">
        <f>tbl_Budget[[#This Row],[Actual]]-tbl_Budget[[#This Row],[Budget]]</f>
        <v>-102.69000000000051</v>
      </c>
      <c r="M451" s="3">
        <f>tbl_Budget[[#This Row],[Variance]]/tbl_Budget[[#This Row],[Budget]]</f>
        <v>-1.2537619573777159E-2</v>
      </c>
      <c r="N451" t="str">
        <f>IF(tbl_Budget[[#This Row],[Variance_%]]&gt;0.05,"Overspend",IF(tbl_Budget[[#This Row],[Variance_%]]&lt;-0.05,"Underspend","On Budget"))</f>
        <v>On Budget</v>
      </c>
    </row>
    <row r="452" spans="1:14">
      <c r="A452" s="1">
        <v>45047</v>
      </c>
      <c r="B452">
        <v>5</v>
      </c>
      <c r="C452" t="s">
        <v>38</v>
      </c>
      <c r="D452" t="s">
        <v>39</v>
      </c>
      <c r="E452">
        <v>2023</v>
      </c>
      <c r="F452" t="s">
        <v>26</v>
      </c>
      <c r="G452" t="s">
        <v>21</v>
      </c>
      <c r="H452" t="s">
        <v>18</v>
      </c>
      <c r="I452" t="s">
        <v>27</v>
      </c>
      <c r="J452">
        <v>8572.3799999999992</v>
      </c>
      <c r="K452">
        <v>8708.3700000000008</v>
      </c>
      <c r="L452" s="20">
        <f>tbl_Budget[[#This Row],[Actual]]-tbl_Budget[[#This Row],[Budget]]</f>
        <v>135.9900000000016</v>
      </c>
      <c r="M452" s="3">
        <f>tbl_Budget[[#This Row],[Variance]]/tbl_Budget[[#This Row],[Budget]]</f>
        <v>1.5863739124957317E-2</v>
      </c>
      <c r="N452" t="str">
        <f>IF(tbl_Budget[[#This Row],[Variance_%]]&gt;0.05,"Overspend",IF(tbl_Budget[[#This Row],[Variance_%]]&lt;-0.05,"Underspend","On Budget"))</f>
        <v>On Budget</v>
      </c>
    </row>
    <row r="453" spans="1:14">
      <c r="A453" s="1">
        <v>45047</v>
      </c>
      <c r="B453">
        <v>5</v>
      </c>
      <c r="C453" t="s">
        <v>38</v>
      </c>
      <c r="D453" t="s">
        <v>39</v>
      </c>
      <c r="E453">
        <v>2023</v>
      </c>
      <c r="F453" t="s">
        <v>26</v>
      </c>
      <c r="G453" t="s">
        <v>21</v>
      </c>
      <c r="H453" t="s">
        <v>19</v>
      </c>
      <c r="I453" t="s">
        <v>27</v>
      </c>
      <c r="J453">
        <v>8906.9500000000007</v>
      </c>
      <c r="K453">
        <v>9020.2999999999993</v>
      </c>
      <c r="L453" s="20">
        <f>tbl_Budget[[#This Row],[Actual]]-tbl_Budget[[#This Row],[Budget]]</f>
        <v>113.34999999999854</v>
      </c>
      <c r="M453" s="3">
        <f>tbl_Budget[[#This Row],[Variance]]/tbl_Budget[[#This Row],[Budget]]</f>
        <v>1.2726017323550547E-2</v>
      </c>
      <c r="N453" t="str">
        <f>IF(tbl_Budget[[#This Row],[Variance_%]]&gt;0.05,"Overspend",IF(tbl_Budget[[#This Row],[Variance_%]]&lt;-0.05,"Underspend","On Budget"))</f>
        <v>On Budget</v>
      </c>
    </row>
    <row r="454" spans="1:14" hidden="1">
      <c r="A454" s="1">
        <v>45047</v>
      </c>
      <c r="B454">
        <v>5</v>
      </c>
      <c r="C454" t="s">
        <v>38</v>
      </c>
      <c r="D454" t="s">
        <v>39</v>
      </c>
      <c r="E454">
        <v>2023</v>
      </c>
      <c r="F454" t="s">
        <v>26</v>
      </c>
      <c r="G454" t="s">
        <v>22</v>
      </c>
      <c r="H454" t="s">
        <v>15</v>
      </c>
      <c r="I454" t="s">
        <v>27</v>
      </c>
      <c r="J454">
        <v>6756.37</v>
      </c>
      <c r="K454">
        <v>6767.28</v>
      </c>
      <c r="L454" s="20">
        <f>tbl_Budget[[#This Row],[Actual]]-tbl_Budget[[#This Row],[Budget]]</f>
        <v>10.909999999999854</v>
      </c>
      <c r="M454" s="3">
        <f>tbl_Budget[[#This Row],[Variance]]/tbl_Budget[[#This Row],[Budget]]</f>
        <v>1.6147724295738472E-3</v>
      </c>
      <c r="N454" t="str">
        <f>IF(tbl_Budget[[#This Row],[Variance_%]]&gt;0.05,"Overspend",IF(tbl_Budget[[#This Row],[Variance_%]]&lt;-0.05,"Underspend","On Budget"))</f>
        <v>On Budget</v>
      </c>
    </row>
    <row r="455" spans="1:14" hidden="1">
      <c r="A455" s="1">
        <v>45047</v>
      </c>
      <c r="B455">
        <v>5</v>
      </c>
      <c r="C455" t="s">
        <v>38</v>
      </c>
      <c r="D455" t="s">
        <v>39</v>
      </c>
      <c r="E455">
        <v>2023</v>
      </c>
      <c r="F455" t="s">
        <v>26</v>
      </c>
      <c r="G455" t="s">
        <v>22</v>
      </c>
      <c r="H455" t="s">
        <v>17</v>
      </c>
      <c r="I455" t="s">
        <v>27</v>
      </c>
      <c r="J455">
        <v>6290.84</v>
      </c>
      <c r="K455">
        <v>6338.71</v>
      </c>
      <c r="L455" s="20">
        <f>tbl_Budget[[#This Row],[Actual]]-tbl_Budget[[#This Row],[Budget]]</f>
        <v>47.869999999999891</v>
      </c>
      <c r="M455" s="3">
        <f>tbl_Budget[[#This Row],[Variance]]/tbl_Budget[[#This Row],[Budget]]</f>
        <v>7.6094766358705502E-3</v>
      </c>
      <c r="N455" t="str">
        <f>IF(tbl_Budget[[#This Row],[Variance_%]]&gt;0.05,"Overspend",IF(tbl_Budget[[#This Row],[Variance_%]]&lt;-0.05,"Underspend","On Budget"))</f>
        <v>On Budget</v>
      </c>
    </row>
    <row r="456" spans="1:14" hidden="1">
      <c r="A456" s="1">
        <v>45047</v>
      </c>
      <c r="B456">
        <v>5</v>
      </c>
      <c r="C456" t="s">
        <v>38</v>
      </c>
      <c r="D456" t="s">
        <v>39</v>
      </c>
      <c r="E456">
        <v>2023</v>
      </c>
      <c r="F456" t="s">
        <v>26</v>
      </c>
      <c r="G456" t="s">
        <v>22</v>
      </c>
      <c r="H456" t="s">
        <v>18</v>
      </c>
      <c r="I456" t="s">
        <v>27</v>
      </c>
      <c r="J456">
        <v>6598.21</v>
      </c>
      <c r="K456">
        <v>6411.23</v>
      </c>
      <c r="L456" s="20">
        <f>tbl_Budget[[#This Row],[Actual]]-tbl_Budget[[#This Row],[Budget]]</f>
        <v>-186.98000000000047</v>
      </c>
      <c r="M456" s="3">
        <f>tbl_Budget[[#This Row],[Variance]]/tbl_Budget[[#This Row],[Budget]]</f>
        <v>-2.8337988636312043E-2</v>
      </c>
      <c r="N456" t="str">
        <f>IF(tbl_Budget[[#This Row],[Variance_%]]&gt;0.05,"Overspend",IF(tbl_Budget[[#This Row],[Variance_%]]&lt;-0.05,"Underspend","On Budget"))</f>
        <v>On Budget</v>
      </c>
    </row>
    <row r="457" spans="1:14" hidden="1">
      <c r="A457" s="1">
        <v>45047</v>
      </c>
      <c r="B457">
        <v>5</v>
      </c>
      <c r="C457" t="s">
        <v>38</v>
      </c>
      <c r="D457" t="s">
        <v>39</v>
      </c>
      <c r="E457">
        <v>2023</v>
      </c>
      <c r="F457" t="s">
        <v>26</v>
      </c>
      <c r="G457" t="s">
        <v>22</v>
      </c>
      <c r="H457" t="s">
        <v>19</v>
      </c>
      <c r="I457" t="s">
        <v>27</v>
      </c>
      <c r="J457">
        <v>7019.51</v>
      </c>
      <c r="K457">
        <v>6849.47</v>
      </c>
      <c r="L457" s="20">
        <f>tbl_Budget[[#This Row],[Actual]]-tbl_Budget[[#This Row],[Budget]]</f>
        <v>-170.03999999999996</v>
      </c>
      <c r="M457" s="3">
        <f>tbl_Budget[[#This Row],[Variance]]/tbl_Budget[[#This Row],[Budget]]</f>
        <v>-2.4223913065156963E-2</v>
      </c>
      <c r="N457" t="str">
        <f>IF(tbl_Budget[[#This Row],[Variance_%]]&gt;0.05,"Overspend",IF(tbl_Budget[[#This Row],[Variance_%]]&lt;-0.05,"Underspend","On Budget"))</f>
        <v>On Budget</v>
      </c>
    </row>
    <row r="458" spans="1:14" hidden="1">
      <c r="A458" s="1">
        <v>45047</v>
      </c>
      <c r="B458">
        <v>5</v>
      </c>
      <c r="C458" t="s">
        <v>38</v>
      </c>
      <c r="D458" t="s">
        <v>39</v>
      </c>
      <c r="E458">
        <v>2023</v>
      </c>
      <c r="F458" t="s">
        <v>26</v>
      </c>
      <c r="G458" t="s">
        <v>23</v>
      </c>
      <c r="H458" t="s">
        <v>15</v>
      </c>
      <c r="I458" t="s">
        <v>27</v>
      </c>
      <c r="J458">
        <v>5675.96</v>
      </c>
      <c r="K458">
        <v>5577.54</v>
      </c>
      <c r="L458" s="20">
        <f>tbl_Budget[[#This Row],[Actual]]-tbl_Budget[[#This Row],[Budget]]</f>
        <v>-98.420000000000073</v>
      </c>
      <c r="M458" s="3">
        <f>tbl_Budget[[#This Row],[Variance]]/tbl_Budget[[#This Row],[Budget]]</f>
        <v>-1.7339798025356075E-2</v>
      </c>
      <c r="N458" t="str">
        <f>IF(tbl_Budget[[#This Row],[Variance_%]]&gt;0.05,"Overspend",IF(tbl_Budget[[#This Row],[Variance_%]]&lt;-0.05,"Underspend","On Budget"))</f>
        <v>On Budget</v>
      </c>
    </row>
    <row r="459" spans="1:14" hidden="1">
      <c r="A459" s="1">
        <v>45047</v>
      </c>
      <c r="B459">
        <v>5</v>
      </c>
      <c r="C459" t="s">
        <v>38</v>
      </c>
      <c r="D459" t="s">
        <v>39</v>
      </c>
      <c r="E459">
        <v>2023</v>
      </c>
      <c r="F459" t="s">
        <v>26</v>
      </c>
      <c r="G459" t="s">
        <v>23</v>
      </c>
      <c r="H459" t="s">
        <v>17</v>
      </c>
      <c r="I459" t="s">
        <v>27</v>
      </c>
      <c r="J459">
        <v>5651</v>
      </c>
      <c r="K459">
        <v>5653.51</v>
      </c>
      <c r="L459" s="20">
        <f>tbl_Budget[[#This Row],[Actual]]-tbl_Budget[[#This Row],[Budget]]</f>
        <v>2.5100000000002183</v>
      </c>
      <c r="M459" s="3">
        <f>tbl_Budget[[#This Row],[Variance]]/tbl_Budget[[#This Row],[Budget]]</f>
        <v>4.4416917359763199E-4</v>
      </c>
      <c r="N459" t="str">
        <f>IF(tbl_Budget[[#This Row],[Variance_%]]&gt;0.05,"Overspend",IF(tbl_Budget[[#This Row],[Variance_%]]&lt;-0.05,"Underspend","On Budget"))</f>
        <v>On Budget</v>
      </c>
    </row>
    <row r="460" spans="1:14" hidden="1">
      <c r="A460" s="1">
        <v>45047</v>
      </c>
      <c r="B460">
        <v>5</v>
      </c>
      <c r="C460" t="s">
        <v>38</v>
      </c>
      <c r="D460" t="s">
        <v>39</v>
      </c>
      <c r="E460">
        <v>2023</v>
      </c>
      <c r="F460" t="s">
        <v>26</v>
      </c>
      <c r="G460" t="s">
        <v>23</v>
      </c>
      <c r="H460" t="s">
        <v>18</v>
      </c>
      <c r="I460" t="s">
        <v>27</v>
      </c>
      <c r="J460">
        <v>5775.46</v>
      </c>
      <c r="K460">
        <v>5647.25</v>
      </c>
      <c r="L460" s="20">
        <f>tbl_Budget[[#This Row],[Actual]]-tbl_Budget[[#This Row],[Budget]]</f>
        <v>-128.21000000000004</v>
      </c>
      <c r="M460" s="3">
        <f>tbl_Budget[[#This Row],[Variance]]/tbl_Budget[[#This Row],[Budget]]</f>
        <v>-2.2199097561060078E-2</v>
      </c>
      <c r="N460" t="str">
        <f>IF(tbl_Budget[[#This Row],[Variance_%]]&gt;0.05,"Overspend",IF(tbl_Budget[[#This Row],[Variance_%]]&lt;-0.05,"Underspend","On Budget"))</f>
        <v>On Budget</v>
      </c>
    </row>
    <row r="461" spans="1:14" hidden="1">
      <c r="A461" s="1">
        <v>45047</v>
      </c>
      <c r="B461">
        <v>5</v>
      </c>
      <c r="C461" t="s">
        <v>38</v>
      </c>
      <c r="D461" t="s">
        <v>39</v>
      </c>
      <c r="E461">
        <v>2023</v>
      </c>
      <c r="F461" t="s">
        <v>26</v>
      </c>
      <c r="G461" t="s">
        <v>23</v>
      </c>
      <c r="H461" t="s">
        <v>19</v>
      </c>
      <c r="I461" t="s">
        <v>27</v>
      </c>
      <c r="J461">
        <v>6142.6</v>
      </c>
      <c r="K461">
        <v>6183.28</v>
      </c>
      <c r="L461" s="20">
        <f>tbl_Budget[[#This Row],[Actual]]-tbl_Budget[[#This Row],[Budget]]</f>
        <v>40.679999999999382</v>
      </c>
      <c r="M461" s="3">
        <f>tbl_Budget[[#This Row],[Variance]]/tbl_Budget[[#This Row],[Budget]]</f>
        <v>6.6226028066290136E-3</v>
      </c>
      <c r="N461" t="str">
        <f>IF(tbl_Budget[[#This Row],[Variance_%]]&gt;0.05,"Overspend",IF(tbl_Budget[[#This Row],[Variance_%]]&lt;-0.05,"Underspend","On Budget"))</f>
        <v>On Budget</v>
      </c>
    </row>
    <row r="462" spans="1:14" hidden="1">
      <c r="A462" s="1">
        <v>45047</v>
      </c>
      <c r="B462">
        <v>5</v>
      </c>
      <c r="C462" t="s">
        <v>38</v>
      </c>
      <c r="D462" t="s">
        <v>39</v>
      </c>
      <c r="E462">
        <v>2023</v>
      </c>
      <c r="F462" t="s">
        <v>28</v>
      </c>
      <c r="G462" t="s">
        <v>14</v>
      </c>
      <c r="H462" t="s">
        <v>15</v>
      </c>
      <c r="I462" t="s">
        <v>29</v>
      </c>
      <c r="J462">
        <v>54784.11</v>
      </c>
      <c r="K462">
        <v>47776.71</v>
      </c>
      <c r="L462" s="20">
        <f>tbl_Budget[[#This Row],[Actual]]-tbl_Budget[[#This Row],[Budget]]</f>
        <v>-7007.4000000000015</v>
      </c>
      <c r="M462" s="3">
        <f>tbl_Budget[[#This Row],[Variance]]/tbl_Budget[[#This Row],[Budget]]</f>
        <v>-0.12790935181752522</v>
      </c>
      <c r="N462" t="str">
        <f>IF(tbl_Budget[[#This Row],[Variance_%]]&gt;0.05,"Overspend",IF(tbl_Budget[[#This Row],[Variance_%]]&lt;-0.05,"Underspend","On Budget"))</f>
        <v>Underspend</v>
      </c>
    </row>
    <row r="463" spans="1:14" hidden="1">
      <c r="A463" s="1">
        <v>45047</v>
      </c>
      <c r="B463">
        <v>5</v>
      </c>
      <c r="C463" t="s">
        <v>38</v>
      </c>
      <c r="D463" t="s">
        <v>39</v>
      </c>
      <c r="E463">
        <v>2023</v>
      </c>
      <c r="F463" t="s">
        <v>28</v>
      </c>
      <c r="G463" t="s">
        <v>14</v>
      </c>
      <c r="H463" t="s">
        <v>17</v>
      </c>
      <c r="I463" t="s">
        <v>29</v>
      </c>
      <c r="J463">
        <v>53891.1</v>
      </c>
      <c r="K463">
        <v>62301.41</v>
      </c>
      <c r="L463" s="20">
        <f>tbl_Budget[[#This Row],[Actual]]-tbl_Budget[[#This Row],[Budget]]</f>
        <v>8410.3100000000049</v>
      </c>
      <c r="M463" s="3">
        <f>tbl_Budget[[#This Row],[Variance]]/tbl_Budget[[#This Row],[Budget]]</f>
        <v>0.1560612049113862</v>
      </c>
      <c r="N463" t="str">
        <f>IF(tbl_Budget[[#This Row],[Variance_%]]&gt;0.05,"Overspend",IF(tbl_Budget[[#This Row],[Variance_%]]&lt;-0.05,"Underspend","On Budget"))</f>
        <v>Overspend</v>
      </c>
    </row>
    <row r="464" spans="1:14" hidden="1">
      <c r="A464" s="1">
        <v>45047</v>
      </c>
      <c r="B464">
        <v>5</v>
      </c>
      <c r="C464" t="s">
        <v>38</v>
      </c>
      <c r="D464" t="s">
        <v>39</v>
      </c>
      <c r="E464">
        <v>2023</v>
      </c>
      <c r="F464" t="s">
        <v>28</v>
      </c>
      <c r="G464" t="s">
        <v>14</v>
      </c>
      <c r="H464" t="s">
        <v>18</v>
      </c>
      <c r="I464" t="s">
        <v>29</v>
      </c>
      <c r="J464">
        <v>54068.82</v>
      </c>
      <c r="K464">
        <v>52137.18</v>
      </c>
      <c r="L464" s="20">
        <f>tbl_Budget[[#This Row],[Actual]]-tbl_Budget[[#This Row],[Budget]]</f>
        <v>-1931.6399999999994</v>
      </c>
      <c r="M464" s="3">
        <f>tbl_Budget[[#This Row],[Variance]]/tbl_Budget[[#This Row],[Budget]]</f>
        <v>-3.5725580843081084E-2</v>
      </c>
      <c r="N464" t="str">
        <f>IF(tbl_Budget[[#This Row],[Variance_%]]&gt;0.05,"Overspend",IF(tbl_Budget[[#This Row],[Variance_%]]&lt;-0.05,"Underspend","On Budget"))</f>
        <v>On Budget</v>
      </c>
    </row>
    <row r="465" spans="1:14" hidden="1">
      <c r="A465" s="1">
        <v>45047</v>
      </c>
      <c r="B465">
        <v>5</v>
      </c>
      <c r="C465" t="s">
        <v>38</v>
      </c>
      <c r="D465" t="s">
        <v>39</v>
      </c>
      <c r="E465">
        <v>2023</v>
      </c>
      <c r="F465" t="s">
        <v>28</v>
      </c>
      <c r="G465" t="s">
        <v>14</v>
      </c>
      <c r="H465" t="s">
        <v>19</v>
      </c>
      <c r="I465" t="s">
        <v>29</v>
      </c>
      <c r="J465">
        <v>55588.23</v>
      </c>
      <c r="K465">
        <v>64888.45</v>
      </c>
      <c r="L465" s="20">
        <f>tbl_Budget[[#This Row],[Actual]]-tbl_Budget[[#This Row],[Budget]]</f>
        <v>9300.2199999999939</v>
      </c>
      <c r="M465" s="3">
        <f>tbl_Budget[[#This Row],[Variance]]/tbl_Budget[[#This Row],[Budget]]</f>
        <v>0.16730556090740781</v>
      </c>
      <c r="N465" t="str">
        <f>IF(tbl_Budget[[#This Row],[Variance_%]]&gt;0.05,"Overspend",IF(tbl_Budget[[#This Row],[Variance_%]]&lt;-0.05,"Underspend","On Budget"))</f>
        <v>Overspend</v>
      </c>
    </row>
    <row r="466" spans="1:14" hidden="1">
      <c r="A466" s="1">
        <v>45047</v>
      </c>
      <c r="B466">
        <v>5</v>
      </c>
      <c r="C466" t="s">
        <v>38</v>
      </c>
      <c r="D466" t="s">
        <v>39</v>
      </c>
      <c r="E466">
        <v>2023</v>
      </c>
      <c r="F466" t="s">
        <v>28</v>
      </c>
      <c r="G466" t="s">
        <v>20</v>
      </c>
      <c r="H466" t="s">
        <v>15</v>
      </c>
      <c r="I466" t="s">
        <v>29</v>
      </c>
      <c r="J466">
        <v>20475.849999999999</v>
      </c>
      <c r="K466">
        <v>18121.72</v>
      </c>
      <c r="L466" s="20">
        <f>tbl_Budget[[#This Row],[Actual]]-tbl_Budget[[#This Row],[Budget]]</f>
        <v>-2354.1299999999974</v>
      </c>
      <c r="M466" s="3">
        <f>tbl_Budget[[#This Row],[Variance]]/tbl_Budget[[#This Row],[Budget]]</f>
        <v>-0.11497105126282901</v>
      </c>
      <c r="N466" t="str">
        <f>IF(tbl_Budget[[#This Row],[Variance_%]]&gt;0.05,"Overspend",IF(tbl_Budget[[#This Row],[Variance_%]]&lt;-0.05,"Underspend","On Budget"))</f>
        <v>Underspend</v>
      </c>
    </row>
    <row r="467" spans="1:14" hidden="1">
      <c r="A467" s="1">
        <v>45047</v>
      </c>
      <c r="B467">
        <v>5</v>
      </c>
      <c r="C467" t="s">
        <v>38</v>
      </c>
      <c r="D467" t="s">
        <v>39</v>
      </c>
      <c r="E467">
        <v>2023</v>
      </c>
      <c r="F467" t="s">
        <v>28</v>
      </c>
      <c r="G467" t="s">
        <v>20</v>
      </c>
      <c r="H467" t="s">
        <v>17</v>
      </c>
      <c r="I467" t="s">
        <v>29</v>
      </c>
      <c r="J467">
        <v>19527.64</v>
      </c>
      <c r="K467">
        <v>20303.7</v>
      </c>
      <c r="L467" s="20">
        <f>tbl_Budget[[#This Row],[Actual]]-tbl_Budget[[#This Row],[Budget]]</f>
        <v>776.06000000000131</v>
      </c>
      <c r="M467" s="3">
        <f>tbl_Budget[[#This Row],[Variance]]/tbl_Budget[[#This Row],[Budget]]</f>
        <v>3.9741617522650013E-2</v>
      </c>
      <c r="N467" t="str">
        <f>IF(tbl_Budget[[#This Row],[Variance_%]]&gt;0.05,"Overspend",IF(tbl_Budget[[#This Row],[Variance_%]]&lt;-0.05,"Underspend","On Budget"))</f>
        <v>On Budget</v>
      </c>
    </row>
    <row r="468" spans="1:14" hidden="1">
      <c r="A468" s="1">
        <v>45047</v>
      </c>
      <c r="B468">
        <v>5</v>
      </c>
      <c r="C468" t="s">
        <v>38</v>
      </c>
      <c r="D468" t="s">
        <v>39</v>
      </c>
      <c r="E468">
        <v>2023</v>
      </c>
      <c r="F468" t="s">
        <v>28</v>
      </c>
      <c r="G468" t="s">
        <v>20</v>
      </c>
      <c r="H468" t="s">
        <v>18</v>
      </c>
      <c r="I468" t="s">
        <v>29</v>
      </c>
      <c r="J468">
        <v>20428.75</v>
      </c>
      <c r="K468">
        <v>20143.34</v>
      </c>
      <c r="L468" s="20">
        <f>tbl_Budget[[#This Row],[Actual]]-tbl_Budget[[#This Row],[Budget]]</f>
        <v>-285.40999999999985</v>
      </c>
      <c r="M468" s="3">
        <f>tbl_Budget[[#This Row],[Variance]]/tbl_Budget[[#This Row],[Budget]]</f>
        <v>-1.3970996757021348E-2</v>
      </c>
      <c r="N468" t="str">
        <f>IF(tbl_Budget[[#This Row],[Variance_%]]&gt;0.05,"Overspend",IF(tbl_Budget[[#This Row],[Variance_%]]&lt;-0.05,"Underspend","On Budget"))</f>
        <v>On Budget</v>
      </c>
    </row>
    <row r="469" spans="1:14" hidden="1">
      <c r="A469" s="1">
        <v>45047</v>
      </c>
      <c r="B469">
        <v>5</v>
      </c>
      <c r="C469" t="s">
        <v>38</v>
      </c>
      <c r="D469" t="s">
        <v>39</v>
      </c>
      <c r="E469">
        <v>2023</v>
      </c>
      <c r="F469" t="s">
        <v>28</v>
      </c>
      <c r="G469" t="s">
        <v>20</v>
      </c>
      <c r="H469" t="s">
        <v>19</v>
      </c>
      <c r="I469" t="s">
        <v>29</v>
      </c>
      <c r="J469">
        <v>21199.99</v>
      </c>
      <c r="K469">
        <v>24710.07</v>
      </c>
      <c r="L469" s="20">
        <f>tbl_Budget[[#This Row],[Actual]]-tbl_Budget[[#This Row],[Budget]]</f>
        <v>3510.0799999999981</v>
      </c>
      <c r="M469" s="3">
        <f>tbl_Budget[[#This Row],[Variance]]/tbl_Budget[[#This Row],[Budget]]</f>
        <v>0.16556988941975906</v>
      </c>
      <c r="N469" t="str">
        <f>IF(tbl_Budget[[#This Row],[Variance_%]]&gt;0.05,"Overspend",IF(tbl_Budget[[#This Row],[Variance_%]]&lt;-0.05,"Underspend","On Budget"))</f>
        <v>Overspend</v>
      </c>
    </row>
    <row r="470" spans="1:14">
      <c r="A470" s="1">
        <v>45047</v>
      </c>
      <c r="B470">
        <v>5</v>
      </c>
      <c r="C470" t="s">
        <v>38</v>
      </c>
      <c r="D470" t="s">
        <v>39</v>
      </c>
      <c r="E470">
        <v>2023</v>
      </c>
      <c r="F470" t="s">
        <v>28</v>
      </c>
      <c r="G470" t="s">
        <v>21</v>
      </c>
      <c r="H470" t="s">
        <v>15</v>
      </c>
      <c r="I470" t="s">
        <v>29</v>
      </c>
      <c r="J470">
        <v>11568.49</v>
      </c>
      <c r="K470">
        <v>11110.06</v>
      </c>
      <c r="L470" s="20">
        <f>tbl_Budget[[#This Row],[Actual]]-tbl_Budget[[#This Row],[Budget]]</f>
        <v>-458.43000000000029</v>
      </c>
      <c r="M470" s="3">
        <f>tbl_Budget[[#This Row],[Variance]]/tbl_Budget[[#This Row],[Budget]]</f>
        <v>-3.9627470828085626E-2</v>
      </c>
      <c r="N470" t="str">
        <f>IF(tbl_Budget[[#This Row],[Variance_%]]&gt;0.05,"Overspend",IF(tbl_Budget[[#This Row],[Variance_%]]&lt;-0.05,"Underspend","On Budget"))</f>
        <v>On Budget</v>
      </c>
    </row>
    <row r="471" spans="1:14">
      <c r="A471" s="1">
        <v>45047</v>
      </c>
      <c r="B471">
        <v>5</v>
      </c>
      <c r="C471" t="s">
        <v>38</v>
      </c>
      <c r="D471" t="s">
        <v>39</v>
      </c>
      <c r="E471">
        <v>2023</v>
      </c>
      <c r="F471" t="s">
        <v>28</v>
      </c>
      <c r="G471" t="s">
        <v>21</v>
      </c>
      <c r="H471" t="s">
        <v>17</v>
      </c>
      <c r="I471" t="s">
        <v>29</v>
      </c>
      <c r="J471">
        <v>10942.93</v>
      </c>
      <c r="K471">
        <v>12499.73</v>
      </c>
      <c r="L471" s="20">
        <f>tbl_Budget[[#This Row],[Actual]]-tbl_Budget[[#This Row],[Budget]]</f>
        <v>1556.7999999999993</v>
      </c>
      <c r="M471" s="3">
        <f>tbl_Budget[[#This Row],[Variance]]/tbl_Budget[[#This Row],[Budget]]</f>
        <v>0.14226537134021686</v>
      </c>
      <c r="N471" t="str">
        <f>IF(tbl_Budget[[#This Row],[Variance_%]]&gt;0.05,"Overspend",IF(tbl_Budget[[#This Row],[Variance_%]]&lt;-0.05,"Underspend","On Budget"))</f>
        <v>Overspend</v>
      </c>
    </row>
    <row r="472" spans="1:14">
      <c r="A472" s="1">
        <v>45047</v>
      </c>
      <c r="B472">
        <v>5</v>
      </c>
      <c r="C472" t="s">
        <v>38</v>
      </c>
      <c r="D472" t="s">
        <v>39</v>
      </c>
      <c r="E472">
        <v>2023</v>
      </c>
      <c r="F472" t="s">
        <v>28</v>
      </c>
      <c r="G472" t="s">
        <v>21</v>
      </c>
      <c r="H472" t="s">
        <v>18</v>
      </c>
      <c r="I472" t="s">
        <v>29</v>
      </c>
      <c r="J472">
        <v>11671.48</v>
      </c>
      <c r="K472">
        <v>13775.96</v>
      </c>
      <c r="L472" s="20">
        <f>tbl_Budget[[#This Row],[Actual]]-tbl_Budget[[#This Row],[Budget]]</f>
        <v>2104.4799999999996</v>
      </c>
      <c r="M472" s="3">
        <f>tbl_Budget[[#This Row],[Variance]]/tbl_Budget[[#This Row],[Budget]]</f>
        <v>0.18030960940686183</v>
      </c>
      <c r="N472" t="str">
        <f>IF(tbl_Budget[[#This Row],[Variance_%]]&gt;0.05,"Overspend",IF(tbl_Budget[[#This Row],[Variance_%]]&lt;-0.05,"Underspend","On Budget"))</f>
        <v>Overspend</v>
      </c>
    </row>
    <row r="473" spans="1:14">
      <c r="A473" s="1">
        <v>45047</v>
      </c>
      <c r="B473">
        <v>5</v>
      </c>
      <c r="C473" t="s">
        <v>38</v>
      </c>
      <c r="D473" t="s">
        <v>39</v>
      </c>
      <c r="E473">
        <v>2023</v>
      </c>
      <c r="F473" t="s">
        <v>28</v>
      </c>
      <c r="G473" t="s">
        <v>21</v>
      </c>
      <c r="H473" t="s">
        <v>19</v>
      </c>
      <c r="I473" t="s">
        <v>29</v>
      </c>
      <c r="J473">
        <v>12571.78</v>
      </c>
      <c r="K473">
        <v>11389.37</v>
      </c>
      <c r="L473" s="20">
        <f>tbl_Budget[[#This Row],[Actual]]-tbl_Budget[[#This Row],[Budget]]</f>
        <v>-1182.4099999999999</v>
      </c>
      <c r="M473" s="3">
        <f>tbl_Budget[[#This Row],[Variance]]/tbl_Budget[[#This Row],[Budget]]</f>
        <v>-9.4052711708286316E-2</v>
      </c>
      <c r="N473" t="str">
        <f>IF(tbl_Budget[[#This Row],[Variance_%]]&gt;0.05,"Overspend",IF(tbl_Budget[[#This Row],[Variance_%]]&lt;-0.05,"Underspend","On Budget"))</f>
        <v>Underspend</v>
      </c>
    </row>
    <row r="474" spans="1:14" hidden="1">
      <c r="A474" s="1">
        <v>45047</v>
      </c>
      <c r="B474">
        <v>5</v>
      </c>
      <c r="C474" t="s">
        <v>38</v>
      </c>
      <c r="D474" t="s">
        <v>39</v>
      </c>
      <c r="E474">
        <v>2023</v>
      </c>
      <c r="F474" t="s">
        <v>28</v>
      </c>
      <c r="G474" t="s">
        <v>22</v>
      </c>
      <c r="H474" t="s">
        <v>15</v>
      </c>
      <c r="I474" t="s">
        <v>29</v>
      </c>
      <c r="J474">
        <v>12411.53</v>
      </c>
      <c r="K474">
        <v>12934.89</v>
      </c>
      <c r="L474" s="20">
        <f>tbl_Budget[[#This Row],[Actual]]-tbl_Budget[[#This Row],[Budget]]</f>
        <v>523.35999999999876</v>
      </c>
      <c r="M474" s="3">
        <f>tbl_Budget[[#This Row],[Variance]]/tbl_Budget[[#This Row],[Budget]]</f>
        <v>4.2167242878194608E-2</v>
      </c>
      <c r="N474" t="str">
        <f>IF(tbl_Budget[[#This Row],[Variance_%]]&gt;0.05,"Overspend",IF(tbl_Budget[[#This Row],[Variance_%]]&lt;-0.05,"Underspend","On Budget"))</f>
        <v>On Budget</v>
      </c>
    </row>
    <row r="475" spans="1:14" hidden="1">
      <c r="A475" s="1">
        <v>45047</v>
      </c>
      <c r="B475">
        <v>5</v>
      </c>
      <c r="C475" t="s">
        <v>38</v>
      </c>
      <c r="D475" t="s">
        <v>39</v>
      </c>
      <c r="E475">
        <v>2023</v>
      </c>
      <c r="F475" t="s">
        <v>28</v>
      </c>
      <c r="G475" t="s">
        <v>22</v>
      </c>
      <c r="H475" t="s">
        <v>17</v>
      </c>
      <c r="I475" t="s">
        <v>29</v>
      </c>
      <c r="J475">
        <v>12110.14</v>
      </c>
      <c r="K475">
        <v>13141.66</v>
      </c>
      <c r="L475" s="20">
        <f>tbl_Budget[[#This Row],[Actual]]-tbl_Budget[[#This Row],[Budget]]</f>
        <v>1031.5200000000004</v>
      </c>
      <c r="M475" s="3">
        <f>tbl_Budget[[#This Row],[Variance]]/tbl_Budget[[#This Row],[Budget]]</f>
        <v>8.5178206032300238E-2</v>
      </c>
      <c r="N475" t="str">
        <f>IF(tbl_Budget[[#This Row],[Variance_%]]&gt;0.05,"Overspend",IF(tbl_Budget[[#This Row],[Variance_%]]&lt;-0.05,"Underspend","On Budget"))</f>
        <v>Overspend</v>
      </c>
    </row>
    <row r="476" spans="1:14" hidden="1">
      <c r="A476" s="1">
        <v>45047</v>
      </c>
      <c r="B476">
        <v>5</v>
      </c>
      <c r="C476" t="s">
        <v>38</v>
      </c>
      <c r="D476" t="s">
        <v>39</v>
      </c>
      <c r="E476">
        <v>2023</v>
      </c>
      <c r="F476" t="s">
        <v>28</v>
      </c>
      <c r="G476" t="s">
        <v>22</v>
      </c>
      <c r="H476" t="s">
        <v>18</v>
      </c>
      <c r="I476" t="s">
        <v>29</v>
      </c>
      <c r="J476">
        <v>11985.66</v>
      </c>
      <c r="K476">
        <v>11756.81</v>
      </c>
      <c r="L476" s="20">
        <f>tbl_Budget[[#This Row],[Actual]]-tbl_Budget[[#This Row],[Budget]]</f>
        <v>-228.85000000000036</v>
      </c>
      <c r="M476" s="3">
        <f>tbl_Budget[[#This Row],[Variance]]/tbl_Budget[[#This Row],[Budget]]</f>
        <v>-1.9093650245376587E-2</v>
      </c>
      <c r="N476" t="str">
        <f>IF(tbl_Budget[[#This Row],[Variance_%]]&gt;0.05,"Overspend",IF(tbl_Budget[[#This Row],[Variance_%]]&lt;-0.05,"Underspend","On Budget"))</f>
        <v>On Budget</v>
      </c>
    </row>
    <row r="477" spans="1:14" hidden="1">
      <c r="A477" s="1">
        <v>45047</v>
      </c>
      <c r="B477">
        <v>5</v>
      </c>
      <c r="C477" t="s">
        <v>38</v>
      </c>
      <c r="D477" t="s">
        <v>39</v>
      </c>
      <c r="E477">
        <v>2023</v>
      </c>
      <c r="F477" t="s">
        <v>28</v>
      </c>
      <c r="G477" t="s">
        <v>22</v>
      </c>
      <c r="H477" t="s">
        <v>19</v>
      </c>
      <c r="I477" t="s">
        <v>29</v>
      </c>
      <c r="J477">
        <v>12774.59</v>
      </c>
      <c r="K477">
        <v>11257.1</v>
      </c>
      <c r="L477" s="20">
        <f>tbl_Budget[[#This Row],[Actual]]-tbl_Budget[[#This Row],[Budget]]</f>
        <v>-1517.4899999999998</v>
      </c>
      <c r="M477" s="3">
        <f>tbl_Budget[[#This Row],[Variance]]/tbl_Budget[[#This Row],[Budget]]</f>
        <v>-0.11878972240987772</v>
      </c>
      <c r="N477" t="str">
        <f>IF(tbl_Budget[[#This Row],[Variance_%]]&gt;0.05,"Overspend",IF(tbl_Budget[[#This Row],[Variance_%]]&lt;-0.05,"Underspend","On Budget"))</f>
        <v>Underspend</v>
      </c>
    </row>
    <row r="478" spans="1:14" hidden="1">
      <c r="A478" s="1">
        <v>45047</v>
      </c>
      <c r="B478">
        <v>5</v>
      </c>
      <c r="C478" t="s">
        <v>38</v>
      </c>
      <c r="D478" t="s">
        <v>39</v>
      </c>
      <c r="E478">
        <v>2023</v>
      </c>
      <c r="F478" t="s">
        <v>28</v>
      </c>
      <c r="G478" t="s">
        <v>23</v>
      </c>
      <c r="H478" t="s">
        <v>15</v>
      </c>
      <c r="I478" t="s">
        <v>29</v>
      </c>
      <c r="J478">
        <v>7990.77</v>
      </c>
      <c r="K478">
        <v>8081.71</v>
      </c>
      <c r="L478" s="20">
        <f>tbl_Budget[[#This Row],[Actual]]-tbl_Budget[[#This Row],[Budget]]</f>
        <v>90.9399999999996</v>
      </c>
      <c r="M478" s="3">
        <f>tbl_Budget[[#This Row],[Variance]]/tbl_Budget[[#This Row],[Budget]]</f>
        <v>1.1380630402326633E-2</v>
      </c>
      <c r="N478" t="str">
        <f>IF(tbl_Budget[[#This Row],[Variance_%]]&gt;0.05,"Overspend",IF(tbl_Budget[[#This Row],[Variance_%]]&lt;-0.05,"Underspend","On Budget"))</f>
        <v>On Budget</v>
      </c>
    </row>
    <row r="479" spans="1:14" hidden="1">
      <c r="A479" s="1">
        <v>45047</v>
      </c>
      <c r="B479">
        <v>5</v>
      </c>
      <c r="C479" t="s">
        <v>38</v>
      </c>
      <c r="D479" t="s">
        <v>39</v>
      </c>
      <c r="E479">
        <v>2023</v>
      </c>
      <c r="F479" t="s">
        <v>28</v>
      </c>
      <c r="G479" t="s">
        <v>23</v>
      </c>
      <c r="H479" t="s">
        <v>17</v>
      </c>
      <c r="I479" t="s">
        <v>29</v>
      </c>
      <c r="J479">
        <v>7527.65</v>
      </c>
      <c r="K479">
        <v>6513.59</v>
      </c>
      <c r="L479" s="20">
        <f>tbl_Budget[[#This Row],[Actual]]-tbl_Budget[[#This Row],[Budget]]</f>
        <v>-1014.0599999999995</v>
      </c>
      <c r="M479" s="3">
        <f>tbl_Budget[[#This Row],[Variance]]/tbl_Budget[[#This Row],[Budget]]</f>
        <v>-0.13471136410433529</v>
      </c>
      <c r="N479" t="str">
        <f>IF(tbl_Budget[[#This Row],[Variance_%]]&gt;0.05,"Overspend",IF(tbl_Budget[[#This Row],[Variance_%]]&lt;-0.05,"Underspend","On Budget"))</f>
        <v>Underspend</v>
      </c>
    </row>
    <row r="480" spans="1:14" hidden="1">
      <c r="A480" s="1">
        <v>45047</v>
      </c>
      <c r="B480">
        <v>5</v>
      </c>
      <c r="C480" t="s">
        <v>38</v>
      </c>
      <c r="D480" t="s">
        <v>39</v>
      </c>
      <c r="E480">
        <v>2023</v>
      </c>
      <c r="F480" t="s">
        <v>28</v>
      </c>
      <c r="G480" t="s">
        <v>23</v>
      </c>
      <c r="H480" t="s">
        <v>18</v>
      </c>
      <c r="I480" t="s">
        <v>29</v>
      </c>
      <c r="J480">
        <v>7495.23</v>
      </c>
      <c r="K480">
        <v>8736.74</v>
      </c>
      <c r="L480" s="20">
        <f>tbl_Budget[[#This Row],[Actual]]-tbl_Budget[[#This Row],[Budget]]</f>
        <v>1241.5100000000002</v>
      </c>
      <c r="M480" s="3">
        <f>tbl_Budget[[#This Row],[Variance]]/tbl_Budget[[#This Row],[Budget]]</f>
        <v>0.16564001371538969</v>
      </c>
      <c r="N480" t="str">
        <f>IF(tbl_Budget[[#This Row],[Variance_%]]&gt;0.05,"Overspend",IF(tbl_Budget[[#This Row],[Variance_%]]&lt;-0.05,"Underspend","On Budget"))</f>
        <v>Overspend</v>
      </c>
    </row>
    <row r="481" spans="1:14" hidden="1">
      <c r="A481" s="1">
        <v>45047</v>
      </c>
      <c r="B481">
        <v>5</v>
      </c>
      <c r="C481" t="s">
        <v>38</v>
      </c>
      <c r="D481" t="s">
        <v>39</v>
      </c>
      <c r="E481">
        <v>2023</v>
      </c>
      <c r="F481" t="s">
        <v>28</v>
      </c>
      <c r="G481" t="s">
        <v>23</v>
      </c>
      <c r="H481" t="s">
        <v>19</v>
      </c>
      <c r="I481" t="s">
        <v>29</v>
      </c>
      <c r="J481">
        <v>8171.71</v>
      </c>
      <c r="K481">
        <v>9566.16</v>
      </c>
      <c r="L481" s="20">
        <f>tbl_Budget[[#This Row],[Actual]]-tbl_Budget[[#This Row],[Budget]]</f>
        <v>1394.4499999999998</v>
      </c>
      <c r="M481" s="3">
        <f>tbl_Budget[[#This Row],[Variance]]/tbl_Budget[[#This Row],[Budget]]</f>
        <v>0.17064359846347946</v>
      </c>
      <c r="N481" t="str">
        <f>IF(tbl_Budget[[#This Row],[Variance_%]]&gt;0.05,"Overspend",IF(tbl_Budget[[#This Row],[Variance_%]]&lt;-0.05,"Underspend","On Budget"))</f>
        <v>Overspend</v>
      </c>
    </row>
    <row r="482" spans="1:14" hidden="1">
      <c r="A482" s="1">
        <v>45047</v>
      </c>
      <c r="B482">
        <v>5</v>
      </c>
      <c r="C482" t="s">
        <v>38</v>
      </c>
      <c r="D482" t="s">
        <v>39</v>
      </c>
      <c r="E482">
        <v>2023</v>
      </c>
      <c r="F482" t="s">
        <v>30</v>
      </c>
      <c r="G482" t="s">
        <v>14</v>
      </c>
      <c r="H482" t="s">
        <v>15</v>
      </c>
      <c r="I482" t="s">
        <v>31</v>
      </c>
      <c r="J482">
        <v>43313.13</v>
      </c>
      <c r="K482">
        <v>41073.68</v>
      </c>
      <c r="L482" s="20">
        <f>tbl_Budget[[#This Row],[Actual]]-tbl_Budget[[#This Row],[Budget]]</f>
        <v>-2239.4499999999971</v>
      </c>
      <c r="M482" s="3">
        <f>tbl_Budget[[#This Row],[Variance]]/tbl_Budget[[#This Row],[Budget]]</f>
        <v>-5.170372125034596E-2</v>
      </c>
      <c r="N482" t="str">
        <f>IF(tbl_Budget[[#This Row],[Variance_%]]&gt;0.05,"Overspend",IF(tbl_Budget[[#This Row],[Variance_%]]&lt;-0.05,"Underspend","On Budget"))</f>
        <v>Underspend</v>
      </c>
    </row>
    <row r="483" spans="1:14" hidden="1">
      <c r="A483" s="1">
        <v>45047</v>
      </c>
      <c r="B483">
        <v>5</v>
      </c>
      <c r="C483" t="s">
        <v>38</v>
      </c>
      <c r="D483" t="s">
        <v>39</v>
      </c>
      <c r="E483">
        <v>2023</v>
      </c>
      <c r="F483" t="s">
        <v>30</v>
      </c>
      <c r="G483" t="s">
        <v>14</v>
      </c>
      <c r="H483" t="s">
        <v>17</v>
      </c>
      <c r="I483" t="s">
        <v>31</v>
      </c>
      <c r="J483">
        <v>40775.83</v>
      </c>
      <c r="K483">
        <v>39586.89</v>
      </c>
      <c r="L483" s="20">
        <f>tbl_Budget[[#This Row],[Actual]]-tbl_Budget[[#This Row],[Budget]]</f>
        <v>-1188.9400000000023</v>
      </c>
      <c r="M483" s="3">
        <f>tbl_Budget[[#This Row],[Variance]]/tbl_Budget[[#This Row],[Budget]]</f>
        <v>-2.9157959506894215E-2</v>
      </c>
      <c r="N483" t="str">
        <f>IF(tbl_Budget[[#This Row],[Variance_%]]&gt;0.05,"Overspend",IF(tbl_Budget[[#This Row],[Variance_%]]&lt;-0.05,"Underspend","On Budget"))</f>
        <v>On Budget</v>
      </c>
    </row>
    <row r="484" spans="1:14" hidden="1">
      <c r="A484" s="1">
        <v>45047</v>
      </c>
      <c r="B484">
        <v>5</v>
      </c>
      <c r="C484" t="s">
        <v>38</v>
      </c>
      <c r="D484" t="s">
        <v>39</v>
      </c>
      <c r="E484">
        <v>2023</v>
      </c>
      <c r="F484" t="s">
        <v>30</v>
      </c>
      <c r="G484" t="s">
        <v>14</v>
      </c>
      <c r="H484" t="s">
        <v>18</v>
      </c>
      <c r="I484" t="s">
        <v>31</v>
      </c>
      <c r="J484">
        <v>43784.83</v>
      </c>
      <c r="K484">
        <v>44058.53</v>
      </c>
      <c r="L484" s="20">
        <f>tbl_Budget[[#This Row],[Actual]]-tbl_Budget[[#This Row],[Budget]]</f>
        <v>273.69999999999709</v>
      </c>
      <c r="M484" s="3">
        <f>tbl_Budget[[#This Row],[Variance]]/tbl_Budget[[#This Row],[Budget]]</f>
        <v>6.2510234709144026E-3</v>
      </c>
      <c r="N484" t="str">
        <f>IF(tbl_Budget[[#This Row],[Variance_%]]&gt;0.05,"Overspend",IF(tbl_Budget[[#This Row],[Variance_%]]&lt;-0.05,"Underspend","On Budget"))</f>
        <v>On Budget</v>
      </c>
    </row>
    <row r="485" spans="1:14" hidden="1">
      <c r="A485" s="1">
        <v>45047</v>
      </c>
      <c r="B485">
        <v>5</v>
      </c>
      <c r="C485" t="s">
        <v>38</v>
      </c>
      <c r="D485" t="s">
        <v>39</v>
      </c>
      <c r="E485">
        <v>2023</v>
      </c>
      <c r="F485" t="s">
        <v>30</v>
      </c>
      <c r="G485" t="s">
        <v>14</v>
      </c>
      <c r="H485" t="s">
        <v>19</v>
      </c>
      <c r="I485" t="s">
        <v>31</v>
      </c>
      <c r="J485">
        <v>44900.57</v>
      </c>
      <c r="K485">
        <v>46359.16</v>
      </c>
      <c r="L485" s="20">
        <f>tbl_Budget[[#This Row],[Actual]]-tbl_Budget[[#This Row],[Budget]]</f>
        <v>1458.5900000000038</v>
      </c>
      <c r="M485" s="3">
        <f>tbl_Budget[[#This Row],[Variance]]/tbl_Budget[[#This Row],[Budget]]</f>
        <v>3.2484888276474083E-2</v>
      </c>
      <c r="N485" t="str">
        <f>IF(tbl_Budget[[#This Row],[Variance_%]]&gt;0.05,"Overspend",IF(tbl_Budget[[#This Row],[Variance_%]]&lt;-0.05,"Underspend","On Budget"))</f>
        <v>On Budget</v>
      </c>
    </row>
    <row r="486" spans="1:14" hidden="1">
      <c r="A486" s="1">
        <v>45047</v>
      </c>
      <c r="B486">
        <v>5</v>
      </c>
      <c r="C486" t="s">
        <v>38</v>
      </c>
      <c r="D486" t="s">
        <v>39</v>
      </c>
      <c r="E486">
        <v>2023</v>
      </c>
      <c r="F486" t="s">
        <v>30</v>
      </c>
      <c r="G486" t="s">
        <v>20</v>
      </c>
      <c r="H486" t="s">
        <v>15</v>
      </c>
      <c r="I486" t="s">
        <v>31</v>
      </c>
      <c r="J486">
        <v>17131.740000000002</v>
      </c>
      <c r="K486">
        <v>17846.23</v>
      </c>
      <c r="L486" s="20">
        <f>tbl_Budget[[#This Row],[Actual]]-tbl_Budget[[#This Row],[Budget]]</f>
        <v>714.48999999999796</v>
      </c>
      <c r="M486" s="3">
        <f>tbl_Budget[[#This Row],[Variance]]/tbl_Budget[[#This Row],[Budget]]</f>
        <v>4.1705629434021174E-2</v>
      </c>
      <c r="N486" t="str">
        <f>IF(tbl_Budget[[#This Row],[Variance_%]]&gt;0.05,"Overspend",IF(tbl_Budget[[#This Row],[Variance_%]]&lt;-0.05,"Underspend","On Budget"))</f>
        <v>On Budget</v>
      </c>
    </row>
    <row r="487" spans="1:14" hidden="1">
      <c r="A487" s="1">
        <v>45047</v>
      </c>
      <c r="B487">
        <v>5</v>
      </c>
      <c r="C487" t="s">
        <v>38</v>
      </c>
      <c r="D487" t="s">
        <v>39</v>
      </c>
      <c r="E487">
        <v>2023</v>
      </c>
      <c r="F487" t="s">
        <v>30</v>
      </c>
      <c r="G487" t="s">
        <v>20</v>
      </c>
      <c r="H487" t="s">
        <v>17</v>
      </c>
      <c r="I487" t="s">
        <v>31</v>
      </c>
      <c r="J487">
        <v>15559.73</v>
      </c>
      <c r="K487">
        <v>15114.47</v>
      </c>
      <c r="L487" s="20">
        <f>tbl_Budget[[#This Row],[Actual]]-tbl_Budget[[#This Row],[Budget]]</f>
        <v>-445.26000000000022</v>
      </c>
      <c r="M487" s="3">
        <f>tbl_Budget[[#This Row],[Variance]]/tbl_Budget[[#This Row],[Budget]]</f>
        <v>-2.8616177787146709E-2</v>
      </c>
      <c r="N487" t="str">
        <f>IF(tbl_Budget[[#This Row],[Variance_%]]&gt;0.05,"Overspend",IF(tbl_Budget[[#This Row],[Variance_%]]&lt;-0.05,"Underspend","On Budget"))</f>
        <v>On Budget</v>
      </c>
    </row>
    <row r="488" spans="1:14" hidden="1">
      <c r="A488" s="1">
        <v>45047</v>
      </c>
      <c r="B488">
        <v>5</v>
      </c>
      <c r="C488" t="s">
        <v>38</v>
      </c>
      <c r="D488" t="s">
        <v>39</v>
      </c>
      <c r="E488">
        <v>2023</v>
      </c>
      <c r="F488" t="s">
        <v>30</v>
      </c>
      <c r="G488" t="s">
        <v>20</v>
      </c>
      <c r="H488" t="s">
        <v>18</v>
      </c>
      <c r="I488" t="s">
        <v>31</v>
      </c>
      <c r="J488">
        <v>16712.400000000001</v>
      </c>
      <c r="K488">
        <v>16598.43</v>
      </c>
      <c r="L488" s="20">
        <f>tbl_Budget[[#This Row],[Actual]]-tbl_Budget[[#This Row],[Budget]]</f>
        <v>-113.97000000000116</v>
      </c>
      <c r="M488" s="3">
        <f>tbl_Budget[[#This Row],[Variance]]/tbl_Budget[[#This Row],[Budget]]</f>
        <v>-6.8194873267753975E-3</v>
      </c>
      <c r="N488" t="str">
        <f>IF(tbl_Budget[[#This Row],[Variance_%]]&gt;0.05,"Overspend",IF(tbl_Budget[[#This Row],[Variance_%]]&lt;-0.05,"Underspend","On Budget"))</f>
        <v>On Budget</v>
      </c>
    </row>
    <row r="489" spans="1:14" hidden="1">
      <c r="A489" s="1">
        <v>45047</v>
      </c>
      <c r="B489">
        <v>5</v>
      </c>
      <c r="C489" t="s">
        <v>38</v>
      </c>
      <c r="D489" t="s">
        <v>39</v>
      </c>
      <c r="E489">
        <v>2023</v>
      </c>
      <c r="F489" t="s">
        <v>30</v>
      </c>
      <c r="G489" t="s">
        <v>20</v>
      </c>
      <c r="H489" t="s">
        <v>19</v>
      </c>
      <c r="I489" t="s">
        <v>31</v>
      </c>
      <c r="J489">
        <v>17458.82</v>
      </c>
      <c r="K489">
        <v>16844.43</v>
      </c>
      <c r="L489" s="20">
        <f>tbl_Budget[[#This Row],[Actual]]-tbl_Budget[[#This Row],[Budget]]</f>
        <v>-614.38999999999942</v>
      </c>
      <c r="M489" s="3">
        <f>tbl_Budget[[#This Row],[Variance]]/tbl_Budget[[#This Row],[Budget]]</f>
        <v>-3.5190809000837368E-2</v>
      </c>
      <c r="N489" t="str">
        <f>IF(tbl_Budget[[#This Row],[Variance_%]]&gt;0.05,"Overspend",IF(tbl_Budget[[#This Row],[Variance_%]]&lt;-0.05,"Underspend","On Budget"))</f>
        <v>On Budget</v>
      </c>
    </row>
    <row r="490" spans="1:14">
      <c r="A490" s="1">
        <v>45047</v>
      </c>
      <c r="B490">
        <v>5</v>
      </c>
      <c r="C490" t="s">
        <v>38</v>
      </c>
      <c r="D490" t="s">
        <v>39</v>
      </c>
      <c r="E490">
        <v>2023</v>
      </c>
      <c r="F490" t="s">
        <v>30</v>
      </c>
      <c r="G490" t="s">
        <v>21</v>
      </c>
      <c r="H490" t="s">
        <v>15</v>
      </c>
      <c r="I490" t="s">
        <v>31</v>
      </c>
      <c r="J490">
        <v>7137.93</v>
      </c>
      <c r="K490">
        <v>7251.84</v>
      </c>
      <c r="L490" s="20">
        <f>tbl_Budget[[#This Row],[Actual]]-tbl_Budget[[#This Row],[Budget]]</f>
        <v>113.90999999999985</v>
      </c>
      <c r="M490" s="3">
        <f>tbl_Budget[[#This Row],[Variance]]/tbl_Budget[[#This Row],[Budget]]</f>
        <v>1.5958408109914196E-2</v>
      </c>
      <c r="N490" t="str">
        <f>IF(tbl_Budget[[#This Row],[Variance_%]]&gt;0.05,"Overspend",IF(tbl_Budget[[#This Row],[Variance_%]]&lt;-0.05,"Underspend","On Budget"))</f>
        <v>On Budget</v>
      </c>
    </row>
    <row r="491" spans="1:14">
      <c r="A491" s="1">
        <v>45047</v>
      </c>
      <c r="B491">
        <v>5</v>
      </c>
      <c r="C491" t="s">
        <v>38</v>
      </c>
      <c r="D491" t="s">
        <v>39</v>
      </c>
      <c r="E491">
        <v>2023</v>
      </c>
      <c r="F491" t="s">
        <v>30</v>
      </c>
      <c r="G491" t="s">
        <v>21</v>
      </c>
      <c r="H491" t="s">
        <v>17</v>
      </c>
      <c r="I491" t="s">
        <v>31</v>
      </c>
      <c r="J491">
        <v>6620.01</v>
      </c>
      <c r="K491">
        <v>6722.1</v>
      </c>
      <c r="L491" s="20">
        <f>tbl_Budget[[#This Row],[Actual]]-tbl_Budget[[#This Row],[Budget]]</f>
        <v>102.09000000000015</v>
      </c>
      <c r="M491" s="3">
        <f>tbl_Budget[[#This Row],[Variance]]/tbl_Budget[[#This Row],[Budget]]</f>
        <v>1.5421426855850693E-2</v>
      </c>
      <c r="N491" t="str">
        <f>IF(tbl_Budget[[#This Row],[Variance_%]]&gt;0.05,"Overspend",IF(tbl_Budget[[#This Row],[Variance_%]]&lt;-0.05,"Underspend","On Budget"))</f>
        <v>On Budget</v>
      </c>
    </row>
    <row r="492" spans="1:14">
      <c r="A492" s="1">
        <v>45047</v>
      </c>
      <c r="B492">
        <v>5</v>
      </c>
      <c r="C492" t="s">
        <v>38</v>
      </c>
      <c r="D492" t="s">
        <v>39</v>
      </c>
      <c r="E492">
        <v>2023</v>
      </c>
      <c r="F492" t="s">
        <v>30</v>
      </c>
      <c r="G492" t="s">
        <v>21</v>
      </c>
      <c r="H492" t="s">
        <v>18</v>
      </c>
      <c r="I492" t="s">
        <v>31</v>
      </c>
      <c r="J492">
        <v>7046.83</v>
      </c>
      <c r="K492">
        <v>6773.28</v>
      </c>
      <c r="L492" s="20">
        <f>tbl_Budget[[#This Row],[Actual]]-tbl_Budget[[#This Row],[Budget]]</f>
        <v>-273.55000000000018</v>
      </c>
      <c r="M492" s="3">
        <f>tbl_Budget[[#This Row],[Variance]]/tbl_Budget[[#This Row],[Budget]]</f>
        <v>-3.8818873167083663E-2</v>
      </c>
      <c r="N492" t="str">
        <f>IF(tbl_Budget[[#This Row],[Variance_%]]&gt;0.05,"Overspend",IF(tbl_Budget[[#This Row],[Variance_%]]&lt;-0.05,"Underspend","On Budget"))</f>
        <v>On Budget</v>
      </c>
    </row>
    <row r="493" spans="1:14">
      <c r="A493" s="1">
        <v>45047</v>
      </c>
      <c r="B493">
        <v>5</v>
      </c>
      <c r="C493" t="s">
        <v>38</v>
      </c>
      <c r="D493" t="s">
        <v>39</v>
      </c>
      <c r="E493">
        <v>2023</v>
      </c>
      <c r="F493" t="s">
        <v>30</v>
      </c>
      <c r="G493" t="s">
        <v>21</v>
      </c>
      <c r="H493" t="s">
        <v>19</v>
      </c>
      <c r="I493" t="s">
        <v>31</v>
      </c>
      <c r="J493">
        <v>7346.56</v>
      </c>
      <c r="K493">
        <v>7362.13</v>
      </c>
      <c r="L493" s="20">
        <f>tbl_Budget[[#This Row],[Actual]]-tbl_Budget[[#This Row],[Budget]]</f>
        <v>15.569999999999709</v>
      </c>
      <c r="M493" s="3">
        <f>tbl_Budget[[#This Row],[Variance]]/tbl_Budget[[#This Row],[Budget]]</f>
        <v>2.1193592647442759E-3</v>
      </c>
      <c r="N493" t="str">
        <f>IF(tbl_Budget[[#This Row],[Variance_%]]&gt;0.05,"Overspend",IF(tbl_Budget[[#This Row],[Variance_%]]&lt;-0.05,"Underspend","On Budget"))</f>
        <v>On Budget</v>
      </c>
    </row>
    <row r="494" spans="1:14" hidden="1">
      <c r="A494" s="1">
        <v>45047</v>
      </c>
      <c r="B494">
        <v>5</v>
      </c>
      <c r="C494" t="s">
        <v>38</v>
      </c>
      <c r="D494" t="s">
        <v>39</v>
      </c>
      <c r="E494">
        <v>2023</v>
      </c>
      <c r="F494" t="s">
        <v>30</v>
      </c>
      <c r="G494" t="s">
        <v>22</v>
      </c>
      <c r="H494" t="s">
        <v>15</v>
      </c>
      <c r="I494" t="s">
        <v>31</v>
      </c>
      <c r="J494">
        <v>7307.01</v>
      </c>
      <c r="K494">
        <v>7666.47</v>
      </c>
      <c r="L494" s="20">
        <f>tbl_Budget[[#This Row],[Actual]]-tbl_Budget[[#This Row],[Budget]]</f>
        <v>359.46000000000004</v>
      </c>
      <c r="M494" s="3">
        <f>tbl_Budget[[#This Row],[Variance]]/tbl_Budget[[#This Row],[Budget]]</f>
        <v>4.9193856310583949E-2</v>
      </c>
      <c r="N494" t="str">
        <f>IF(tbl_Budget[[#This Row],[Variance_%]]&gt;0.05,"Overspend",IF(tbl_Budget[[#This Row],[Variance_%]]&lt;-0.05,"Underspend","On Budget"))</f>
        <v>On Budget</v>
      </c>
    </row>
    <row r="495" spans="1:14" hidden="1">
      <c r="A495" s="1">
        <v>45047</v>
      </c>
      <c r="B495">
        <v>5</v>
      </c>
      <c r="C495" t="s">
        <v>38</v>
      </c>
      <c r="D495" t="s">
        <v>39</v>
      </c>
      <c r="E495">
        <v>2023</v>
      </c>
      <c r="F495" t="s">
        <v>30</v>
      </c>
      <c r="G495" t="s">
        <v>22</v>
      </c>
      <c r="H495" t="s">
        <v>17</v>
      </c>
      <c r="I495" t="s">
        <v>31</v>
      </c>
      <c r="J495">
        <v>6969.58</v>
      </c>
      <c r="K495">
        <v>6855.15</v>
      </c>
      <c r="L495" s="20">
        <f>tbl_Budget[[#This Row],[Actual]]-tbl_Budget[[#This Row],[Budget]]</f>
        <v>-114.43000000000029</v>
      </c>
      <c r="M495" s="3">
        <f>tbl_Budget[[#This Row],[Variance]]/tbl_Budget[[#This Row],[Budget]]</f>
        <v>-1.6418492936446715E-2</v>
      </c>
      <c r="N495" t="str">
        <f>IF(tbl_Budget[[#This Row],[Variance_%]]&gt;0.05,"Overspend",IF(tbl_Budget[[#This Row],[Variance_%]]&lt;-0.05,"Underspend","On Budget"))</f>
        <v>On Budget</v>
      </c>
    </row>
    <row r="496" spans="1:14" hidden="1">
      <c r="A496" s="1">
        <v>45047</v>
      </c>
      <c r="B496">
        <v>5</v>
      </c>
      <c r="C496" t="s">
        <v>38</v>
      </c>
      <c r="D496" t="s">
        <v>39</v>
      </c>
      <c r="E496">
        <v>2023</v>
      </c>
      <c r="F496" t="s">
        <v>30</v>
      </c>
      <c r="G496" t="s">
        <v>22</v>
      </c>
      <c r="H496" t="s">
        <v>18</v>
      </c>
      <c r="I496" t="s">
        <v>31</v>
      </c>
      <c r="J496">
        <v>7160.96</v>
      </c>
      <c r="K496">
        <v>6985.33</v>
      </c>
      <c r="L496" s="20">
        <f>tbl_Budget[[#This Row],[Actual]]-tbl_Budget[[#This Row],[Budget]]</f>
        <v>-175.63000000000011</v>
      </c>
      <c r="M496" s="3">
        <f>tbl_Budget[[#This Row],[Variance]]/tbl_Budget[[#This Row],[Budget]]</f>
        <v>-2.4526041201179745E-2</v>
      </c>
      <c r="N496" t="str">
        <f>IF(tbl_Budget[[#This Row],[Variance_%]]&gt;0.05,"Overspend",IF(tbl_Budget[[#This Row],[Variance_%]]&lt;-0.05,"Underspend","On Budget"))</f>
        <v>On Budget</v>
      </c>
    </row>
    <row r="497" spans="1:14" hidden="1">
      <c r="A497" s="1">
        <v>45047</v>
      </c>
      <c r="B497">
        <v>5</v>
      </c>
      <c r="C497" t="s">
        <v>38</v>
      </c>
      <c r="D497" t="s">
        <v>39</v>
      </c>
      <c r="E497">
        <v>2023</v>
      </c>
      <c r="F497" t="s">
        <v>30</v>
      </c>
      <c r="G497" t="s">
        <v>22</v>
      </c>
      <c r="H497" t="s">
        <v>19</v>
      </c>
      <c r="I497" t="s">
        <v>31</v>
      </c>
      <c r="J497">
        <v>7414.38</v>
      </c>
      <c r="K497">
        <v>7766.48</v>
      </c>
      <c r="L497" s="20">
        <f>tbl_Budget[[#This Row],[Actual]]-tbl_Budget[[#This Row],[Budget]]</f>
        <v>352.09999999999945</v>
      </c>
      <c r="M497" s="3">
        <f>tbl_Budget[[#This Row],[Variance]]/tbl_Budget[[#This Row],[Budget]]</f>
        <v>4.7488798793695421E-2</v>
      </c>
      <c r="N497" t="str">
        <f>IF(tbl_Budget[[#This Row],[Variance_%]]&gt;0.05,"Overspend",IF(tbl_Budget[[#This Row],[Variance_%]]&lt;-0.05,"Underspend","On Budget"))</f>
        <v>On Budget</v>
      </c>
    </row>
    <row r="498" spans="1:14" hidden="1">
      <c r="A498" s="1">
        <v>45047</v>
      </c>
      <c r="B498">
        <v>5</v>
      </c>
      <c r="C498" t="s">
        <v>38</v>
      </c>
      <c r="D498" t="s">
        <v>39</v>
      </c>
      <c r="E498">
        <v>2023</v>
      </c>
      <c r="F498" t="s">
        <v>30</v>
      </c>
      <c r="G498" t="s">
        <v>23</v>
      </c>
      <c r="H498" t="s">
        <v>15</v>
      </c>
      <c r="I498" t="s">
        <v>31</v>
      </c>
      <c r="J498">
        <v>6436.71</v>
      </c>
      <c r="K498">
        <v>6364.52</v>
      </c>
      <c r="L498" s="20">
        <f>tbl_Budget[[#This Row],[Actual]]-tbl_Budget[[#This Row],[Budget]]</f>
        <v>-72.1899999999996</v>
      </c>
      <c r="M498" s="3">
        <f>tbl_Budget[[#This Row],[Variance]]/tbl_Budget[[#This Row],[Budget]]</f>
        <v>-1.1215356913702746E-2</v>
      </c>
      <c r="N498" t="str">
        <f>IF(tbl_Budget[[#This Row],[Variance_%]]&gt;0.05,"Overspend",IF(tbl_Budget[[#This Row],[Variance_%]]&lt;-0.05,"Underspend","On Budget"))</f>
        <v>On Budget</v>
      </c>
    </row>
    <row r="499" spans="1:14" hidden="1">
      <c r="A499" s="1">
        <v>45047</v>
      </c>
      <c r="B499">
        <v>5</v>
      </c>
      <c r="C499" t="s">
        <v>38</v>
      </c>
      <c r="D499" t="s">
        <v>39</v>
      </c>
      <c r="E499">
        <v>2023</v>
      </c>
      <c r="F499" t="s">
        <v>30</v>
      </c>
      <c r="G499" t="s">
        <v>23</v>
      </c>
      <c r="H499" t="s">
        <v>17</v>
      </c>
      <c r="I499" t="s">
        <v>31</v>
      </c>
      <c r="J499">
        <v>6097.49</v>
      </c>
      <c r="K499">
        <v>6222.71</v>
      </c>
      <c r="L499" s="20">
        <f>tbl_Budget[[#This Row],[Actual]]-tbl_Budget[[#This Row],[Budget]]</f>
        <v>125.22000000000025</v>
      </c>
      <c r="M499" s="3">
        <f>tbl_Budget[[#This Row],[Variance]]/tbl_Budget[[#This Row],[Budget]]</f>
        <v>2.0536319042753701E-2</v>
      </c>
      <c r="N499" t="str">
        <f>IF(tbl_Budget[[#This Row],[Variance_%]]&gt;0.05,"Overspend",IF(tbl_Budget[[#This Row],[Variance_%]]&lt;-0.05,"Underspend","On Budget"))</f>
        <v>On Budget</v>
      </c>
    </row>
    <row r="500" spans="1:14" hidden="1">
      <c r="A500" s="1">
        <v>45047</v>
      </c>
      <c r="B500">
        <v>5</v>
      </c>
      <c r="C500" t="s">
        <v>38</v>
      </c>
      <c r="D500" t="s">
        <v>39</v>
      </c>
      <c r="E500">
        <v>2023</v>
      </c>
      <c r="F500" t="s">
        <v>30</v>
      </c>
      <c r="G500" t="s">
        <v>23</v>
      </c>
      <c r="H500" t="s">
        <v>18</v>
      </c>
      <c r="I500" t="s">
        <v>31</v>
      </c>
      <c r="J500">
        <v>6077.62</v>
      </c>
      <c r="K500">
        <v>6205.35</v>
      </c>
      <c r="L500" s="20">
        <f>tbl_Budget[[#This Row],[Actual]]-tbl_Budget[[#This Row],[Budget]]</f>
        <v>127.73000000000047</v>
      </c>
      <c r="M500" s="3">
        <f>tbl_Budget[[#This Row],[Variance]]/tbl_Budget[[#This Row],[Budget]]</f>
        <v>2.1016450518459608E-2</v>
      </c>
      <c r="N500" t="str">
        <f>IF(tbl_Budget[[#This Row],[Variance_%]]&gt;0.05,"Overspend",IF(tbl_Budget[[#This Row],[Variance_%]]&lt;-0.05,"Underspend","On Budget"))</f>
        <v>On Budget</v>
      </c>
    </row>
    <row r="501" spans="1:14" hidden="1">
      <c r="A501" s="1">
        <v>45047</v>
      </c>
      <c r="B501">
        <v>5</v>
      </c>
      <c r="C501" t="s">
        <v>38</v>
      </c>
      <c r="D501" t="s">
        <v>39</v>
      </c>
      <c r="E501">
        <v>2023</v>
      </c>
      <c r="F501" t="s">
        <v>30</v>
      </c>
      <c r="G501" t="s">
        <v>23</v>
      </c>
      <c r="H501" t="s">
        <v>19</v>
      </c>
      <c r="I501" t="s">
        <v>31</v>
      </c>
      <c r="J501">
        <v>6582.56</v>
      </c>
      <c r="K501">
        <v>6503.36</v>
      </c>
      <c r="L501" s="20">
        <f>tbl_Budget[[#This Row],[Actual]]-tbl_Budget[[#This Row],[Budget]]</f>
        <v>-79.200000000000728</v>
      </c>
      <c r="M501" s="3">
        <f>tbl_Budget[[#This Row],[Variance]]/tbl_Budget[[#This Row],[Budget]]</f>
        <v>-1.2031793101772065E-2</v>
      </c>
      <c r="N501" t="str">
        <f>IF(tbl_Budget[[#This Row],[Variance_%]]&gt;0.05,"Overspend",IF(tbl_Budget[[#This Row],[Variance_%]]&lt;-0.05,"Underspend","On Budget"))</f>
        <v>On Budget</v>
      </c>
    </row>
    <row r="502" spans="1:14" hidden="1">
      <c r="A502" s="1">
        <v>45078</v>
      </c>
      <c r="B502">
        <v>6</v>
      </c>
      <c r="C502" t="s">
        <v>40</v>
      </c>
      <c r="D502" t="s">
        <v>41</v>
      </c>
      <c r="E502">
        <v>2023</v>
      </c>
      <c r="F502" t="s">
        <v>13</v>
      </c>
      <c r="G502" t="s">
        <v>14</v>
      </c>
      <c r="H502" t="s">
        <v>15</v>
      </c>
      <c r="I502" t="s">
        <v>16</v>
      </c>
      <c r="J502">
        <v>49440.3</v>
      </c>
      <c r="K502">
        <v>58980.83</v>
      </c>
      <c r="L502" s="20">
        <f>tbl_Budget[[#This Row],[Actual]]-tbl_Budget[[#This Row],[Budget]]</f>
        <v>9540.5299999999988</v>
      </c>
      <c r="M502" s="3">
        <f>tbl_Budget[[#This Row],[Variance]]/tbl_Budget[[#This Row],[Budget]]</f>
        <v>0.19297071417446898</v>
      </c>
      <c r="N502" t="str">
        <f>IF(tbl_Budget[[#This Row],[Variance_%]]&gt;0.05,"Overspend",IF(tbl_Budget[[#This Row],[Variance_%]]&lt;-0.05,"Underspend","On Budget"))</f>
        <v>Overspend</v>
      </c>
    </row>
    <row r="503" spans="1:14" hidden="1">
      <c r="A503" s="1">
        <v>45078</v>
      </c>
      <c r="B503">
        <v>6</v>
      </c>
      <c r="C503" t="s">
        <v>40</v>
      </c>
      <c r="D503" t="s">
        <v>41</v>
      </c>
      <c r="E503">
        <v>2023</v>
      </c>
      <c r="F503" t="s">
        <v>13</v>
      </c>
      <c r="G503" t="s">
        <v>14</v>
      </c>
      <c r="H503" t="s">
        <v>17</v>
      </c>
      <c r="I503" t="s">
        <v>16</v>
      </c>
      <c r="J503">
        <v>46350.9</v>
      </c>
      <c r="K503">
        <v>54756.56</v>
      </c>
      <c r="L503" s="20">
        <f>tbl_Budget[[#This Row],[Actual]]-tbl_Budget[[#This Row],[Budget]]</f>
        <v>8405.6599999999962</v>
      </c>
      <c r="M503" s="3">
        <f>tbl_Budget[[#This Row],[Variance]]/tbl_Budget[[#This Row],[Budget]]</f>
        <v>0.18134836648263564</v>
      </c>
      <c r="N503" t="str">
        <f>IF(tbl_Budget[[#This Row],[Variance_%]]&gt;0.05,"Overspend",IF(tbl_Budget[[#This Row],[Variance_%]]&lt;-0.05,"Underspend","On Budget"))</f>
        <v>Overspend</v>
      </c>
    </row>
    <row r="504" spans="1:14" hidden="1">
      <c r="A504" s="1">
        <v>45078</v>
      </c>
      <c r="B504">
        <v>6</v>
      </c>
      <c r="C504" t="s">
        <v>40</v>
      </c>
      <c r="D504" t="s">
        <v>41</v>
      </c>
      <c r="E504">
        <v>2023</v>
      </c>
      <c r="F504" t="s">
        <v>13</v>
      </c>
      <c r="G504" t="s">
        <v>14</v>
      </c>
      <c r="H504" t="s">
        <v>18</v>
      </c>
      <c r="I504" t="s">
        <v>16</v>
      </c>
      <c r="J504">
        <v>48184.78</v>
      </c>
      <c r="K504">
        <v>54904.160000000003</v>
      </c>
      <c r="L504" s="20">
        <f>tbl_Budget[[#This Row],[Actual]]-tbl_Budget[[#This Row],[Budget]]</f>
        <v>6719.3800000000047</v>
      </c>
      <c r="M504" s="3">
        <f>tbl_Budget[[#This Row],[Variance]]/tbl_Budget[[#This Row],[Budget]]</f>
        <v>0.13945025794452118</v>
      </c>
      <c r="N504" t="str">
        <f>IF(tbl_Budget[[#This Row],[Variance_%]]&gt;0.05,"Overspend",IF(tbl_Budget[[#This Row],[Variance_%]]&lt;-0.05,"Underspend","On Budget"))</f>
        <v>Overspend</v>
      </c>
    </row>
    <row r="505" spans="1:14" hidden="1">
      <c r="A505" s="1">
        <v>45078</v>
      </c>
      <c r="B505">
        <v>6</v>
      </c>
      <c r="C505" t="s">
        <v>40</v>
      </c>
      <c r="D505" t="s">
        <v>41</v>
      </c>
      <c r="E505">
        <v>2023</v>
      </c>
      <c r="F505" t="s">
        <v>13</v>
      </c>
      <c r="G505" t="s">
        <v>14</v>
      </c>
      <c r="H505" t="s">
        <v>19</v>
      </c>
      <c r="I505" t="s">
        <v>16</v>
      </c>
      <c r="J505">
        <v>51584.04</v>
      </c>
      <c r="K505">
        <v>57072.85</v>
      </c>
      <c r="L505" s="20">
        <f>tbl_Budget[[#This Row],[Actual]]-tbl_Budget[[#This Row],[Budget]]</f>
        <v>5488.8099999999977</v>
      </c>
      <c r="M505" s="3">
        <f>tbl_Budget[[#This Row],[Variance]]/tbl_Budget[[#This Row],[Budget]]</f>
        <v>0.10640519819696165</v>
      </c>
      <c r="N505" t="str">
        <f>IF(tbl_Budget[[#This Row],[Variance_%]]&gt;0.05,"Overspend",IF(tbl_Budget[[#This Row],[Variance_%]]&lt;-0.05,"Underspend","On Budget"))</f>
        <v>Overspend</v>
      </c>
    </row>
    <row r="506" spans="1:14" hidden="1">
      <c r="A506" s="1">
        <v>45078</v>
      </c>
      <c r="B506">
        <v>6</v>
      </c>
      <c r="C506" t="s">
        <v>40</v>
      </c>
      <c r="D506" t="s">
        <v>41</v>
      </c>
      <c r="E506">
        <v>2023</v>
      </c>
      <c r="F506" t="s">
        <v>13</v>
      </c>
      <c r="G506" t="s">
        <v>20</v>
      </c>
      <c r="H506" t="s">
        <v>15</v>
      </c>
      <c r="I506" t="s">
        <v>16</v>
      </c>
      <c r="J506">
        <v>18784.03</v>
      </c>
      <c r="K506">
        <v>22240.29</v>
      </c>
      <c r="L506" s="20">
        <f>tbl_Budget[[#This Row],[Actual]]-tbl_Budget[[#This Row],[Budget]]</f>
        <v>3456.260000000002</v>
      </c>
      <c r="M506" s="3">
        <f>tbl_Budget[[#This Row],[Variance]]/tbl_Budget[[#This Row],[Budget]]</f>
        <v>0.1839999190801975</v>
      </c>
      <c r="N506" t="str">
        <f>IF(tbl_Budget[[#This Row],[Variance_%]]&gt;0.05,"Overspend",IF(tbl_Budget[[#This Row],[Variance_%]]&lt;-0.05,"Underspend","On Budget"))</f>
        <v>Overspend</v>
      </c>
    </row>
    <row r="507" spans="1:14" hidden="1">
      <c r="A507" s="1">
        <v>45078</v>
      </c>
      <c r="B507">
        <v>6</v>
      </c>
      <c r="C507" t="s">
        <v>40</v>
      </c>
      <c r="D507" t="s">
        <v>41</v>
      </c>
      <c r="E507">
        <v>2023</v>
      </c>
      <c r="F507" t="s">
        <v>13</v>
      </c>
      <c r="G507" t="s">
        <v>20</v>
      </c>
      <c r="H507" t="s">
        <v>17</v>
      </c>
      <c r="I507" t="s">
        <v>16</v>
      </c>
      <c r="J507">
        <v>17495.2</v>
      </c>
      <c r="K507">
        <v>19615.73</v>
      </c>
      <c r="L507" s="20">
        <f>tbl_Budget[[#This Row],[Actual]]-tbl_Budget[[#This Row],[Budget]]</f>
        <v>2120.5299999999988</v>
      </c>
      <c r="M507" s="3">
        <f>tbl_Budget[[#This Row],[Variance]]/tbl_Budget[[#This Row],[Budget]]</f>
        <v>0.12120638803786174</v>
      </c>
      <c r="N507" t="str">
        <f>IF(tbl_Budget[[#This Row],[Variance_%]]&gt;0.05,"Overspend",IF(tbl_Budget[[#This Row],[Variance_%]]&lt;-0.05,"Underspend","On Budget"))</f>
        <v>Overspend</v>
      </c>
    </row>
    <row r="508" spans="1:14" hidden="1">
      <c r="A508" s="1">
        <v>45078</v>
      </c>
      <c r="B508">
        <v>6</v>
      </c>
      <c r="C508" t="s">
        <v>40</v>
      </c>
      <c r="D508" t="s">
        <v>41</v>
      </c>
      <c r="E508">
        <v>2023</v>
      </c>
      <c r="F508" t="s">
        <v>13</v>
      </c>
      <c r="G508" t="s">
        <v>20</v>
      </c>
      <c r="H508" t="s">
        <v>18</v>
      </c>
      <c r="I508" t="s">
        <v>16</v>
      </c>
      <c r="J508">
        <v>17723.919999999998</v>
      </c>
      <c r="K508">
        <v>19763.830000000002</v>
      </c>
      <c r="L508" s="20">
        <f>tbl_Budget[[#This Row],[Actual]]-tbl_Budget[[#This Row],[Budget]]</f>
        <v>2039.9100000000035</v>
      </c>
      <c r="M508" s="3">
        <f>tbl_Budget[[#This Row],[Variance]]/tbl_Budget[[#This Row],[Budget]]</f>
        <v>0.1150936136024087</v>
      </c>
      <c r="N508" t="str">
        <f>IF(tbl_Budget[[#This Row],[Variance_%]]&gt;0.05,"Overspend",IF(tbl_Budget[[#This Row],[Variance_%]]&lt;-0.05,"Underspend","On Budget"))</f>
        <v>Overspend</v>
      </c>
    </row>
    <row r="509" spans="1:14" hidden="1">
      <c r="A509" s="1">
        <v>45078</v>
      </c>
      <c r="B509">
        <v>6</v>
      </c>
      <c r="C509" t="s">
        <v>40</v>
      </c>
      <c r="D509" t="s">
        <v>41</v>
      </c>
      <c r="E509">
        <v>2023</v>
      </c>
      <c r="F509" t="s">
        <v>13</v>
      </c>
      <c r="G509" t="s">
        <v>20</v>
      </c>
      <c r="H509" t="s">
        <v>19</v>
      </c>
      <c r="I509" t="s">
        <v>16</v>
      </c>
      <c r="J509">
        <v>19400.3</v>
      </c>
      <c r="K509">
        <v>23173.17</v>
      </c>
      <c r="L509" s="20">
        <f>tbl_Budget[[#This Row],[Actual]]-tbl_Budget[[#This Row],[Budget]]</f>
        <v>3772.869999999999</v>
      </c>
      <c r="M509" s="3">
        <f>tbl_Budget[[#This Row],[Variance]]/tbl_Budget[[#This Row],[Budget]]</f>
        <v>0.19447482770884983</v>
      </c>
      <c r="N509" t="str">
        <f>IF(tbl_Budget[[#This Row],[Variance_%]]&gt;0.05,"Overspend",IF(tbl_Budget[[#This Row],[Variance_%]]&lt;-0.05,"Underspend","On Budget"))</f>
        <v>Overspend</v>
      </c>
    </row>
    <row r="510" spans="1:14">
      <c r="A510" s="1">
        <v>45078</v>
      </c>
      <c r="B510">
        <v>6</v>
      </c>
      <c r="C510" t="s">
        <v>40</v>
      </c>
      <c r="D510" t="s">
        <v>41</v>
      </c>
      <c r="E510">
        <v>2023</v>
      </c>
      <c r="F510" t="s">
        <v>13</v>
      </c>
      <c r="G510" t="s">
        <v>21</v>
      </c>
      <c r="H510" t="s">
        <v>15</v>
      </c>
      <c r="I510" t="s">
        <v>16</v>
      </c>
      <c r="J510">
        <v>10617.19</v>
      </c>
      <c r="K510">
        <v>11831.13</v>
      </c>
      <c r="L510" s="20">
        <f>tbl_Budget[[#This Row],[Actual]]-tbl_Budget[[#This Row],[Budget]]</f>
        <v>1213.9399999999987</v>
      </c>
      <c r="M510" s="3">
        <f>tbl_Budget[[#This Row],[Variance]]/tbl_Budget[[#This Row],[Budget]]</f>
        <v>0.11433722105378152</v>
      </c>
      <c r="N510" t="str">
        <f>IF(tbl_Budget[[#This Row],[Variance_%]]&gt;0.05,"Overspend",IF(tbl_Budget[[#This Row],[Variance_%]]&lt;-0.05,"Underspend","On Budget"))</f>
        <v>Overspend</v>
      </c>
    </row>
    <row r="511" spans="1:14">
      <c r="A511" s="1">
        <v>45078</v>
      </c>
      <c r="B511">
        <v>6</v>
      </c>
      <c r="C511" t="s">
        <v>40</v>
      </c>
      <c r="D511" t="s">
        <v>41</v>
      </c>
      <c r="E511">
        <v>2023</v>
      </c>
      <c r="F511" t="s">
        <v>13</v>
      </c>
      <c r="G511" t="s">
        <v>21</v>
      </c>
      <c r="H511" t="s">
        <v>17</v>
      </c>
      <c r="I511" t="s">
        <v>16</v>
      </c>
      <c r="J511">
        <v>9964.26</v>
      </c>
      <c r="K511">
        <v>11057.25</v>
      </c>
      <c r="L511" s="20">
        <f>tbl_Budget[[#This Row],[Actual]]-tbl_Budget[[#This Row],[Budget]]</f>
        <v>1092.9899999999998</v>
      </c>
      <c r="M511" s="3">
        <f>tbl_Budget[[#This Row],[Variance]]/tbl_Budget[[#This Row],[Budget]]</f>
        <v>0.10969103576181269</v>
      </c>
      <c r="N511" t="str">
        <f>IF(tbl_Budget[[#This Row],[Variance_%]]&gt;0.05,"Overspend",IF(tbl_Budget[[#This Row],[Variance_%]]&lt;-0.05,"Underspend","On Budget"))</f>
        <v>Overspend</v>
      </c>
    </row>
    <row r="512" spans="1:14">
      <c r="A512" s="1">
        <v>45078</v>
      </c>
      <c r="B512">
        <v>6</v>
      </c>
      <c r="C512" t="s">
        <v>40</v>
      </c>
      <c r="D512" t="s">
        <v>41</v>
      </c>
      <c r="E512">
        <v>2023</v>
      </c>
      <c r="F512" t="s">
        <v>13</v>
      </c>
      <c r="G512" t="s">
        <v>21</v>
      </c>
      <c r="H512" t="s">
        <v>18</v>
      </c>
      <c r="I512" t="s">
        <v>16</v>
      </c>
      <c r="J512">
        <v>10063.719999999999</v>
      </c>
      <c r="K512">
        <v>11209.43</v>
      </c>
      <c r="L512" s="20">
        <f>tbl_Budget[[#This Row],[Actual]]-tbl_Budget[[#This Row],[Budget]]</f>
        <v>1145.7100000000009</v>
      </c>
      <c r="M512" s="3">
        <f>tbl_Budget[[#This Row],[Variance]]/tbl_Budget[[#This Row],[Budget]]</f>
        <v>0.11384557598979314</v>
      </c>
      <c r="N512" t="str">
        <f>IF(tbl_Budget[[#This Row],[Variance_%]]&gt;0.05,"Overspend",IF(tbl_Budget[[#This Row],[Variance_%]]&lt;-0.05,"Underspend","On Budget"))</f>
        <v>Overspend</v>
      </c>
    </row>
    <row r="513" spans="1:14">
      <c r="A513" s="1">
        <v>45078</v>
      </c>
      <c r="B513">
        <v>6</v>
      </c>
      <c r="C513" t="s">
        <v>40</v>
      </c>
      <c r="D513" t="s">
        <v>41</v>
      </c>
      <c r="E513">
        <v>2023</v>
      </c>
      <c r="F513" t="s">
        <v>13</v>
      </c>
      <c r="G513" t="s">
        <v>21</v>
      </c>
      <c r="H513" t="s">
        <v>19</v>
      </c>
      <c r="I513" t="s">
        <v>16</v>
      </c>
      <c r="J513">
        <v>11027.46</v>
      </c>
      <c r="K513">
        <v>12202.71</v>
      </c>
      <c r="L513" s="20">
        <f>tbl_Budget[[#This Row],[Actual]]-tbl_Budget[[#This Row],[Budget]]</f>
        <v>1175.25</v>
      </c>
      <c r="M513" s="3">
        <f>tbl_Budget[[#This Row],[Variance]]/tbl_Budget[[#This Row],[Budget]]</f>
        <v>0.10657485948713485</v>
      </c>
      <c r="N513" t="str">
        <f>IF(tbl_Budget[[#This Row],[Variance_%]]&gt;0.05,"Overspend",IF(tbl_Budget[[#This Row],[Variance_%]]&lt;-0.05,"Underspend","On Budget"))</f>
        <v>Overspend</v>
      </c>
    </row>
    <row r="514" spans="1:14" hidden="1">
      <c r="A514" s="1">
        <v>45078</v>
      </c>
      <c r="B514">
        <v>6</v>
      </c>
      <c r="C514" t="s">
        <v>40</v>
      </c>
      <c r="D514" t="s">
        <v>41</v>
      </c>
      <c r="E514">
        <v>2023</v>
      </c>
      <c r="F514" t="s">
        <v>13</v>
      </c>
      <c r="G514" t="s">
        <v>22</v>
      </c>
      <c r="H514" t="s">
        <v>15</v>
      </c>
      <c r="I514" t="s">
        <v>16</v>
      </c>
      <c r="J514">
        <v>8294.0499999999993</v>
      </c>
      <c r="K514">
        <v>9805.24</v>
      </c>
      <c r="L514" s="20">
        <f>tbl_Budget[[#This Row],[Actual]]-tbl_Budget[[#This Row],[Budget]]</f>
        <v>1511.1900000000005</v>
      </c>
      <c r="M514" s="3">
        <f>tbl_Budget[[#This Row],[Variance]]/tbl_Budget[[#This Row],[Budget]]</f>
        <v>0.18220169880818185</v>
      </c>
      <c r="N514" t="str">
        <f>IF(tbl_Budget[[#This Row],[Variance_%]]&gt;0.05,"Overspend",IF(tbl_Budget[[#This Row],[Variance_%]]&lt;-0.05,"Underspend","On Budget"))</f>
        <v>Overspend</v>
      </c>
    </row>
    <row r="515" spans="1:14" hidden="1">
      <c r="A515" s="1">
        <v>45078</v>
      </c>
      <c r="B515">
        <v>6</v>
      </c>
      <c r="C515" t="s">
        <v>40</v>
      </c>
      <c r="D515" t="s">
        <v>41</v>
      </c>
      <c r="E515">
        <v>2023</v>
      </c>
      <c r="F515" t="s">
        <v>13</v>
      </c>
      <c r="G515" t="s">
        <v>22</v>
      </c>
      <c r="H515" t="s">
        <v>17</v>
      </c>
      <c r="I515" t="s">
        <v>16</v>
      </c>
      <c r="J515">
        <v>7735.93</v>
      </c>
      <c r="K515">
        <v>9096.89</v>
      </c>
      <c r="L515" s="20">
        <f>tbl_Budget[[#This Row],[Actual]]-tbl_Budget[[#This Row],[Budget]]</f>
        <v>1360.9599999999991</v>
      </c>
      <c r="M515" s="3">
        <f>tbl_Budget[[#This Row],[Variance]]/tbl_Budget[[#This Row],[Budget]]</f>
        <v>0.17592713481119904</v>
      </c>
      <c r="N515" t="str">
        <f>IF(tbl_Budget[[#This Row],[Variance_%]]&gt;0.05,"Overspend",IF(tbl_Budget[[#This Row],[Variance_%]]&lt;-0.05,"Underspend","On Budget"))</f>
        <v>Overspend</v>
      </c>
    </row>
    <row r="516" spans="1:14" hidden="1">
      <c r="A516" s="1">
        <v>45078</v>
      </c>
      <c r="B516">
        <v>6</v>
      </c>
      <c r="C516" t="s">
        <v>40</v>
      </c>
      <c r="D516" t="s">
        <v>41</v>
      </c>
      <c r="E516">
        <v>2023</v>
      </c>
      <c r="F516" t="s">
        <v>13</v>
      </c>
      <c r="G516" t="s">
        <v>22</v>
      </c>
      <c r="H516" t="s">
        <v>18</v>
      </c>
      <c r="I516" t="s">
        <v>16</v>
      </c>
      <c r="J516">
        <v>7852.27</v>
      </c>
      <c r="K516">
        <v>8770.27</v>
      </c>
      <c r="L516" s="20">
        <f>tbl_Budget[[#This Row],[Actual]]-tbl_Budget[[#This Row],[Budget]]</f>
        <v>918</v>
      </c>
      <c r="M516" s="3">
        <f>tbl_Budget[[#This Row],[Variance]]/tbl_Budget[[#This Row],[Budget]]</f>
        <v>0.11690886839092389</v>
      </c>
      <c r="N516" t="str">
        <f>IF(tbl_Budget[[#This Row],[Variance_%]]&gt;0.05,"Overspend",IF(tbl_Budget[[#This Row],[Variance_%]]&lt;-0.05,"Underspend","On Budget"))</f>
        <v>Overspend</v>
      </c>
    </row>
    <row r="517" spans="1:14" hidden="1">
      <c r="A517" s="1">
        <v>45078</v>
      </c>
      <c r="B517">
        <v>6</v>
      </c>
      <c r="C517" t="s">
        <v>40</v>
      </c>
      <c r="D517" t="s">
        <v>41</v>
      </c>
      <c r="E517">
        <v>2023</v>
      </c>
      <c r="F517" t="s">
        <v>13</v>
      </c>
      <c r="G517" t="s">
        <v>22</v>
      </c>
      <c r="H517" t="s">
        <v>19</v>
      </c>
      <c r="I517" t="s">
        <v>16</v>
      </c>
      <c r="J517">
        <v>8417.82</v>
      </c>
      <c r="K517">
        <v>9510.06</v>
      </c>
      <c r="L517" s="20">
        <f>tbl_Budget[[#This Row],[Actual]]-tbl_Budget[[#This Row],[Budget]]</f>
        <v>1092.2399999999998</v>
      </c>
      <c r="M517" s="3">
        <f>tbl_Budget[[#This Row],[Variance]]/tbl_Budget[[#This Row],[Budget]]</f>
        <v>0.12975330905151214</v>
      </c>
      <c r="N517" t="str">
        <f>IF(tbl_Budget[[#This Row],[Variance_%]]&gt;0.05,"Overspend",IF(tbl_Budget[[#This Row],[Variance_%]]&lt;-0.05,"Underspend","On Budget"))</f>
        <v>Overspend</v>
      </c>
    </row>
    <row r="518" spans="1:14" hidden="1">
      <c r="A518" s="1">
        <v>45078</v>
      </c>
      <c r="B518">
        <v>6</v>
      </c>
      <c r="C518" t="s">
        <v>40</v>
      </c>
      <c r="D518" t="s">
        <v>41</v>
      </c>
      <c r="E518">
        <v>2023</v>
      </c>
      <c r="F518" t="s">
        <v>13</v>
      </c>
      <c r="G518" t="s">
        <v>23</v>
      </c>
      <c r="H518" t="s">
        <v>15</v>
      </c>
      <c r="I518" t="s">
        <v>16</v>
      </c>
      <c r="J518">
        <v>8295.2800000000007</v>
      </c>
      <c r="K518">
        <v>9282.08</v>
      </c>
      <c r="L518" s="20">
        <f>tbl_Budget[[#This Row],[Actual]]-tbl_Budget[[#This Row],[Budget]]</f>
        <v>986.79999999999927</v>
      </c>
      <c r="M518" s="3">
        <f>tbl_Budget[[#This Row],[Variance]]/tbl_Budget[[#This Row],[Budget]]</f>
        <v>0.11895921536102448</v>
      </c>
      <c r="N518" t="str">
        <f>IF(tbl_Budget[[#This Row],[Variance_%]]&gt;0.05,"Overspend",IF(tbl_Budget[[#This Row],[Variance_%]]&lt;-0.05,"Underspend","On Budget"))</f>
        <v>Overspend</v>
      </c>
    </row>
    <row r="519" spans="1:14" hidden="1">
      <c r="A519" s="1">
        <v>45078</v>
      </c>
      <c r="B519">
        <v>6</v>
      </c>
      <c r="C519" t="s">
        <v>40</v>
      </c>
      <c r="D519" t="s">
        <v>41</v>
      </c>
      <c r="E519">
        <v>2023</v>
      </c>
      <c r="F519" t="s">
        <v>13</v>
      </c>
      <c r="G519" t="s">
        <v>23</v>
      </c>
      <c r="H519" t="s">
        <v>17</v>
      </c>
      <c r="I519" t="s">
        <v>16</v>
      </c>
      <c r="J519">
        <v>7952.45</v>
      </c>
      <c r="K519">
        <v>8965.1200000000008</v>
      </c>
      <c r="L519" s="20">
        <f>tbl_Budget[[#This Row],[Actual]]-tbl_Budget[[#This Row],[Budget]]</f>
        <v>1012.670000000001</v>
      </c>
      <c r="M519" s="3">
        <f>tbl_Budget[[#This Row],[Variance]]/tbl_Budget[[#This Row],[Budget]]</f>
        <v>0.127340630874762</v>
      </c>
      <c r="N519" t="str">
        <f>IF(tbl_Budget[[#This Row],[Variance_%]]&gt;0.05,"Overspend",IF(tbl_Budget[[#This Row],[Variance_%]]&lt;-0.05,"Underspend","On Budget"))</f>
        <v>Overspend</v>
      </c>
    </row>
    <row r="520" spans="1:14" hidden="1">
      <c r="A520" s="1">
        <v>45078</v>
      </c>
      <c r="B520">
        <v>6</v>
      </c>
      <c r="C520" t="s">
        <v>40</v>
      </c>
      <c r="D520" t="s">
        <v>41</v>
      </c>
      <c r="E520">
        <v>2023</v>
      </c>
      <c r="F520" t="s">
        <v>13</v>
      </c>
      <c r="G520" t="s">
        <v>23</v>
      </c>
      <c r="H520" t="s">
        <v>18</v>
      </c>
      <c r="I520" t="s">
        <v>16</v>
      </c>
      <c r="J520">
        <v>8015.63</v>
      </c>
      <c r="K520">
        <v>9510</v>
      </c>
      <c r="L520" s="20">
        <f>tbl_Budget[[#This Row],[Actual]]-tbl_Budget[[#This Row],[Budget]]</f>
        <v>1494.37</v>
      </c>
      <c r="M520" s="3">
        <f>tbl_Budget[[#This Row],[Variance]]/tbl_Budget[[#This Row],[Budget]]</f>
        <v>0.1864320084634645</v>
      </c>
      <c r="N520" t="str">
        <f>IF(tbl_Budget[[#This Row],[Variance_%]]&gt;0.05,"Overspend",IF(tbl_Budget[[#This Row],[Variance_%]]&lt;-0.05,"Underspend","On Budget"))</f>
        <v>Overspend</v>
      </c>
    </row>
    <row r="521" spans="1:14" hidden="1">
      <c r="A521" s="1">
        <v>45078</v>
      </c>
      <c r="B521">
        <v>6</v>
      </c>
      <c r="C521" t="s">
        <v>40</v>
      </c>
      <c r="D521" t="s">
        <v>41</v>
      </c>
      <c r="E521">
        <v>2023</v>
      </c>
      <c r="F521" t="s">
        <v>13</v>
      </c>
      <c r="G521" t="s">
        <v>23</v>
      </c>
      <c r="H521" t="s">
        <v>19</v>
      </c>
      <c r="I521" t="s">
        <v>16</v>
      </c>
      <c r="J521">
        <v>8713.68</v>
      </c>
      <c r="K521">
        <v>10219.84</v>
      </c>
      <c r="L521" s="20">
        <f>tbl_Budget[[#This Row],[Actual]]-tbl_Budget[[#This Row],[Budget]]</f>
        <v>1506.1599999999999</v>
      </c>
      <c r="M521" s="3">
        <f>tbl_Budget[[#This Row],[Variance]]/tbl_Budget[[#This Row],[Budget]]</f>
        <v>0.17285004728197498</v>
      </c>
      <c r="N521" t="str">
        <f>IF(tbl_Budget[[#This Row],[Variance_%]]&gt;0.05,"Overspend",IF(tbl_Budget[[#This Row],[Variance_%]]&lt;-0.05,"Underspend","On Budget"))</f>
        <v>Overspend</v>
      </c>
    </row>
    <row r="522" spans="1:14" hidden="1">
      <c r="A522" s="1">
        <v>45078</v>
      </c>
      <c r="B522">
        <v>6</v>
      </c>
      <c r="C522" t="s">
        <v>40</v>
      </c>
      <c r="D522" t="s">
        <v>41</v>
      </c>
      <c r="E522">
        <v>2023</v>
      </c>
      <c r="F522" t="s">
        <v>24</v>
      </c>
      <c r="G522" t="s">
        <v>14</v>
      </c>
      <c r="H522" t="s">
        <v>15</v>
      </c>
      <c r="I522" t="s">
        <v>25</v>
      </c>
      <c r="J522">
        <v>53100.37</v>
      </c>
      <c r="K522">
        <v>47128.77</v>
      </c>
      <c r="L522" s="20">
        <f>tbl_Budget[[#This Row],[Actual]]-tbl_Budget[[#This Row],[Budget]]</f>
        <v>-5971.6000000000058</v>
      </c>
      <c r="M522" s="3">
        <f>tbl_Budget[[#This Row],[Variance]]/tbl_Budget[[#This Row],[Budget]]</f>
        <v>-0.11245872674710186</v>
      </c>
      <c r="N522" t="str">
        <f>IF(tbl_Budget[[#This Row],[Variance_%]]&gt;0.05,"Overspend",IF(tbl_Budget[[#This Row],[Variance_%]]&lt;-0.05,"Underspend","On Budget"))</f>
        <v>Underspend</v>
      </c>
    </row>
    <row r="523" spans="1:14" hidden="1">
      <c r="A523" s="1">
        <v>45078</v>
      </c>
      <c r="B523">
        <v>6</v>
      </c>
      <c r="C523" t="s">
        <v>40</v>
      </c>
      <c r="D523" t="s">
        <v>41</v>
      </c>
      <c r="E523">
        <v>2023</v>
      </c>
      <c r="F523" t="s">
        <v>24</v>
      </c>
      <c r="G523" t="s">
        <v>14</v>
      </c>
      <c r="H523" t="s">
        <v>17</v>
      </c>
      <c r="I523" t="s">
        <v>25</v>
      </c>
      <c r="J523">
        <v>50257.13</v>
      </c>
      <c r="K523">
        <v>44672.43</v>
      </c>
      <c r="L523" s="20">
        <f>tbl_Budget[[#This Row],[Actual]]-tbl_Budget[[#This Row],[Budget]]</f>
        <v>-5584.6999999999971</v>
      </c>
      <c r="M523" s="3">
        <f>tbl_Budget[[#This Row],[Variance]]/tbl_Budget[[#This Row],[Budget]]</f>
        <v>-0.11112254121952442</v>
      </c>
      <c r="N523" t="str">
        <f>IF(tbl_Budget[[#This Row],[Variance_%]]&gt;0.05,"Overspend",IF(tbl_Budget[[#This Row],[Variance_%]]&lt;-0.05,"Underspend","On Budget"))</f>
        <v>Underspend</v>
      </c>
    </row>
    <row r="524" spans="1:14" hidden="1">
      <c r="A524" s="1">
        <v>45078</v>
      </c>
      <c r="B524">
        <v>6</v>
      </c>
      <c r="C524" t="s">
        <v>40</v>
      </c>
      <c r="D524" t="s">
        <v>41</v>
      </c>
      <c r="E524">
        <v>2023</v>
      </c>
      <c r="F524" t="s">
        <v>24</v>
      </c>
      <c r="G524" t="s">
        <v>14</v>
      </c>
      <c r="H524" t="s">
        <v>18</v>
      </c>
      <c r="I524" t="s">
        <v>25</v>
      </c>
      <c r="J524">
        <v>48797.66</v>
      </c>
      <c r="K524">
        <v>41497.64</v>
      </c>
      <c r="L524" s="20">
        <f>tbl_Budget[[#This Row],[Actual]]-tbl_Budget[[#This Row],[Budget]]</f>
        <v>-7300.0200000000041</v>
      </c>
      <c r="M524" s="3">
        <f>tbl_Budget[[#This Row],[Variance]]/tbl_Budget[[#This Row],[Budget]]</f>
        <v>-0.14959774710508666</v>
      </c>
      <c r="N524" t="str">
        <f>IF(tbl_Budget[[#This Row],[Variance_%]]&gt;0.05,"Overspend",IF(tbl_Budget[[#This Row],[Variance_%]]&lt;-0.05,"Underspend","On Budget"))</f>
        <v>Underspend</v>
      </c>
    </row>
    <row r="525" spans="1:14" hidden="1">
      <c r="A525" s="1">
        <v>45078</v>
      </c>
      <c r="B525">
        <v>6</v>
      </c>
      <c r="C525" t="s">
        <v>40</v>
      </c>
      <c r="D525" t="s">
        <v>41</v>
      </c>
      <c r="E525">
        <v>2023</v>
      </c>
      <c r="F525" t="s">
        <v>24</v>
      </c>
      <c r="G525" t="s">
        <v>14</v>
      </c>
      <c r="H525" t="s">
        <v>19</v>
      </c>
      <c r="I525" t="s">
        <v>25</v>
      </c>
      <c r="J525">
        <v>53541.22</v>
      </c>
      <c r="K525">
        <v>46664.1</v>
      </c>
      <c r="L525" s="20">
        <f>tbl_Budget[[#This Row],[Actual]]-tbl_Budget[[#This Row],[Budget]]</f>
        <v>-6877.1200000000026</v>
      </c>
      <c r="M525" s="3">
        <f>tbl_Budget[[#This Row],[Variance]]/tbl_Budget[[#This Row],[Budget]]</f>
        <v>-0.12844533613541123</v>
      </c>
      <c r="N525" t="str">
        <f>IF(tbl_Budget[[#This Row],[Variance_%]]&gt;0.05,"Overspend",IF(tbl_Budget[[#This Row],[Variance_%]]&lt;-0.05,"Underspend","On Budget"))</f>
        <v>Underspend</v>
      </c>
    </row>
    <row r="526" spans="1:14" hidden="1">
      <c r="A526" s="1">
        <v>45078</v>
      </c>
      <c r="B526">
        <v>6</v>
      </c>
      <c r="C526" t="s">
        <v>40</v>
      </c>
      <c r="D526" t="s">
        <v>41</v>
      </c>
      <c r="E526">
        <v>2023</v>
      </c>
      <c r="F526" t="s">
        <v>24</v>
      </c>
      <c r="G526" t="s">
        <v>20</v>
      </c>
      <c r="H526" t="s">
        <v>15</v>
      </c>
      <c r="I526" t="s">
        <v>25</v>
      </c>
      <c r="J526">
        <v>28568.39</v>
      </c>
      <c r="K526">
        <v>25278.75</v>
      </c>
      <c r="L526" s="20">
        <f>tbl_Budget[[#This Row],[Actual]]-tbl_Budget[[#This Row],[Budget]]</f>
        <v>-3289.6399999999994</v>
      </c>
      <c r="M526" s="3">
        <f>tbl_Budget[[#This Row],[Variance]]/tbl_Budget[[#This Row],[Budget]]</f>
        <v>-0.11514964616486961</v>
      </c>
      <c r="N526" t="str">
        <f>IF(tbl_Budget[[#This Row],[Variance_%]]&gt;0.05,"Overspend",IF(tbl_Budget[[#This Row],[Variance_%]]&lt;-0.05,"Underspend","On Budget"))</f>
        <v>Underspend</v>
      </c>
    </row>
    <row r="527" spans="1:14" hidden="1">
      <c r="A527" s="1">
        <v>45078</v>
      </c>
      <c r="B527">
        <v>6</v>
      </c>
      <c r="C527" t="s">
        <v>40</v>
      </c>
      <c r="D527" t="s">
        <v>41</v>
      </c>
      <c r="E527">
        <v>2023</v>
      </c>
      <c r="F527" t="s">
        <v>24</v>
      </c>
      <c r="G527" t="s">
        <v>20</v>
      </c>
      <c r="H527" t="s">
        <v>17</v>
      </c>
      <c r="I527" t="s">
        <v>25</v>
      </c>
      <c r="J527">
        <v>26649.96</v>
      </c>
      <c r="K527">
        <v>23874.080000000002</v>
      </c>
      <c r="L527" s="20">
        <f>tbl_Budget[[#This Row],[Actual]]-tbl_Budget[[#This Row],[Budget]]</f>
        <v>-2775.8799999999974</v>
      </c>
      <c r="M527" s="3">
        <f>tbl_Budget[[#This Row],[Variance]]/tbl_Budget[[#This Row],[Budget]]</f>
        <v>-0.10416075671408127</v>
      </c>
      <c r="N527" t="str">
        <f>IF(tbl_Budget[[#This Row],[Variance_%]]&gt;0.05,"Overspend",IF(tbl_Budget[[#This Row],[Variance_%]]&lt;-0.05,"Underspend","On Budget"))</f>
        <v>Underspend</v>
      </c>
    </row>
    <row r="528" spans="1:14" hidden="1">
      <c r="A528" s="1">
        <v>45078</v>
      </c>
      <c r="B528">
        <v>6</v>
      </c>
      <c r="C528" t="s">
        <v>40</v>
      </c>
      <c r="D528" t="s">
        <v>41</v>
      </c>
      <c r="E528">
        <v>2023</v>
      </c>
      <c r="F528" t="s">
        <v>24</v>
      </c>
      <c r="G528" t="s">
        <v>20</v>
      </c>
      <c r="H528" t="s">
        <v>18</v>
      </c>
      <c r="I528" t="s">
        <v>25</v>
      </c>
      <c r="J528">
        <v>28470.67</v>
      </c>
      <c r="K528">
        <v>25641.09</v>
      </c>
      <c r="L528" s="20">
        <f>tbl_Budget[[#This Row],[Actual]]-tbl_Budget[[#This Row],[Budget]]</f>
        <v>-2829.5799999999981</v>
      </c>
      <c r="M528" s="3">
        <f>tbl_Budget[[#This Row],[Variance]]/tbl_Budget[[#This Row],[Budget]]</f>
        <v>-9.9385788954035797E-2</v>
      </c>
      <c r="N528" t="str">
        <f>IF(tbl_Budget[[#This Row],[Variance_%]]&gt;0.05,"Overspend",IF(tbl_Budget[[#This Row],[Variance_%]]&lt;-0.05,"Underspend","On Budget"))</f>
        <v>Underspend</v>
      </c>
    </row>
    <row r="529" spans="1:14" hidden="1">
      <c r="A529" s="1">
        <v>45078</v>
      </c>
      <c r="B529">
        <v>6</v>
      </c>
      <c r="C529" t="s">
        <v>40</v>
      </c>
      <c r="D529" t="s">
        <v>41</v>
      </c>
      <c r="E529">
        <v>2023</v>
      </c>
      <c r="F529" t="s">
        <v>24</v>
      </c>
      <c r="G529" t="s">
        <v>20</v>
      </c>
      <c r="H529" t="s">
        <v>19</v>
      </c>
      <c r="I529" t="s">
        <v>25</v>
      </c>
      <c r="J529">
        <v>29255.69</v>
      </c>
      <c r="K529">
        <v>25336.81</v>
      </c>
      <c r="L529" s="20">
        <f>tbl_Budget[[#This Row],[Actual]]-tbl_Budget[[#This Row],[Budget]]</f>
        <v>-3918.8799999999974</v>
      </c>
      <c r="M529" s="3">
        <f>tbl_Budget[[#This Row],[Variance]]/tbl_Budget[[#This Row],[Budget]]</f>
        <v>-0.13395274560265019</v>
      </c>
      <c r="N529" t="str">
        <f>IF(tbl_Budget[[#This Row],[Variance_%]]&gt;0.05,"Overspend",IF(tbl_Budget[[#This Row],[Variance_%]]&lt;-0.05,"Underspend","On Budget"))</f>
        <v>Underspend</v>
      </c>
    </row>
    <row r="530" spans="1:14">
      <c r="A530" s="1">
        <v>45078</v>
      </c>
      <c r="B530">
        <v>6</v>
      </c>
      <c r="C530" t="s">
        <v>40</v>
      </c>
      <c r="D530" t="s">
        <v>41</v>
      </c>
      <c r="E530">
        <v>2023</v>
      </c>
      <c r="F530" t="s">
        <v>24</v>
      </c>
      <c r="G530" t="s">
        <v>21</v>
      </c>
      <c r="H530" t="s">
        <v>15</v>
      </c>
      <c r="I530" t="s">
        <v>25</v>
      </c>
      <c r="J530">
        <v>11118.45</v>
      </c>
      <c r="K530">
        <v>9941.6</v>
      </c>
      <c r="L530" s="20">
        <f>tbl_Budget[[#This Row],[Actual]]-tbl_Budget[[#This Row],[Budget]]</f>
        <v>-1176.8500000000004</v>
      </c>
      <c r="M530" s="3">
        <f>tbl_Budget[[#This Row],[Variance]]/tbl_Budget[[#This Row],[Budget]]</f>
        <v>-0.10584658832840911</v>
      </c>
      <c r="N530" t="str">
        <f>IF(tbl_Budget[[#This Row],[Variance_%]]&gt;0.05,"Overspend",IF(tbl_Budget[[#This Row],[Variance_%]]&lt;-0.05,"Underspend","On Budget"))</f>
        <v>Underspend</v>
      </c>
    </row>
    <row r="531" spans="1:14">
      <c r="A531" s="1">
        <v>45078</v>
      </c>
      <c r="B531">
        <v>6</v>
      </c>
      <c r="C531" t="s">
        <v>40</v>
      </c>
      <c r="D531" t="s">
        <v>41</v>
      </c>
      <c r="E531">
        <v>2023</v>
      </c>
      <c r="F531" t="s">
        <v>24</v>
      </c>
      <c r="G531" t="s">
        <v>21</v>
      </c>
      <c r="H531" t="s">
        <v>17</v>
      </c>
      <c r="I531" t="s">
        <v>25</v>
      </c>
      <c r="J531">
        <v>10547.63</v>
      </c>
      <c r="K531">
        <v>9061.51</v>
      </c>
      <c r="L531" s="20">
        <f>tbl_Budget[[#This Row],[Actual]]-tbl_Budget[[#This Row],[Budget]]</f>
        <v>-1486.119999999999</v>
      </c>
      <c r="M531" s="3">
        <f>tbl_Budget[[#This Row],[Variance]]/tbl_Budget[[#This Row],[Budget]]</f>
        <v>-0.14089610651871548</v>
      </c>
      <c r="N531" t="str">
        <f>IF(tbl_Budget[[#This Row],[Variance_%]]&gt;0.05,"Overspend",IF(tbl_Budget[[#This Row],[Variance_%]]&lt;-0.05,"Underspend","On Budget"))</f>
        <v>Underspend</v>
      </c>
    </row>
    <row r="532" spans="1:14">
      <c r="A532" s="1">
        <v>45078</v>
      </c>
      <c r="B532">
        <v>6</v>
      </c>
      <c r="C532" t="s">
        <v>40</v>
      </c>
      <c r="D532" t="s">
        <v>41</v>
      </c>
      <c r="E532">
        <v>2023</v>
      </c>
      <c r="F532" t="s">
        <v>24</v>
      </c>
      <c r="G532" t="s">
        <v>21</v>
      </c>
      <c r="H532" t="s">
        <v>18</v>
      </c>
      <c r="I532" t="s">
        <v>25</v>
      </c>
      <c r="J532">
        <v>10530.03</v>
      </c>
      <c r="K532">
        <v>9061.74</v>
      </c>
      <c r="L532" s="20">
        <f>tbl_Budget[[#This Row],[Actual]]-tbl_Budget[[#This Row],[Budget]]</f>
        <v>-1468.2900000000009</v>
      </c>
      <c r="M532" s="3">
        <f>tbl_Budget[[#This Row],[Variance]]/tbl_Budget[[#This Row],[Budget]]</f>
        <v>-0.13943834917849243</v>
      </c>
      <c r="N532" t="str">
        <f>IF(tbl_Budget[[#This Row],[Variance_%]]&gt;0.05,"Overspend",IF(tbl_Budget[[#This Row],[Variance_%]]&lt;-0.05,"Underspend","On Budget"))</f>
        <v>Underspend</v>
      </c>
    </row>
    <row r="533" spans="1:14">
      <c r="A533" s="1">
        <v>45078</v>
      </c>
      <c r="B533">
        <v>6</v>
      </c>
      <c r="C533" t="s">
        <v>40</v>
      </c>
      <c r="D533" t="s">
        <v>41</v>
      </c>
      <c r="E533">
        <v>2023</v>
      </c>
      <c r="F533" t="s">
        <v>24</v>
      </c>
      <c r="G533" t="s">
        <v>21</v>
      </c>
      <c r="H533" t="s">
        <v>19</v>
      </c>
      <c r="I533" t="s">
        <v>25</v>
      </c>
      <c r="J533">
        <v>11410.15</v>
      </c>
      <c r="K533">
        <v>10211.4</v>
      </c>
      <c r="L533" s="20">
        <f>tbl_Budget[[#This Row],[Actual]]-tbl_Budget[[#This Row],[Budget]]</f>
        <v>-1198.75</v>
      </c>
      <c r="M533" s="3">
        <f>tbl_Budget[[#This Row],[Variance]]/tbl_Budget[[#This Row],[Budget]]</f>
        <v>-0.10505996853678523</v>
      </c>
      <c r="N533" t="str">
        <f>IF(tbl_Budget[[#This Row],[Variance_%]]&gt;0.05,"Overspend",IF(tbl_Budget[[#This Row],[Variance_%]]&lt;-0.05,"Underspend","On Budget"))</f>
        <v>Underspend</v>
      </c>
    </row>
    <row r="534" spans="1:14" hidden="1">
      <c r="A534" s="1">
        <v>45078</v>
      </c>
      <c r="B534">
        <v>6</v>
      </c>
      <c r="C534" t="s">
        <v>40</v>
      </c>
      <c r="D534" t="s">
        <v>41</v>
      </c>
      <c r="E534">
        <v>2023</v>
      </c>
      <c r="F534" t="s">
        <v>24</v>
      </c>
      <c r="G534" t="s">
        <v>22</v>
      </c>
      <c r="H534" t="s">
        <v>15</v>
      </c>
      <c r="I534" t="s">
        <v>25</v>
      </c>
      <c r="J534">
        <v>8434.0400000000009</v>
      </c>
      <c r="K534">
        <v>7288.12</v>
      </c>
      <c r="L534" s="20">
        <f>tbl_Budget[[#This Row],[Actual]]-tbl_Budget[[#This Row],[Budget]]</f>
        <v>-1145.920000000001</v>
      </c>
      <c r="M534" s="3">
        <f>tbl_Budget[[#This Row],[Variance]]/tbl_Budget[[#This Row],[Budget]]</f>
        <v>-0.13586845687238866</v>
      </c>
      <c r="N534" t="str">
        <f>IF(tbl_Budget[[#This Row],[Variance_%]]&gt;0.05,"Overspend",IF(tbl_Budget[[#This Row],[Variance_%]]&lt;-0.05,"Underspend","On Budget"))</f>
        <v>Underspend</v>
      </c>
    </row>
    <row r="535" spans="1:14" hidden="1">
      <c r="A535" s="1">
        <v>45078</v>
      </c>
      <c r="B535">
        <v>6</v>
      </c>
      <c r="C535" t="s">
        <v>40</v>
      </c>
      <c r="D535" t="s">
        <v>41</v>
      </c>
      <c r="E535">
        <v>2023</v>
      </c>
      <c r="F535" t="s">
        <v>24</v>
      </c>
      <c r="G535" t="s">
        <v>22</v>
      </c>
      <c r="H535" t="s">
        <v>17</v>
      </c>
      <c r="I535" t="s">
        <v>25</v>
      </c>
      <c r="J535">
        <v>8060.33</v>
      </c>
      <c r="K535">
        <v>7167.38</v>
      </c>
      <c r="L535" s="20">
        <f>tbl_Budget[[#This Row],[Actual]]-tbl_Budget[[#This Row],[Budget]]</f>
        <v>-892.94999999999982</v>
      </c>
      <c r="M535" s="3">
        <f>tbl_Budget[[#This Row],[Variance]]/tbl_Budget[[#This Row],[Budget]]</f>
        <v>-0.11078330539816605</v>
      </c>
      <c r="N535" t="str">
        <f>IF(tbl_Budget[[#This Row],[Variance_%]]&gt;0.05,"Overspend",IF(tbl_Budget[[#This Row],[Variance_%]]&lt;-0.05,"Underspend","On Budget"))</f>
        <v>Underspend</v>
      </c>
    </row>
    <row r="536" spans="1:14" hidden="1">
      <c r="A536" s="1">
        <v>45078</v>
      </c>
      <c r="B536">
        <v>6</v>
      </c>
      <c r="C536" t="s">
        <v>40</v>
      </c>
      <c r="D536" t="s">
        <v>41</v>
      </c>
      <c r="E536">
        <v>2023</v>
      </c>
      <c r="F536" t="s">
        <v>24</v>
      </c>
      <c r="G536" t="s">
        <v>22</v>
      </c>
      <c r="H536" t="s">
        <v>18</v>
      </c>
      <c r="I536" t="s">
        <v>25</v>
      </c>
      <c r="J536">
        <v>8431.5499999999993</v>
      </c>
      <c r="K536">
        <v>7470.42</v>
      </c>
      <c r="L536" s="20">
        <f>tbl_Budget[[#This Row],[Actual]]-tbl_Budget[[#This Row],[Budget]]</f>
        <v>-961.1299999999992</v>
      </c>
      <c r="M536" s="3">
        <f>tbl_Budget[[#This Row],[Variance]]/tbl_Budget[[#This Row],[Budget]]</f>
        <v>-0.11399208923626133</v>
      </c>
      <c r="N536" t="str">
        <f>IF(tbl_Budget[[#This Row],[Variance_%]]&gt;0.05,"Overspend",IF(tbl_Budget[[#This Row],[Variance_%]]&lt;-0.05,"Underspend","On Budget"))</f>
        <v>Underspend</v>
      </c>
    </row>
    <row r="537" spans="1:14" hidden="1">
      <c r="A537" s="1">
        <v>45078</v>
      </c>
      <c r="B537">
        <v>6</v>
      </c>
      <c r="C537" t="s">
        <v>40</v>
      </c>
      <c r="D537" t="s">
        <v>41</v>
      </c>
      <c r="E537">
        <v>2023</v>
      </c>
      <c r="F537" t="s">
        <v>24</v>
      </c>
      <c r="G537" t="s">
        <v>22</v>
      </c>
      <c r="H537" t="s">
        <v>19</v>
      </c>
      <c r="I537" t="s">
        <v>25</v>
      </c>
      <c r="J537">
        <v>8806.7199999999993</v>
      </c>
      <c r="K537">
        <v>7873.18</v>
      </c>
      <c r="L537" s="20">
        <f>tbl_Budget[[#This Row],[Actual]]-tbl_Budget[[#This Row],[Budget]]</f>
        <v>-933.53999999999905</v>
      </c>
      <c r="M537" s="3">
        <f>tbl_Budget[[#This Row],[Variance]]/tbl_Budget[[#This Row],[Budget]]</f>
        <v>-0.10600314305439473</v>
      </c>
      <c r="N537" t="str">
        <f>IF(tbl_Budget[[#This Row],[Variance_%]]&gt;0.05,"Overspend",IF(tbl_Budget[[#This Row],[Variance_%]]&lt;-0.05,"Underspend","On Budget"))</f>
        <v>Underspend</v>
      </c>
    </row>
    <row r="538" spans="1:14" hidden="1">
      <c r="A538" s="1">
        <v>45078</v>
      </c>
      <c r="B538">
        <v>6</v>
      </c>
      <c r="C538" t="s">
        <v>40</v>
      </c>
      <c r="D538" t="s">
        <v>41</v>
      </c>
      <c r="E538">
        <v>2023</v>
      </c>
      <c r="F538" t="s">
        <v>24</v>
      </c>
      <c r="G538" t="s">
        <v>23</v>
      </c>
      <c r="H538" t="s">
        <v>15</v>
      </c>
      <c r="I538" t="s">
        <v>25</v>
      </c>
      <c r="J538">
        <v>7334.37</v>
      </c>
      <c r="K538">
        <v>6361.25</v>
      </c>
      <c r="L538" s="20">
        <f>tbl_Budget[[#This Row],[Actual]]-tbl_Budget[[#This Row],[Budget]]</f>
        <v>-973.11999999999989</v>
      </c>
      <c r="M538" s="3">
        <f>tbl_Budget[[#This Row],[Variance]]/tbl_Budget[[#This Row],[Budget]]</f>
        <v>-0.13267942577208403</v>
      </c>
      <c r="N538" t="str">
        <f>IF(tbl_Budget[[#This Row],[Variance_%]]&gt;0.05,"Overspend",IF(tbl_Budget[[#This Row],[Variance_%]]&lt;-0.05,"Underspend","On Budget"))</f>
        <v>Underspend</v>
      </c>
    </row>
    <row r="539" spans="1:14" hidden="1">
      <c r="A539" s="1">
        <v>45078</v>
      </c>
      <c r="B539">
        <v>6</v>
      </c>
      <c r="C539" t="s">
        <v>40</v>
      </c>
      <c r="D539" t="s">
        <v>41</v>
      </c>
      <c r="E539">
        <v>2023</v>
      </c>
      <c r="F539" t="s">
        <v>24</v>
      </c>
      <c r="G539" t="s">
        <v>23</v>
      </c>
      <c r="H539" t="s">
        <v>17</v>
      </c>
      <c r="I539" t="s">
        <v>25</v>
      </c>
      <c r="J539">
        <v>7123.75</v>
      </c>
      <c r="K539">
        <v>6314.71</v>
      </c>
      <c r="L539" s="20">
        <f>tbl_Budget[[#This Row],[Actual]]-tbl_Budget[[#This Row],[Budget]]</f>
        <v>-809.04</v>
      </c>
      <c r="M539" s="3">
        <f>tbl_Budget[[#This Row],[Variance]]/tbl_Budget[[#This Row],[Budget]]</f>
        <v>-0.11356939814002456</v>
      </c>
      <c r="N539" t="str">
        <f>IF(tbl_Budget[[#This Row],[Variance_%]]&gt;0.05,"Overspend",IF(tbl_Budget[[#This Row],[Variance_%]]&lt;-0.05,"Underspend","On Budget"))</f>
        <v>Underspend</v>
      </c>
    </row>
    <row r="540" spans="1:14" hidden="1">
      <c r="A540" s="1">
        <v>45078</v>
      </c>
      <c r="B540">
        <v>6</v>
      </c>
      <c r="C540" t="s">
        <v>40</v>
      </c>
      <c r="D540" t="s">
        <v>41</v>
      </c>
      <c r="E540">
        <v>2023</v>
      </c>
      <c r="F540" t="s">
        <v>24</v>
      </c>
      <c r="G540" t="s">
        <v>23</v>
      </c>
      <c r="H540" t="s">
        <v>18</v>
      </c>
      <c r="I540" t="s">
        <v>25</v>
      </c>
      <c r="J540">
        <v>7294.59</v>
      </c>
      <c r="K540">
        <v>6215.88</v>
      </c>
      <c r="L540" s="20">
        <f>tbl_Budget[[#This Row],[Actual]]-tbl_Budget[[#This Row],[Budget]]</f>
        <v>-1078.71</v>
      </c>
      <c r="M540" s="3">
        <f>tbl_Budget[[#This Row],[Variance]]/tbl_Budget[[#This Row],[Budget]]</f>
        <v>-0.14787808499175417</v>
      </c>
      <c r="N540" t="str">
        <f>IF(tbl_Budget[[#This Row],[Variance_%]]&gt;0.05,"Overspend",IF(tbl_Budget[[#This Row],[Variance_%]]&lt;-0.05,"Underspend","On Budget"))</f>
        <v>Underspend</v>
      </c>
    </row>
    <row r="541" spans="1:14" hidden="1">
      <c r="A541" s="1">
        <v>45078</v>
      </c>
      <c r="B541">
        <v>6</v>
      </c>
      <c r="C541" t="s">
        <v>40</v>
      </c>
      <c r="D541" t="s">
        <v>41</v>
      </c>
      <c r="E541">
        <v>2023</v>
      </c>
      <c r="F541" t="s">
        <v>24</v>
      </c>
      <c r="G541" t="s">
        <v>23</v>
      </c>
      <c r="H541" t="s">
        <v>19</v>
      </c>
      <c r="I541" t="s">
        <v>25</v>
      </c>
      <c r="J541">
        <v>7684.03</v>
      </c>
      <c r="K541">
        <v>6849.56</v>
      </c>
      <c r="L541" s="20">
        <f>tbl_Budget[[#This Row],[Actual]]-tbl_Budget[[#This Row],[Budget]]</f>
        <v>-834.46999999999935</v>
      </c>
      <c r="M541" s="3">
        <f>tbl_Budget[[#This Row],[Variance]]/tbl_Budget[[#This Row],[Budget]]</f>
        <v>-0.10859796226719565</v>
      </c>
      <c r="N541" t="str">
        <f>IF(tbl_Budget[[#This Row],[Variance_%]]&gt;0.05,"Overspend",IF(tbl_Budget[[#This Row],[Variance_%]]&lt;-0.05,"Underspend","On Budget"))</f>
        <v>Underspend</v>
      </c>
    </row>
    <row r="542" spans="1:14" hidden="1">
      <c r="A542" s="1">
        <v>45078</v>
      </c>
      <c r="B542">
        <v>6</v>
      </c>
      <c r="C542" t="s">
        <v>40</v>
      </c>
      <c r="D542" t="s">
        <v>41</v>
      </c>
      <c r="E542">
        <v>2023</v>
      </c>
      <c r="F542" t="s">
        <v>26</v>
      </c>
      <c r="G542" t="s">
        <v>14</v>
      </c>
      <c r="H542" t="s">
        <v>15</v>
      </c>
      <c r="I542" t="s">
        <v>27</v>
      </c>
      <c r="J542">
        <v>44232.08</v>
      </c>
      <c r="K542">
        <v>44556.78</v>
      </c>
      <c r="L542" s="20">
        <f>tbl_Budget[[#This Row],[Actual]]-tbl_Budget[[#This Row],[Budget]]</f>
        <v>324.69999999999709</v>
      </c>
      <c r="M542" s="3">
        <f>tbl_Budget[[#This Row],[Variance]]/tbl_Budget[[#This Row],[Budget]]</f>
        <v>7.3408259344800667E-3</v>
      </c>
      <c r="N542" t="str">
        <f>IF(tbl_Budget[[#This Row],[Variance_%]]&gt;0.05,"Overspend",IF(tbl_Budget[[#This Row],[Variance_%]]&lt;-0.05,"Underspend","On Budget"))</f>
        <v>On Budget</v>
      </c>
    </row>
    <row r="543" spans="1:14" hidden="1">
      <c r="A543" s="1">
        <v>45078</v>
      </c>
      <c r="B543">
        <v>6</v>
      </c>
      <c r="C543" t="s">
        <v>40</v>
      </c>
      <c r="D543" t="s">
        <v>41</v>
      </c>
      <c r="E543">
        <v>2023</v>
      </c>
      <c r="F543" t="s">
        <v>26</v>
      </c>
      <c r="G543" t="s">
        <v>14</v>
      </c>
      <c r="H543" t="s">
        <v>17</v>
      </c>
      <c r="I543" t="s">
        <v>27</v>
      </c>
      <c r="J543">
        <v>41779.160000000003</v>
      </c>
      <c r="K543">
        <v>41721.69</v>
      </c>
      <c r="L543" s="20">
        <f>tbl_Budget[[#This Row],[Actual]]-tbl_Budget[[#This Row],[Budget]]</f>
        <v>-57.470000000001164</v>
      </c>
      <c r="M543" s="3">
        <f>tbl_Budget[[#This Row],[Variance]]/tbl_Budget[[#This Row],[Budget]]</f>
        <v>-1.3755661913739088E-3</v>
      </c>
      <c r="N543" t="str">
        <f>IF(tbl_Budget[[#This Row],[Variance_%]]&gt;0.05,"Overspend",IF(tbl_Budget[[#This Row],[Variance_%]]&lt;-0.05,"Underspend","On Budget"))</f>
        <v>On Budget</v>
      </c>
    </row>
    <row r="544" spans="1:14" hidden="1">
      <c r="A544" s="1">
        <v>45078</v>
      </c>
      <c r="B544">
        <v>6</v>
      </c>
      <c r="C544" t="s">
        <v>40</v>
      </c>
      <c r="D544" t="s">
        <v>41</v>
      </c>
      <c r="E544">
        <v>2023</v>
      </c>
      <c r="F544" t="s">
        <v>26</v>
      </c>
      <c r="G544" t="s">
        <v>14</v>
      </c>
      <c r="H544" t="s">
        <v>18</v>
      </c>
      <c r="I544" t="s">
        <v>27</v>
      </c>
      <c r="J544">
        <v>43372.68</v>
      </c>
      <c r="K544">
        <v>42303.71</v>
      </c>
      <c r="L544" s="20">
        <f>tbl_Budget[[#This Row],[Actual]]-tbl_Budget[[#This Row],[Budget]]</f>
        <v>-1068.9700000000012</v>
      </c>
      <c r="M544" s="3">
        <f>tbl_Budget[[#This Row],[Variance]]/tbl_Budget[[#This Row],[Budget]]</f>
        <v>-2.4646159748486864E-2</v>
      </c>
      <c r="N544" t="str">
        <f>IF(tbl_Budget[[#This Row],[Variance_%]]&gt;0.05,"Overspend",IF(tbl_Budget[[#This Row],[Variance_%]]&lt;-0.05,"Underspend","On Budget"))</f>
        <v>On Budget</v>
      </c>
    </row>
    <row r="545" spans="1:14" hidden="1">
      <c r="A545" s="1">
        <v>45078</v>
      </c>
      <c r="B545">
        <v>6</v>
      </c>
      <c r="C545" t="s">
        <v>40</v>
      </c>
      <c r="D545" t="s">
        <v>41</v>
      </c>
      <c r="E545">
        <v>2023</v>
      </c>
      <c r="F545" t="s">
        <v>26</v>
      </c>
      <c r="G545" t="s">
        <v>14</v>
      </c>
      <c r="H545" t="s">
        <v>19</v>
      </c>
      <c r="I545" t="s">
        <v>27</v>
      </c>
      <c r="J545">
        <v>46516.82</v>
      </c>
      <c r="K545">
        <v>46795.57</v>
      </c>
      <c r="L545" s="20">
        <f>tbl_Budget[[#This Row],[Actual]]-tbl_Budget[[#This Row],[Budget]]</f>
        <v>278.75</v>
      </c>
      <c r="M545" s="3">
        <f>tbl_Budget[[#This Row],[Variance]]/tbl_Budget[[#This Row],[Budget]]</f>
        <v>5.9924560621297841E-3</v>
      </c>
      <c r="N545" t="str">
        <f>IF(tbl_Budget[[#This Row],[Variance_%]]&gt;0.05,"Overspend",IF(tbl_Budget[[#This Row],[Variance_%]]&lt;-0.05,"Underspend","On Budget"))</f>
        <v>On Budget</v>
      </c>
    </row>
    <row r="546" spans="1:14" hidden="1">
      <c r="A546" s="1">
        <v>45078</v>
      </c>
      <c r="B546">
        <v>6</v>
      </c>
      <c r="C546" t="s">
        <v>40</v>
      </c>
      <c r="D546" t="s">
        <v>41</v>
      </c>
      <c r="E546">
        <v>2023</v>
      </c>
      <c r="F546" t="s">
        <v>26</v>
      </c>
      <c r="G546" t="s">
        <v>20</v>
      </c>
      <c r="H546" t="s">
        <v>15</v>
      </c>
      <c r="I546" t="s">
        <v>27</v>
      </c>
      <c r="J546">
        <v>15443.92</v>
      </c>
      <c r="K546">
        <v>15771.24</v>
      </c>
      <c r="L546" s="20">
        <f>tbl_Budget[[#This Row],[Actual]]-tbl_Budget[[#This Row],[Budget]]</f>
        <v>327.31999999999971</v>
      </c>
      <c r="M546" s="3">
        <f>tbl_Budget[[#This Row],[Variance]]/tbl_Budget[[#This Row],[Budget]]</f>
        <v>2.1194100979544033E-2</v>
      </c>
      <c r="N546" t="str">
        <f>IF(tbl_Budget[[#This Row],[Variance_%]]&gt;0.05,"Overspend",IF(tbl_Budget[[#This Row],[Variance_%]]&lt;-0.05,"Underspend","On Budget"))</f>
        <v>On Budget</v>
      </c>
    </row>
    <row r="547" spans="1:14" hidden="1">
      <c r="A547" s="1">
        <v>45078</v>
      </c>
      <c r="B547">
        <v>6</v>
      </c>
      <c r="C547" t="s">
        <v>40</v>
      </c>
      <c r="D547" t="s">
        <v>41</v>
      </c>
      <c r="E547">
        <v>2023</v>
      </c>
      <c r="F547" t="s">
        <v>26</v>
      </c>
      <c r="G547" t="s">
        <v>20</v>
      </c>
      <c r="H547" t="s">
        <v>17</v>
      </c>
      <c r="I547" t="s">
        <v>27</v>
      </c>
      <c r="J547">
        <v>14492.79</v>
      </c>
      <c r="K547">
        <v>14530.75</v>
      </c>
      <c r="L547" s="20">
        <f>tbl_Budget[[#This Row],[Actual]]-tbl_Budget[[#This Row],[Budget]]</f>
        <v>37.959999999999127</v>
      </c>
      <c r="M547" s="3">
        <f>tbl_Budget[[#This Row],[Variance]]/tbl_Budget[[#This Row],[Budget]]</f>
        <v>2.619233425724041E-3</v>
      </c>
      <c r="N547" t="str">
        <f>IF(tbl_Budget[[#This Row],[Variance_%]]&gt;0.05,"Overspend",IF(tbl_Budget[[#This Row],[Variance_%]]&lt;-0.05,"Underspend","On Budget"))</f>
        <v>On Budget</v>
      </c>
    </row>
    <row r="548" spans="1:14" hidden="1">
      <c r="A548" s="1">
        <v>45078</v>
      </c>
      <c r="B548">
        <v>6</v>
      </c>
      <c r="C548" t="s">
        <v>40</v>
      </c>
      <c r="D548" t="s">
        <v>41</v>
      </c>
      <c r="E548">
        <v>2023</v>
      </c>
      <c r="F548" t="s">
        <v>26</v>
      </c>
      <c r="G548" t="s">
        <v>20</v>
      </c>
      <c r="H548" t="s">
        <v>18</v>
      </c>
      <c r="I548" t="s">
        <v>27</v>
      </c>
      <c r="J548">
        <v>14640.51</v>
      </c>
      <c r="K548">
        <v>14917.96</v>
      </c>
      <c r="L548" s="20">
        <f>tbl_Budget[[#This Row],[Actual]]-tbl_Budget[[#This Row],[Budget]]</f>
        <v>277.44999999999891</v>
      </c>
      <c r="M548" s="3">
        <f>tbl_Budget[[#This Row],[Variance]]/tbl_Budget[[#This Row],[Budget]]</f>
        <v>1.8950842559446283E-2</v>
      </c>
      <c r="N548" t="str">
        <f>IF(tbl_Budget[[#This Row],[Variance_%]]&gt;0.05,"Overspend",IF(tbl_Budget[[#This Row],[Variance_%]]&lt;-0.05,"Underspend","On Budget"))</f>
        <v>On Budget</v>
      </c>
    </row>
    <row r="549" spans="1:14" hidden="1">
      <c r="A549" s="1">
        <v>45078</v>
      </c>
      <c r="B549">
        <v>6</v>
      </c>
      <c r="C549" t="s">
        <v>40</v>
      </c>
      <c r="D549" t="s">
        <v>41</v>
      </c>
      <c r="E549">
        <v>2023</v>
      </c>
      <c r="F549" t="s">
        <v>26</v>
      </c>
      <c r="G549" t="s">
        <v>20</v>
      </c>
      <c r="H549" t="s">
        <v>19</v>
      </c>
      <c r="I549" t="s">
        <v>27</v>
      </c>
      <c r="J549">
        <v>15524</v>
      </c>
      <c r="K549">
        <v>15401.62</v>
      </c>
      <c r="L549" s="20">
        <f>tbl_Budget[[#This Row],[Actual]]-tbl_Budget[[#This Row],[Budget]]</f>
        <v>-122.3799999999992</v>
      </c>
      <c r="M549" s="3">
        <f>tbl_Budget[[#This Row],[Variance]]/tbl_Budget[[#This Row],[Budget]]</f>
        <v>-7.8832775057974241E-3</v>
      </c>
      <c r="N549" t="str">
        <f>IF(tbl_Budget[[#This Row],[Variance_%]]&gt;0.05,"Overspend",IF(tbl_Budget[[#This Row],[Variance_%]]&lt;-0.05,"Underspend","On Budget"))</f>
        <v>On Budget</v>
      </c>
    </row>
    <row r="550" spans="1:14">
      <c r="A550" s="1">
        <v>45078</v>
      </c>
      <c r="B550">
        <v>6</v>
      </c>
      <c r="C550" t="s">
        <v>40</v>
      </c>
      <c r="D550" t="s">
        <v>41</v>
      </c>
      <c r="E550">
        <v>2023</v>
      </c>
      <c r="F550" t="s">
        <v>26</v>
      </c>
      <c r="G550" t="s">
        <v>21</v>
      </c>
      <c r="H550" t="s">
        <v>15</v>
      </c>
      <c r="I550" t="s">
        <v>27</v>
      </c>
      <c r="J550">
        <v>8451.08</v>
      </c>
      <c r="K550">
        <v>8397.2199999999993</v>
      </c>
      <c r="L550" s="20">
        <f>tbl_Budget[[#This Row],[Actual]]-tbl_Budget[[#This Row],[Budget]]</f>
        <v>-53.860000000000582</v>
      </c>
      <c r="M550" s="3">
        <f>tbl_Budget[[#This Row],[Variance]]/tbl_Budget[[#This Row],[Budget]]</f>
        <v>-6.3731499405993769E-3</v>
      </c>
      <c r="N550" t="str">
        <f>IF(tbl_Budget[[#This Row],[Variance_%]]&gt;0.05,"Overspend",IF(tbl_Budget[[#This Row],[Variance_%]]&lt;-0.05,"Underspend","On Budget"))</f>
        <v>On Budget</v>
      </c>
    </row>
    <row r="551" spans="1:14">
      <c r="A551" s="1">
        <v>45078</v>
      </c>
      <c r="B551">
        <v>6</v>
      </c>
      <c r="C551" t="s">
        <v>40</v>
      </c>
      <c r="D551" t="s">
        <v>41</v>
      </c>
      <c r="E551">
        <v>2023</v>
      </c>
      <c r="F551" t="s">
        <v>26</v>
      </c>
      <c r="G551" t="s">
        <v>21</v>
      </c>
      <c r="H551" t="s">
        <v>17</v>
      </c>
      <c r="I551" t="s">
        <v>27</v>
      </c>
      <c r="J551">
        <v>8341.1299999999992</v>
      </c>
      <c r="K551">
        <v>8596.86</v>
      </c>
      <c r="L551" s="20">
        <f>tbl_Budget[[#This Row],[Actual]]-tbl_Budget[[#This Row],[Budget]]</f>
        <v>255.73000000000138</v>
      </c>
      <c r="M551" s="3">
        <f>tbl_Budget[[#This Row],[Variance]]/tbl_Budget[[#This Row],[Budget]]</f>
        <v>3.0658915518640927E-2</v>
      </c>
      <c r="N551" t="str">
        <f>IF(tbl_Budget[[#This Row],[Variance_%]]&gt;0.05,"Overspend",IF(tbl_Budget[[#This Row],[Variance_%]]&lt;-0.05,"Underspend","On Budget"))</f>
        <v>On Budget</v>
      </c>
    </row>
    <row r="552" spans="1:14">
      <c r="A552" s="1">
        <v>45078</v>
      </c>
      <c r="B552">
        <v>6</v>
      </c>
      <c r="C552" t="s">
        <v>40</v>
      </c>
      <c r="D552" t="s">
        <v>41</v>
      </c>
      <c r="E552">
        <v>2023</v>
      </c>
      <c r="F552" t="s">
        <v>26</v>
      </c>
      <c r="G552" t="s">
        <v>21</v>
      </c>
      <c r="H552" t="s">
        <v>18</v>
      </c>
      <c r="I552" t="s">
        <v>27</v>
      </c>
      <c r="J552">
        <v>8245.4</v>
      </c>
      <c r="K552">
        <v>8093.76</v>
      </c>
      <c r="L552" s="20">
        <f>tbl_Budget[[#This Row],[Actual]]-tbl_Budget[[#This Row],[Budget]]</f>
        <v>-151.63999999999942</v>
      </c>
      <c r="M552" s="3">
        <f>tbl_Budget[[#This Row],[Variance]]/tbl_Budget[[#This Row],[Budget]]</f>
        <v>-1.8390860358502854E-2</v>
      </c>
      <c r="N552" t="str">
        <f>IF(tbl_Budget[[#This Row],[Variance_%]]&gt;0.05,"Overspend",IF(tbl_Budget[[#This Row],[Variance_%]]&lt;-0.05,"Underspend","On Budget"))</f>
        <v>On Budget</v>
      </c>
    </row>
    <row r="553" spans="1:14">
      <c r="A553" s="1">
        <v>45078</v>
      </c>
      <c r="B553">
        <v>6</v>
      </c>
      <c r="C553" t="s">
        <v>40</v>
      </c>
      <c r="D553" t="s">
        <v>41</v>
      </c>
      <c r="E553">
        <v>2023</v>
      </c>
      <c r="F553" t="s">
        <v>26</v>
      </c>
      <c r="G553" t="s">
        <v>21</v>
      </c>
      <c r="H553" t="s">
        <v>19</v>
      </c>
      <c r="I553" t="s">
        <v>27</v>
      </c>
      <c r="J553">
        <v>8752.25</v>
      </c>
      <c r="K553">
        <v>8967.7000000000007</v>
      </c>
      <c r="L553" s="20">
        <f>tbl_Budget[[#This Row],[Actual]]-tbl_Budget[[#This Row],[Budget]]</f>
        <v>215.45000000000073</v>
      </c>
      <c r="M553" s="3">
        <f>tbl_Budget[[#This Row],[Variance]]/tbl_Budget[[#This Row],[Budget]]</f>
        <v>2.4616527178725554E-2</v>
      </c>
      <c r="N553" t="str">
        <f>IF(tbl_Budget[[#This Row],[Variance_%]]&gt;0.05,"Overspend",IF(tbl_Budget[[#This Row],[Variance_%]]&lt;-0.05,"Underspend","On Budget"))</f>
        <v>On Budget</v>
      </c>
    </row>
    <row r="554" spans="1:14" hidden="1">
      <c r="A554" s="1">
        <v>45078</v>
      </c>
      <c r="B554">
        <v>6</v>
      </c>
      <c r="C554" t="s">
        <v>40</v>
      </c>
      <c r="D554" t="s">
        <v>41</v>
      </c>
      <c r="E554">
        <v>2023</v>
      </c>
      <c r="F554" t="s">
        <v>26</v>
      </c>
      <c r="G554" t="s">
        <v>22</v>
      </c>
      <c r="H554" t="s">
        <v>15</v>
      </c>
      <c r="I554" t="s">
        <v>27</v>
      </c>
      <c r="J554">
        <v>6588.86</v>
      </c>
      <c r="K554">
        <v>6712.35</v>
      </c>
      <c r="L554" s="20">
        <f>tbl_Budget[[#This Row],[Actual]]-tbl_Budget[[#This Row],[Budget]]</f>
        <v>123.49000000000069</v>
      </c>
      <c r="M554" s="3">
        <f>tbl_Budget[[#This Row],[Variance]]/tbl_Budget[[#This Row],[Budget]]</f>
        <v>1.8742240691106003E-2</v>
      </c>
      <c r="N554" t="str">
        <f>IF(tbl_Budget[[#This Row],[Variance_%]]&gt;0.05,"Overspend",IF(tbl_Budget[[#This Row],[Variance_%]]&lt;-0.05,"Underspend","On Budget"))</f>
        <v>On Budget</v>
      </c>
    </row>
    <row r="555" spans="1:14" hidden="1">
      <c r="A555" s="1">
        <v>45078</v>
      </c>
      <c r="B555">
        <v>6</v>
      </c>
      <c r="C555" t="s">
        <v>40</v>
      </c>
      <c r="D555" t="s">
        <v>41</v>
      </c>
      <c r="E555">
        <v>2023</v>
      </c>
      <c r="F555" t="s">
        <v>26</v>
      </c>
      <c r="G555" t="s">
        <v>22</v>
      </c>
      <c r="H555" t="s">
        <v>17</v>
      </c>
      <c r="I555" t="s">
        <v>27</v>
      </c>
      <c r="J555">
        <v>6196.51</v>
      </c>
      <c r="K555">
        <v>6087.73</v>
      </c>
      <c r="L555" s="20">
        <f>tbl_Budget[[#This Row],[Actual]]-tbl_Budget[[#This Row],[Budget]]</f>
        <v>-108.78000000000065</v>
      </c>
      <c r="M555" s="3">
        <f>tbl_Budget[[#This Row],[Variance]]/tbl_Budget[[#This Row],[Budget]]</f>
        <v>-1.7555043080701983E-2</v>
      </c>
      <c r="N555" t="str">
        <f>IF(tbl_Budget[[#This Row],[Variance_%]]&gt;0.05,"Overspend",IF(tbl_Budget[[#This Row],[Variance_%]]&lt;-0.05,"Underspend","On Budget"))</f>
        <v>On Budget</v>
      </c>
    </row>
    <row r="556" spans="1:14" hidden="1">
      <c r="A556" s="1">
        <v>45078</v>
      </c>
      <c r="B556">
        <v>6</v>
      </c>
      <c r="C556" t="s">
        <v>40</v>
      </c>
      <c r="D556" t="s">
        <v>41</v>
      </c>
      <c r="E556">
        <v>2023</v>
      </c>
      <c r="F556" t="s">
        <v>26</v>
      </c>
      <c r="G556" t="s">
        <v>22</v>
      </c>
      <c r="H556" t="s">
        <v>18</v>
      </c>
      <c r="I556" t="s">
        <v>27</v>
      </c>
      <c r="J556">
        <v>6614.81</v>
      </c>
      <c r="K556">
        <v>6554.35</v>
      </c>
      <c r="L556" s="20">
        <f>tbl_Budget[[#This Row],[Actual]]-tbl_Budget[[#This Row],[Budget]]</f>
        <v>-60.460000000000036</v>
      </c>
      <c r="M556" s="3">
        <f>tbl_Budget[[#This Row],[Variance]]/tbl_Budget[[#This Row],[Budget]]</f>
        <v>-9.1400962385918914E-3</v>
      </c>
      <c r="N556" t="str">
        <f>IF(tbl_Budget[[#This Row],[Variance_%]]&gt;0.05,"Overspend",IF(tbl_Budget[[#This Row],[Variance_%]]&lt;-0.05,"Underspend","On Budget"))</f>
        <v>On Budget</v>
      </c>
    </row>
    <row r="557" spans="1:14" hidden="1">
      <c r="A557" s="1">
        <v>45078</v>
      </c>
      <c r="B557">
        <v>6</v>
      </c>
      <c r="C557" t="s">
        <v>40</v>
      </c>
      <c r="D557" t="s">
        <v>41</v>
      </c>
      <c r="E557">
        <v>2023</v>
      </c>
      <c r="F557" t="s">
        <v>26</v>
      </c>
      <c r="G557" t="s">
        <v>22</v>
      </c>
      <c r="H557" t="s">
        <v>19</v>
      </c>
      <c r="I557" t="s">
        <v>27</v>
      </c>
      <c r="J557">
        <v>7106.28</v>
      </c>
      <c r="K557">
        <v>7215.31</v>
      </c>
      <c r="L557" s="20">
        <f>tbl_Budget[[#This Row],[Actual]]-tbl_Budget[[#This Row],[Budget]]</f>
        <v>109.03000000000065</v>
      </c>
      <c r="M557" s="3">
        <f>tbl_Budget[[#This Row],[Variance]]/tbl_Budget[[#This Row],[Budget]]</f>
        <v>1.5342767242495463E-2</v>
      </c>
      <c r="N557" t="str">
        <f>IF(tbl_Budget[[#This Row],[Variance_%]]&gt;0.05,"Overspend",IF(tbl_Budget[[#This Row],[Variance_%]]&lt;-0.05,"Underspend","On Budget"))</f>
        <v>On Budget</v>
      </c>
    </row>
    <row r="558" spans="1:14" hidden="1">
      <c r="A558" s="1">
        <v>45078</v>
      </c>
      <c r="B558">
        <v>6</v>
      </c>
      <c r="C558" t="s">
        <v>40</v>
      </c>
      <c r="D558" t="s">
        <v>41</v>
      </c>
      <c r="E558">
        <v>2023</v>
      </c>
      <c r="F558" t="s">
        <v>26</v>
      </c>
      <c r="G558" t="s">
        <v>23</v>
      </c>
      <c r="H558" t="s">
        <v>15</v>
      </c>
      <c r="I558" t="s">
        <v>27</v>
      </c>
      <c r="J558">
        <v>5587.59</v>
      </c>
      <c r="K558">
        <v>5688.59</v>
      </c>
      <c r="L558" s="20">
        <f>tbl_Budget[[#This Row],[Actual]]-tbl_Budget[[#This Row],[Budget]]</f>
        <v>101</v>
      </c>
      <c r="M558" s="3">
        <f>tbl_Budget[[#This Row],[Variance]]/tbl_Budget[[#This Row],[Budget]]</f>
        <v>1.8075771486454804E-2</v>
      </c>
      <c r="N558" t="str">
        <f>IF(tbl_Budget[[#This Row],[Variance_%]]&gt;0.05,"Overspend",IF(tbl_Budget[[#This Row],[Variance_%]]&lt;-0.05,"Underspend","On Budget"))</f>
        <v>On Budget</v>
      </c>
    </row>
    <row r="559" spans="1:14" hidden="1">
      <c r="A559" s="1">
        <v>45078</v>
      </c>
      <c r="B559">
        <v>6</v>
      </c>
      <c r="C559" t="s">
        <v>40</v>
      </c>
      <c r="D559" t="s">
        <v>41</v>
      </c>
      <c r="E559">
        <v>2023</v>
      </c>
      <c r="F559" t="s">
        <v>26</v>
      </c>
      <c r="G559" t="s">
        <v>23</v>
      </c>
      <c r="H559" t="s">
        <v>17</v>
      </c>
      <c r="I559" t="s">
        <v>27</v>
      </c>
      <c r="J559">
        <v>5502.68</v>
      </c>
      <c r="K559">
        <v>5546.97</v>
      </c>
      <c r="L559" s="20">
        <f>tbl_Budget[[#This Row],[Actual]]-tbl_Budget[[#This Row],[Budget]]</f>
        <v>44.289999999999964</v>
      </c>
      <c r="M559" s="3">
        <f>tbl_Budget[[#This Row],[Variance]]/tbl_Budget[[#This Row],[Budget]]</f>
        <v>8.0488053094128608E-3</v>
      </c>
      <c r="N559" t="str">
        <f>IF(tbl_Budget[[#This Row],[Variance_%]]&gt;0.05,"Overspend",IF(tbl_Budget[[#This Row],[Variance_%]]&lt;-0.05,"Underspend","On Budget"))</f>
        <v>On Budget</v>
      </c>
    </row>
    <row r="560" spans="1:14" hidden="1">
      <c r="A560" s="1">
        <v>45078</v>
      </c>
      <c r="B560">
        <v>6</v>
      </c>
      <c r="C560" t="s">
        <v>40</v>
      </c>
      <c r="D560" t="s">
        <v>41</v>
      </c>
      <c r="E560">
        <v>2023</v>
      </c>
      <c r="F560" t="s">
        <v>26</v>
      </c>
      <c r="G560" t="s">
        <v>23</v>
      </c>
      <c r="H560" t="s">
        <v>18</v>
      </c>
      <c r="I560" t="s">
        <v>27</v>
      </c>
      <c r="J560">
        <v>5669.14</v>
      </c>
      <c r="K560">
        <v>5844.87</v>
      </c>
      <c r="L560" s="20">
        <f>tbl_Budget[[#This Row],[Actual]]-tbl_Budget[[#This Row],[Budget]]</f>
        <v>175.72999999999956</v>
      </c>
      <c r="M560" s="3">
        <f>tbl_Budget[[#This Row],[Variance]]/tbl_Budget[[#This Row],[Budget]]</f>
        <v>3.0997646909407699E-2</v>
      </c>
      <c r="N560" t="str">
        <f>IF(tbl_Budget[[#This Row],[Variance_%]]&gt;0.05,"Overspend",IF(tbl_Budget[[#This Row],[Variance_%]]&lt;-0.05,"Underspend","On Budget"))</f>
        <v>On Budget</v>
      </c>
    </row>
    <row r="561" spans="1:14" hidden="1">
      <c r="A561" s="1">
        <v>45078</v>
      </c>
      <c r="B561">
        <v>6</v>
      </c>
      <c r="C561" t="s">
        <v>40</v>
      </c>
      <c r="D561" t="s">
        <v>41</v>
      </c>
      <c r="E561">
        <v>2023</v>
      </c>
      <c r="F561" t="s">
        <v>26</v>
      </c>
      <c r="G561" t="s">
        <v>23</v>
      </c>
      <c r="H561" t="s">
        <v>19</v>
      </c>
      <c r="I561" t="s">
        <v>27</v>
      </c>
      <c r="J561">
        <v>5944.43</v>
      </c>
      <c r="K561">
        <v>6082.12</v>
      </c>
      <c r="L561" s="20">
        <f>tbl_Budget[[#This Row],[Actual]]-tbl_Budget[[#This Row],[Budget]]</f>
        <v>137.6899999999996</v>
      </c>
      <c r="M561" s="3">
        <f>tbl_Budget[[#This Row],[Variance]]/tbl_Budget[[#This Row],[Budget]]</f>
        <v>2.3162860021902789E-2</v>
      </c>
      <c r="N561" t="str">
        <f>IF(tbl_Budget[[#This Row],[Variance_%]]&gt;0.05,"Overspend",IF(tbl_Budget[[#This Row],[Variance_%]]&lt;-0.05,"Underspend","On Budget"))</f>
        <v>On Budget</v>
      </c>
    </row>
    <row r="562" spans="1:14" hidden="1">
      <c r="A562" s="1">
        <v>45078</v>
      </c>
      <c r="B562">
        <v>6</v>
      </c>
      <c r="C562" t="s">
        <v>40</v>
      </c>
      <c r="D562" t="s">
        <v>41</v>
      </c>
      <c r="E562">
        <v>2023</v>
      </c>
      <c r="F562" t="s">
        <v>28</v>
      </c>
      <c r="G562" t="s">
        <v>14</v>
      </c>
      <c r="H562" t="s">
        <v>15</v>
      </c>
      <c r="I562" t="s">
        <v>29</v>
      </c>
      <c r="J562">
        <v>55417.85</v>
      </c>
      <c r="K562">
        <v>62520.21</v>
      </c>
      <c r="L562" s="20">
        <f>tbl_Budget[[#This Row],[Actual]]-tbl_Budget[[#This Row],[Budget]]</f>
        <v>7102.3600000000006</v>
      </c>
      <c r="M562" s="3">
        <f>tbl_Budget[[#This Row],[Variance]]/tbl_Budget[[#This Row],[Budget]]</f>
        <v>0.12816015056520599</v>
      </c>
      <c r="N562" t="str">
        <f>IF(tbl_Budget[[#This Row],[Variance_%]]&gt;0.05,"Overspend",IF(tbl_Budget[[#This Row],[Variance_%]]&lt;-0.05,"Underspend","On Budget"))</f>
        <v>Overspend</v>
      </c>
    </row>
    <row r="563" spans="1:14" hidden="1">
      <c r="A563" s="1">
        <v>45078</v>
      </c>
      <c r="B563">
        <v>6</v>
      </c>
      <c r="C563" t="s">
        <v>40</v>
      </c>
      <c r="D563" t="s">
        <v>41</v>
      </c>
      <c r="E563">
        <v>2023</v>
      </c>
      <c r="F563" t="s">
        <v>28</v>
      </c>
      <c r="G563" t="s">
        <v>14</v>
      </c>
      <c r="H563" t="s">
        <v>17</v>
      </c>
      <c r="I563" t="s">
        <v>29</v>
      </c>
      <c r="J563">
        <v>51303.06</v>
      </c>
      <c r="K563">
        <v>45814.25</v>
      </c>
      <c r="L563" s="20">
        <f>tbl_Budget[[#This Row],[Actual]]-tbl_Budget[[#This Row],[Budget]]</f>
        <v>-5488.8099999999977</v>
      </c>
      <c r="M563" s="3">
        <f>tbl_Budget[[#This Row],[Variance]]/tbl_Budget[[#This Row],[Budget]]</f>
        <v>-0.10698796524027998</v>
      </c>
      <c r="N563" t="str">
        <f>IF(tbl_Budget[[#This Row],[Variance_%]]&gt;0.05,"Overspend",IF(tbl_Budget[[#This Row],[Variance_%]]&lt;-0.05,"Underspend","On Budget"))</f>
        <v>Underspend</v>
      </c>
    </row>
    <row r="564" spans="1:14" hidden="1">
      <c r="A564" s="1">
        <v>45078</v>
      </c>
      <c r="B564">
        <v>6</v>
      </c>
      <c r="C564" t="s">
        <v>40</v>
      </c>
      <c r="D564" t="s">
        <v>41</v>
      </c>
      <c r="E564">
        <v>2023</v>
      </c>
      <c r="F564" t="s">
        <v>28</v>
      </c>
      <c r="G564" t="s">
        <v>14</v>
      </c>
      <c r="H564" t="s">
        <v>18</v>
      </c>
      <c r="I564" t="s">
        <v>29</v>
      </c>
      <c r="J564">
        <v>53034.15</v>
      </c>
      <c r="K564">
        <v>54273.95</v>
      </c>
      <c r="L564" s="20">
        <f>tbl_Budget[[#This Row],[Actual]]-tbl_Budget[[#This Row],[Budget]]</f>
        <v>1239.7999999999956</v>
      </c>
      <c r="M564" s="3">
        <f>tbl_Budget[[#This Row],[Variance]]/tbl_Budget[[#This Row],[Budget]]</f>
        <v>2.3377389851633252E-2</v>
      </c>
      <c r="N564" t="str">
        <f>IF(tbl_Budget[[#This Row],[Variance_%]]&gt;0.05,"Overspend",IF(tbl_Budget[[#This Row],[Variance_%]]&lt;-0.05,"Underspend","On Budget"))</f>
        <v>On Budget</v>
      </c>
    </row>
    <row r="565" spans="1:14" hidden="1">
      <c r="A565" s="1">
        <v>45078</v>
      </c>
      <c r="B565">
        <v>6</v>
      </c>
      <c r="C565" t="s">
        <v>40</v>
      </c>
      <c r="D565" t="s">
        <v>41</v>
      </c>
      <c r="E565">
        <v>2023</v>
      </c>
      <c r="F565" t="s">
        <v>28</v>
      </c>
      <c r="G565" t="s">
        <v>14</v>
      </c>
      <c r="H565" t="s">
        <v>19</v>
      </c>
      <c r="I565" t="s">
        <v>29</v>
      </c>
      <c r="J565">
        <v>56379.66</v>
      </c>
      <c r="K565">
        <v>63201.16</v>
      </c>
      <c r="L565" s="20">
        <f>tbl_Budget[[#This Row],[Actual]]-tbl_Budget[[#This Row],[Budget]]</f>
        <v>6821.5</v>
      </c>
      <c r="M565" s="3">
        <f>tbl_Budget[[#This Row],[Variance]]/tbl_Budget[[#This Row],[Budget]]</f>
        <v>0.12099221598711307</v>
      </c>
      <c r="N565" t="str">
        <f>IF(tbl_Budget[[#This Row],[Variance_%]]&gt;0.05,"Overspend",IF(tbl_Budget[[#This Row],[Variance_%]]&lt;-0.05,"Underspend","On Budget"))</f>
        <v>Overspend</v>
      </c>
    </row>
    <row r="566" spans="1:14" hidden="1">
      <c r="A566" s="1">
        <v>45078</v>
      </c>
      <c r="B566">
        <v>6</v>
      </c>
      <c r="C566" t="s">
        <v>40</v>
      </c>
      <c r="D566" t="s">
        <v>41</v>
      </c>
      <c r="E566">
        <v>2023</v>
      </c>
      <c r="F566" t="s">
        <v>28</v>
      </c>
      <c r="G566" t="s">
        <v>20</v>
      </c>
      <c r="H566" t="s">
        <v>15</v>
      </c>
      <c r="I566" t="s">
        <v>29</v>
      </c>
      <c r="J566">
        <v>20489.82</v>
      </c>
      <c r="K566">
        <v>22530.35</v>
      </c>
      <c r="L566" s="20">
        <f>tbl_Budget[[#This Row],[Actual]]-tbl_Budget[[#This Row],[Budget]]</f>
        <v>2040.5299999999988</v>
      </c>
      <c r="M566" s="3">
        <f>tbl_Budget[[#This Row],[Variance]]/tbl_Budget[[#This Row],[Budget]]</f>
        <v>9.9587502476839659E-2</v>
      </c>
      <c r="N566" t="str">
        <f>IF(tbl_Budget[[#This Row],[Variance_%]]&gt;0.05,"Overspend",IF(tbl_Budget[[#This Row],[Variance_%]]&lt;-0.05,"Underspend","On Budget"))</f>
        <v>Overspend</v>
      </c>
    </row>
    <row r="567" spans="1:14" hidden="1">
      <c r="A567" s="1">
        <v>45078</v>
      </c>
      <c r="B567">
        <v>6</v>
      </c>
      <c r="C567" t="s">
        <v>40</v>
      </c>
      <c r="D567" t="s">
        <v>41</v>
      </c>
      <c r="E567">
        <v>2023</v>
      </c>
      <c r="F567" t="s">
        <v>28</v>
      </c>
      <c r="G567" t="s">
        <v>20</v>
      </c>
      <c r="H567" t="s">
        <v>17</v>
      </c>
      <c r="I567" t="s">
        <v>29</v>
      </c>
      <c r="J567">
        <v>19823.43</v>
      </c>
      <c r="K567">
        <v>18351.82</v>
      </c>
      <c r="L567" s="20">
        <f>tbl_Budget[[#This Row],[Actual]]-tbl_Budget[[#This Row],[Budget]]</f>
        <v>-1471.6100000000006</v>
      </c>
      <c r="M567" s="3">
        <f>tbl_Budget[[#This Row],[Variance]]/tbl_Budget[[#This Row],[Budget]]</f>
        <v>-7.4235891568714421E-2</v>
      </c>
      <c r="N567" t="str">
        <f>IF(tbl_Budget[[#This Row],[Variance_%]]&gt;0.05,"Overspend",IF(tbl_Budget[[#This Row],[Variance_%]]&lt;-0.05,"Underspend","On Budget"))</f>
        <v>Underspend</v>
      </c>
    </row>
    <row r="568" spans="1:14" hidden="1">
      <c r="A568" s="1">
        <v>45078</v>
      </c>
      <c r="B568">
        <v>6</v>
      </c>
      <c r="C568" t="s">
        <v>40</v>
      </c>
      <c r="D568" t="s">
        <v>41</v>
      </c>
      <c r="E568">
        <v>2023</v>
      </c>
      <c r="F568" t="s">
        <v>28</v>
      </c>
      <c r="G568" t="s">
        <v>20</v>
      </c>
      <c r="H568" t="s">
        <v>18</v>
      </c>
      <c r="I568" t="s">
        <v>29</v>
      </c>
      <c r="J568">
        <v>20758.28</v>
      </c>
      <c r="K568">
        <v>22836.29</v>
      </c>
      <c r="L568" s="20">
        <f>tbl_Budget[[#This Row],[Actual]]-tbl_Budget[[#This Row],[Budget]]</f>
        <v>2078.010000000002</v>
      </c>
      <c r="M568" s="3">
        <f>tbl_Budget[[#This Row],[Variance]]/tbl_Budget[[#This Row],[Budget]]</f>
        <v>0.1001051146819487</v>
      </c>
      <c r="N568" t="str">
        <f>IF(tbl_Budget[[#This Row],[Variance_%]]&gt;0.05,"Overspend",IF(tbl_Budget[[#This Row],[Variance_%]]&lt;-0.05,"Underspend","On Budget"))</f>
        <v>Overspend</v>
      </c>
    </row>
    <row r="569" spans="1:14" hidden="1">
      <c r="A569" s="1">
        <v>45078</v>
      </c>
      <c r="B569">
        <v>6</v>
      </c>
      <c r="C569" t="s">
        <v>40</v>
      </c>
      <c r="D569" t="s">
        <v>41</v>
      </c>
      <c r="E569">
        <v>2023</v>
      </c>
      <c r="F569" t="s">
        <v>28</v>
      </c>
      <c r="G569" t="s">
        <v>20</v>
      </c>
      <c r="H569" t="s">
        <v>19</v>
      </c>
      <c r="I569" t="s">
        <v>29</v>
      </c>
      <c r="J569">
        <v>22241.91</v>
      </c>
      <c r="K569">
        <v>21693.54</v>
      </c>
      <c r="L569" s="20">
        <f>tbl_Budget[[#This Row],[Actual]]-tbl_Budget[[#This Row],[Budget]]</f>
        <v>-548.36999999999898</v>
      </c>
      <c r="M569" s="3">
        <f>tbl_Budget[[#This Row],[Variance]]/tbl_Budget[[#This Row],[Budget]]</f>
        <v>-2.4654807073673034E-2</v>
      </c>
      <c r="N569" t="str">
        <f>IF(tbl_Budget[[#This Row],[Variance_%]]&gt;0.05,"Overspend",IF(tbl_Budget[[#This Row],[Variance_%]]&lt;-0.05,"Underspend","On Budget"))</f>
        <v>On Budget</v>
      </c>
    </row>
    <row r="570" spans="1:14">
      <c r="A570" s="1">
        <v>45078</v>
      </c>
      <c r="B570">
        <v>6</v>
      </c>
      <c r="C570" t="s">
        <v>40</v>
      </c>
      <c r="D570" t="s">
        <v>41</v>
      </c>
      <c r="E570">
        <v>2023</v>
      </c>
      <c r="F570" t="s">
        <v>28</v>
      </c>
      <c r="G570" t="s">
        <v>21</v>
      </c>
      <c r="H570" t="s">
        <v>15</v>
      </c>
      <c r="I570" t="s">
        <v>29</v>
      </c>
      <c r="J570">
        <v>11685.07</v>
      </c>
      <c r="K570">
        <v>13626.78</v>
      </c>
      <c r="L570" s="20">
        <f>tbl_Budget[[#This Row],[Actual]]-tbl_Budget[[#This Row],[Budget]]</f>
        <v>1941.7100000000009</v>
      </c>
      <c r="M570" s="3">
        <f>tbl_Budget[[#This Row],[Variance]]/tbl_Budget[[#This Row],[Budget]]</f>
        <v>0.16617016414963717</v>
      </c>
      <c r="N570" t="str">
        <f>IF(tbl_Budget[[#This Row],[Variance_%]]&gt;0.05,"Overspend",IF(tbl_Budget[[#This Row],[Variance_%]]&lt;-0.05,"Underspend","On Budget"))</f>
        <v>Overspend</v>
      </c>
    </row>
    <row r="571" spans="1:14">
      <c r="A571" s="1">
        <v>45078</v>
      </c>
      <c r="B571">
        <v>6</v>
      </c>
      <c r="C571" t="s">
        <v>40</v>
      </c>
      <c r="D571" t="s">
        <v>41</v>
      </c>
      <c r="E571">
        <v>2023</v>
      </c>
      <c r="F571" t="s">
        <v>28</v>
      </c>
      <c r="G571" t="s">
        <v>21</v>
      </c>
      <c r="H571" t="s">
        <v>17</v>
      </c>
      <c r="I571" t="s">
        <v>29</v>
      </c>
      <c r="J571">
        <v>11076.71</v>
      </c>
      <c r="K571">
        <v>12574.81</v>
      </c>
      <c r="L571" s="20">
        <f>tbl_Budget[[#This Row],[Actual]]-tbl_Budget[[#This Row],[Budget]]</f>
        <v>1498.1000000000004</v>
      </c>
      <c r="M571" s="3">
        <f>tbl_Budget[[#This Row],[Variance]]/tbl_Budget[[#This Row],[Budget]]</f>
        <v>0.13524774052945329</v>
      </c>
      <c r="N571" t="str">
        <f>IF(tbl_Budget[[#This Row],[Variance_%]]&gt;0.05,"Overspend",IF(tbl_Budget[[#This Row],[Variance_%]]&lt;-0.05,"Underspend","On Budget"))</f>
        <v>Overspend</v>
      </c>
    </row>
    <row r="572" spans="1:14">
      <c r="A572" s="1">
        <v>45078</v>
      </c>
      <c r="B572">
        <v>6</v>
      </c>
      <c r="C572" t="s">
        <v>40</v>
      </c>
      <c r="D572" t="s">
        <v>41</v>
      </c>
      <c r="E572">
        <v>2023</v>
      </c>
      <c r="F572" t="s">
        <v>28</v>
      </c>
      <c r="G572" t="s">
        <v>21</v>
      </c>
      <c r="H572" t="s">
        <v>18</v>
      </c>
      <c r="I572" t="s">
        <v>29</v>
      </c>
      <c r="J572">
        <v>11558.7</v>
      </c>
      <c r="K572">
        <v>11465.33</v>
      </c>
      <c r="L572" s="20">
        <f>tbl_Budget[[#This Row],[Actual]]-tbl_Budget[[#This Row],[Budget]]</f>
        <v>-93.3700000000008</v>
      </c>
      <c r="M572" s="3">
        <f>tbl_Budget[[#This Row],[Variance]]/tbl_Budget[[#This Row],[Budget]]</f>
        <v>-8.0778980335159487E-3</v>
      </c>
      <c r="N572" t="str">
        <f>IF(tbl_Budget[[#This Row],[Variance_%]]&gt;0.05,"Overspend",IF(tbl_Budget[[#This Row],[Variance_%]]&lt;-0.05,"Underspend","On Budget"))</f>
        <v>On Budget</v>
      </c>
    </row>
    <row r="573" spans="1:14">
      <c r="A573" s="1">
        <v>45078</v>
      </c>
      <c r="B573">
        <v>6</v>
      </c>
      <c r="C573" t="s">
        <v>40</v>
      </c>
      <c r="D573" t="s">
        <v>41</v>
      </c>
      <c r="E573">
        <v>2023</v>
      </c>
      <c r="F573" t="s">
        <v>28</v>
      </c>
      <c r="G573" t="s">
        <v>21</v>
      </c>
      <c r="H573" t="s">
        <v>19</v>
      </c>
      <c r="I573" t="s">
        <v>29</v>
      </c>
      <c r="J573">
        <v>12437.65</v>
      </c>
      <c r="K573">
        <v>11959.93</v>
      </c>
      <c r="L573" s="20">
        <f>tbl_Budget[[#This Row],[Actual]]-tbl_Budget[[#This Row],[Budget]]</f>
        <v>-477.71999999999935</v>
      </c>
      <c r="M573" s="3">
        <f>tbl_Budget[[#This Row],[Variance]]/tbl_Budget[[#This Row],[Budget]]</f>
        <v>-3.840918501485404E-2</v>
      </c>
      <c r="N573" t="str">
        <f>IF(tbl_Budget[[#This Row],[Variance_%]]&gt;0.05,"Overspend",IF(tbl_Budget[[#This Row],[Variance_%]]&lt;-0.05,"Underspend","On Budget"))</f>
        <v>On Budget</v>
      </c>
    </row>
    <row r="574" spans="1:14" hidden="1">
      <c r="A574" s="1">
        <v>45078</v>
      </c>
      <c r="B574">
        <v>6</v>
      </c>
      <c r="C574" t="s">
        <v>40</v>
      </c>
      <c r="D574" t="s">
        <v>41</v>
      </c>
      <c r="E574">
        <v>2023</v>
      </c>
      <c r="F574" t="s">
        <v>28</v>
      </c>
      <c r="G574" t="s">
        <v>22</v>
      </c>
      <c r="H574" t="s">
        <v>15</v>
      </c>
      <c r="I574" t="s">
        <v>29</v>
      </c>
      <c r="J574">
        <v>12168.26</v>
      </c>
      <c r="K574">
        <v>12866.44</v>
      </c>
      <c r="L574" s="20">
        <f>tbl_Budget[[#This Row],[Actual]]-tbl_Budget[[#This Row],[Budget]]</f>
        <v>698.18000000000029</v>
      </c>
      <c r="M574" s="3">
        <f>tbl_Budget[[#This Row],[Variance]]/tbl_Budget[[#This Row],[Budget]]</f>
        <v>5.7377143486414678E-2</v>
      </c>
      <c r="N574" t="str">
        <f>IF(tbl_Budget[[#This Row],[Variance_%]]&gt;0.05,"Overspend",IF(tbl_Budget[[#This Row],[Variance_%]]&lt;-0.05,"Underspend","On Budget"))</f>
        <v>Overspend</v>
      </c>
    </row>
    <row r="575" spans="1:14" hidden="1">
      <c r="A575" s="1">
        <v>45078</v>
      </c>
      <c r="B575">
        <v>6</v>
      </c>
      <c r="C575" t="s">
        <v>40</v>
      </c>
      <c r="D575" t="s">
        <v>41</v>
      </c>
      <c r="E575">
        <v>2023</v>
      </c>
      <c r="F575" t="s">
        <v>28</v>
      </c>
      <c r="G575" t="s">
        <v>22</v>
      </c>
      <c r="H575" t="s">
        <v>17</v>
      </c>
      <c r="I575" t="s">
        <v>29</v>
      </c>
      <c r="J575">
        <v>11923.23</v>
      </c>
      <c r="K575">
        <v>10289.36</v>
      </c>
      <c r="L575" s="20">
        <f>tbl_Budget[[#This Row],[Actual]]-tbl_Budget[[#This Row],[Budget]]</f>
        <v>-1633.869999999999</v>
      </c>
      <c r="M575" s="3">
        <f>tbl_Budget[[#This Row],[Variance]]/tbl_Budget[[#This Row],[Budget]]</f>
        <v>-0.1370324987440483</v>
      </c>
      <c r="N575" t="str">
        <f>IF(tbl_Budget[[#This Row],[Variance_%]]&gt;0.05,"Overspend",IF(tbl_Budget[[#This Row],[Variance_%]]&lt;-0.05,"Underspend","On Budget"))</f>
        <v>Underspend</v>
      </c>
    </row>
    <row r="576" spans="1:14" hidden="1">
      <c r="A576" s="1">
        <v>45078</v>
      </c>
      <c r="B576">
        <v>6</v>
      </c>
      <c r="C576" t="s">
        <v>40</v>
      </c>
      <c r="D576" t="s">
        <v>41</v>
      </c>
      <c r="E576">
        <v>2023</v>
      </c>
      <c r="F576" t="s">
        <v>28</v>
      </c>
      <c r="G576" t="s">
        <v>22</v>
      </c>
      <c r="H576" t="s">
        <v>18</v>
      </c>
      <c r="I576" t="s">
        <v>29</v>
      </c>
      <c r="J576">
        <v>12082.32</v>
      </c>
      <c r="K576">
        <v>12568.46</v>
      </c>
      <c r="L576" s="20">
        <f>tbl_Budget[[#This Row],[Actual]]-tbl_Budget[[#This Row],[Budget]]</f>
        <v>486.13999999999942</v>
      </c>
      <c r="M576" s="3">
        <f>tbl_Budget[[#This Row],[Variance]]/tbl_Budget[[#This Row],[Budget]]</f>
        <v>4.0235650106933057E-2</v>
      </c>
      <c r="N576" t="str">
        <f>IF(tbl_Budget[[#This Row],[Variance_%]]&gt;0.05,"Overspend",IF(tbl_Budget[[#This Row],[Variance_%]]&lt;-0.05,"Underspend","On Budget"))</f>
        <v>On Budget</v>
      </c>
    </row>
    <row r="577" spans="1:14" hidden="1">
      <c r="A577" s="1">
        <v>45078</v>
      </c>
      <c r="B577">
        <v>6</v>
      </c>
      <c r="C577" t="s">
        <v>40</v>
      </c>
      <c r="D577" t="s">
        <v>41</v>
      </c>
      <c r="E577">
        <v>2023</v>
      </c>
      <c r="F577" t="s">
        <v>28</v>
      </c>
      <c r="G577" t="s">
        <v>22</v>
      </c>
      <c r="H577" t="s">
        <v>19</v>
      </c>
      <c r="I577" t="s">
        <v>29</v>
      </c>
      <c r="J577">
        <v>12425.08</v>
      </c>
      <c r="K577">
        <v>12158.46</v>
      </c>
      <c r="L577" s="20">
        <f>tbl_Budget[[#This Row],[Actual]]-tbl_Budget[[#This Row],[Budget]]</f>
        <v>-266.6200000000008</v>
      </c>
      <c r="M577" s="3">
        <f>tbl_Budget[[#This Row],[Variance]]/tbl_Budget[[#This Row],[Budget]]</f>
        <v>-2.1458211939078122E-2</v>
      </c>
      <c r="N577" t="str">
        <f>IF(tbl_Budget[[#This Row],[Variance_%]]&gt;0.05,"Overspend",IF(tbl_Budget[[#This Row],[Variance_%]]&lt;-0.05,"Underspend","On Budget"))</f>
        <v>On Budget</v>
      </c>
    </row>
    <row r="578" spans="1:14" hidden="1">
      <c r="A578" s="1">
        <v>45078</v>
      </c>
      <c r="B578">
        <v>6</v>
      </c>
      <c r="C578" t="s">
        <v>40</v>
      </c>
      <c r="D578" t="s">
        <v>41</v>
      </c>
      <c r="E578">
        <v>2023</v>
      </c>
      <c r="F578" t="s">
        <v>28</v>
      </c>
      <c r="G578" t="s">
        <v>23</v>
      </c>
      <c r="H578" t="s">
        <v>15</v>
      </c>
      <c r="I578" t="s">
        <v>29</v>
      </c>
      <c r="J578">
        <v>7582.64</v>
      </c>
      <c r="K578">
        <v>7549.62</v>
      </c>
      <c r="L578" s="20">
        <f>tbl_Budget[[#This Row],[Actual]]-tbl_Budget[[#This Row],[Budget]]</f>
        <v>-33.020000000000437</v>
      </c>
      <c r="M578" s="3">
        <f>tbl_Budget[[#This Row],[Variance]]/tbl_Budget[[#This Row],[Budget]]</f>
        <v>-4.3546838568098226E-3</v>
      </c>
      <c r="N578" t="str">
        <f>IF(tbl_Budget[[#This Row],[Variance_%]]&gt;0.05,"Overspend",IF(tbl_Budget[[#This Row],[Variance_%]]&lt;-0.05,"Underspend","On Budget"))</f>
        <v>On Budget</v>
      </c>
    </row>
    <row r="579" spans="1:14" hidden="1">
      <c r="A579" s="1">
        <v>45078</v>
      </c>
      <c r="B579">
        <v>6</v>
      </c>
      <c r="C579" t="s">
        <v>40</v>
      </c>
      <c r="D579" t="s">
        <v>41</v>
      </c>
      <c r="E579">
        <v>2023</v>
      </c>
      <c r="F579" t="s">
        <v>28</v>
      </c>
      <c r="G579" t="s">
        <v>23</v>
      </c>
      <c r="H579" t="s">
        <v>17</v>
      </c>
      <c r="I579" t="s">
        <v>29</v>
      </c>
      <c r="J579">
        <v>7223.46</v>
      </c>
      <c r="K579">
        <v>7906.61</v>
      </c>
      <c r="L579" s="20">
        <f>tbl_Budget[[#This Row],[Actual]]-tbl_Budget[[#This Row],[Budget]]</f>
        <v>683.14999999999964</v>
      </c>
      <c r="M579" s="3">
        <f>tbl_Budget[[#This Row],[Variance]]/tbl_Budget[[#This Row],[Budget]]</f>
        <v>9.4573791507117033E-2</v>
      </c>
      <c r="N579" t="str">
        <f>IF(tbl_Budget[[#This Row],[Variance_%]]&gt;0.05,"Overspend",IF(tbl_Budget[[#This Row],[Variance_%]]&lt;-0.05,"Underspend","On Budget"))</f>
        <v>Overspend</v>
      </c>
    </row>
    <row r="580" spans="1:14" hidden="1">
      <c r="A580" s="1">
        <v>45078</v>
      </c>
      <c r="B580">
        <v>6</v>
      </c>
      <c r="C580" t="s">
        <v>40</v>
      </c>
      <c r="D580" t="s">
        <v>41</v>
      </c>
      <c r="E580">
        <v>2023</v>
      </c>
      <c r="F580" t="s">
        <v>28</v>
      </c>
      <c r="G580" t="s">
        <v>23</v>
      </c>
      <c r="H580" t="s">
        <v>18</v>
      </c>
      <c r="I580" t="s">
        <v>29</v>
      </c>
      <c r="J580">
        <v>7741.62</v>
      </c>
      <c r="K580">
        <v>8571.66</v>
      </c>
      <c r="L580" s="20">
        <f>tbl_Budget[[#This Row],[Actual]]-tbl_Budget[[#This Row],[Budget]]</f>
        <v>830.04</v>
      </c>
      <c r="M580" s="3">
        <f>tbl_Budget[[#This Row],[Variance]]/tbl_Budget[[#This Row],[Budget]]</f>
        <v>0.10721786912816697</v>
      </c>
      <c r="N580" t="str">
        <f>IF(tbl_Budget[[#This Row],[Variance_%]]&gt;0.05,"Overspend",IF(tbl_Budget[[#This Row],[Variance_%]]&lt;-0.05,"Underspend","On Budget"))</f>
        <v>Overspend</v>
      </c>
    </row>
    <row r="581" spans="1:14" hidden="1">
      <c r="A581" s="1">
        <v>45078</v>
      </c>
      <c r="B581">
        <v>6</v>
      </c>
      <c r="C581" t="s">
        <v>40</v>
      </c>
      <c r="D581" t="s">
        <v>41</v>
      </c>
      <c r="E581">
        <v>2023</v>
      </c>
      <c r="F581" t="s">
        <v>28</v>
      </c>
      <c r="G581" t="s">
        <v>23</v>
      </c>
      <c r="H581" t="s">
        <v>19</v>
      </c>
      <c r="I581" t="s">
        <v>29</v>
      </c>
      <c r="J581">
        <v>7967.1</v>
      </c>
      <c r="K581">
        <v>8252.06</v>
      </c>
      <c r="L581" s="20">
        <f>tbl_Budget[[#This Row],[Actual]]-tbl_Budget[[#This Row],[Budget]]</f>
        <v>284.95999999999913</v>
      </c>
      <c r="M581" s="3">
        <f>tbl_Budget[[#This Row],[Variance]]/tbl_Budget[[#This Row],[Budget]]</f>
        <v>3.5767092166534765E-2</v>
      </c>
      <c r="N581" t="str">
        <f>IF(tbl_Budget[[#This Row],[Variance_%]]&gt;0.05,"Overspend",IF(tbl_Budget[[#This Row],[Variance_%]]&lt;-0.05,"Underspend","On Budget"))</f>
        <v>On Budget</v>
      </c>
    </row>
    <row r="582" spans="1:14" hidden="1">
      <c r="A582" s="1">
        <v>45078</v>
      </c>
      <c r="B582">
        <v>6</v>
      </c>
      <c r="C582" t="s">
        <v>40</v>
      </c>
      <c r="D582" t="s">
        <v>41</v>
      </c>
      <c r="E582">
        <v>2023</v>
      </c>
      <c r="F582" t="s">
        <v>30</v>
      </c>
      <c r="G582" t="s">
        <v>14</v>
      </c>
      <c r="H582" t="s">
        <v>15</v>
      </c>
      <c r="I582" t="s">
        <v>31</v>
      </c>
      <c r="J582">
        <v>43025.94</v>
      </c>
      <c r="K582">
        <v>41471.54</v>
      </c>
      <c r="L582" s="20">
        <f>tbl_Budget[[#This Row],[Actual]]-tbl_Budget[[#This Row],[Budget]]</f>
        <v>-1554.4000000000015</v>
      </c>
      <c r="M582" s="3">
        <f>tbl_Budget[[#This Row],[Variance]]/tbl_Budget[[#This Row],[Budget]]</f>
        <v>-3.6127043360354272E-2</v>
      </c>
      <c r="N582" t="str">
        <f>IF(tbl_Budget[[#This Row],[Variance_%]]&gt;0.05,"Overspend",IF(tbl_Budget[[#This Row],[Variance_%]]&lt;-0.05,"Underspend","On Budget"))</f>
        <v>On Budget</v>
      </c>
    </row>
    <row r="583" spans="1:14" hidden="1">
      <c r="A583" s="1">
        <v>45078</v>
      </c>
      <c r="B583">
        <v>6</v>
      </c>
      <c r="C583" t="s">
        <v>40</v>
      </c>
      <c r="D583" t="s">
        <v>41</v>
      </c>
      <c r="E583">
        <v>2023</v>
      </c>
      <c r="F583" t="s">
        <v>30</v>
      </c>
      <c r="G583" t="s">
        <v>14</v>
      </c>
      <c r="H583" t="s">
        <v>17</v>
      </c>
      <c r="I583" t="s">
        <v>31</v>
      </c>
      <c r="J583">
        <v>42715.27</v>
      </c>
      <c r="K583">
        <v>43730.6</v>
      </c>
      <c r="L583" s="20">
        <f>tbl_Budget[[#This Row],[Actual]]-tbl_Budget[[#This Row],[Budget]]</f>
        <v>1015.3300000000017</v>
      </c>
      <c r="M583" s="3">
        <f>tbl_Budget[[#This Row],[Variance]]/tbl_Budget[[#This Row],[Budget]]</f>
        <v>2.3769719821506496E-2</v>
      </c>
      <c r="N583" t="str">
        <f>IF(tbl_Budget[[#This Row],[Variance_%]]&gt;0.05,"Overspend",IF(tbl_Budget[[#This Row],[Variance_%]]&lt;-0.05,"Underspend","On Budget"))</f>
        <v>On Budget</v>
      </c>
    </row>
    <row r="584" spans="1:14" hidden="1">
      <c r="A584" s="1">
        <v>45078</v>
      </c>
      <c r="B584">
        <v>6</v>
      </c>
      <c r="C584" t="s">
        <v>40</v>
      </c>
      <c r="D584" t="s">
        <v>41</v>
      </c>
      <c r="E584">
        <v>2023</v>
      </c>
      <c r="F584" t="s">
        <v>30</v>
      </c>
      <c r="G584" t="s">
        <v>14</v>
      </c>
      <c r="H584" t="s">
        <v>18</v>
      </c>
      <c r="I584" t="s">
        <v>31</v>
      </c>
      <c r="J584">
        <v>43041.02</v>
      </c>
      <c r="K584">
        <v>43156.480000000003</v>
      </c>
      <c r="L584" s="20">
        <f>tbl_Budget[[#This Row],[Actual]]-tbl_Budget[[#This Row],[Budget]]</f>
        <v>115.4600000000064</v>
      </c>
      <c r="M584" s="3">
        <f>tbl_Budget[[#This Row],[Variance]]/tbl_Budget[[#This Row],[Budget]]</f>
        <v>2.6825572442290262E-3</v>
      </c>
      <c r="N584" t="str">
        <f>IF(tbl_Budget[[#This Row],[Variance_%]]&gt;0.05,"Overspend",IF(tbl_Budget[[#This Row],[Variance_%]]&lt;-0.05,"Underspend","On Budget"))</f>
        <v>On Budget</v>
      </c>
    </row>
    <row r="585" spans="1:14" hidden="1">
      <c r="A585" s="1">
        <v>45078</v>
      </c>
      <c r="B585">
        <v>6</v>
      </c>
      <c r="C585" t="s">
        <v>40</v>
      </c>
      <c r="D585" t="s">
        <v>41</v>
      </c>
      <c r="E585">
        <v>2023</v>
      </c>
      <c r="F585" t="s">
        <v>30</v>
      </c>
      <c r="G585" t="s">
        <v>14</v>
      </c>
      <c r="H585" t="s">
        <v>19</v>
      </c>
      <c r="I585" t="s">
        <v>31</v>
      </c>
      <c r="J585">
        <v>45251.96</v>
      </c>
      <c r="K585">
        <v>45613.56</v>
      </c>
      <c r="L585" s="20">
        <f>tbl_Budget[[#This Row],[Actual]]-tbl_Budget[[#This Row],[Budget]]</f>
        <v>361.59999999999854</v>
      </c>
      <c r="M585" s="3">
        <f>tbl_Budget[[#This Row],[Variance]]/tbl_Budget[[#This Row],[Budget]]</f>
        <v>7.9908140995439431E-3</v>
      </c>
      <c r="N585" t="str">
        <f>IF(tbl_Budget[[#This Row],[Variance_%]]&gt;0.05,"Overspend",IF(tbl_Budget[[#This Row],[Variance_%]]&lt;-0.05,"Underspend","On Budget"))</f>
        <v>On Budget</v>
      </c>
    </row>
    <row r="586" spans="1:14" hidden="1">
      <c r="A586" s="1">
        <v>45078</v>
      </c>
      <c r="B586">
        <v>6</v>
      </c>
      <c r="C586" t="s">
        <v>40</v>
      </c>
      <c r="D586" t="s">
        <v>41</v>
      </c>
      <c r="E586">
        <v>2023</v>
      </c>
      <c r="F586" t="s">
        <v>30</v>
      </c>
      <c r="G586" t="s">
        <v>20</v>
      </c>
      <c r="H586" t="s">
        <v>15</v>
      </c>
      <c r="I586" t="s">
        <v>31</v>
      </c>
      <c r="J586">
        <v>17032.349999999999</v>
      </c>
      <c r="K586">
        <v>17510.490000000002</v>
      </c>
      <c r="L586" s="20">
        <f>tbl_Budget[[#This Row],[Actual]]-tbl_Budget[[#This Row],[Budget]]</f>
        <v>478.14000000000306</v>
      </c>
      <c r="M586" s="3">
        <f>tbl_Budget[[#This Row],[Variance]]/tbl_Budget[[#This Row],[Budget]]</f>
        <v>2.8072462108869479E-2</v>
      </c>
      <c r="N586" t="str">
        <f>IF(tbl_Budget[[#This Row],[Variance_%]]&gt;0.05,"Overspend",IF(tbl_Budget[[#This Row],[Variance_%]]&lt;-0.05,"Underspend","On Budget"))</f>
        <v>On Budget</v>
      </c>
    </row>
    <row r="587" spans="1:14" hidden="1">
      <c r="A587" s="1">
        <v>45078</v>
      </c>
      <c r="B587">
        <v>6</v>
      </c>
      <c r="C587" t="s">
        <v>40</v>
      </c>
      <c r="D587" t="s">
        <v>41</v>
      </c>
      <c r="E587">
        <v>2023</v>
      </c>
      <c r="F587" t="s">
        <v>30</v>
      </c>
      <c r="G587" t="s">
        <v>20</v>
      </c>
      <c r="H587" t="s">
        <v>17</v>
      </c>
      <c r="I587" t="s">
        <v>31</v>
      </c>
      <c r="J587">
        <v>15911.5</v>
      </c>
      <c r="K587">
        <v>15485.24</v>
      </c>
      <c r="L587" s="20">
        <f>tbl_Budget[[#This Row],[Actual]]-tbl_Budget[[#This Row],[Budget]]</f>
        <v>-426.26000000000022</v>
      </c>
      <c r="M587" s="3">
        <f>tbl_Budget[[#This Row],[Variance]]/tbl_Budget[[#This Row],[Budget]]</f>
        <v>-2.678942902931843E-2</v>
      </c>
      <c r="N587" t="str">
        <f>IF(tbl_Budget[[#This Row],[Variance_%]]&gt;0.05,"Overspend",IF(tbl_Budget[[#This Row],[Variance_%]]&lt;-0.05,"Underspend","On Budget"))</f>
        <v>On Budget</v>
      </c>
    </row>
    <row r="588" spans="1:14" hidden="1">
      <c r="A588" s="1">
        <v>45078</v>
      </c>
      <c r="B588">
        <v>6</v>
      </c>
      <c r="C588" t="s">
        <v>40</v>
      </c>
      <c r="D588" t="s">
        <v>41</v>
      </c>
      <c r="E588">
        <v>2023</v>
      </c>
      <c r="F588" t="s">
        <v>30</v>
      </c>
      <c r="G588" t="s">
        <v>20</v>
      </c>
      <c r="H588" t="s">
        <v>18</v>
      </c>
      <c r="I588" t="s">
        <v>31</v>
      </c>
      <c r="J588">
        <v>16550.64</v>
      </c>
      <c r="K588">
        <v>17191.009999999998</v>
      </c>
      <c r="L588" s="20">
        <f>tbl_Budget[[#This Row],[Actual]]-tbl_Budget[[#This Row],[Budget]]</f>
        <v>640.36999999999898</v>
      </c>
      <c r="M588" s="3">
        <f>tbl_Budget[[#This Row],[Variance]]/tbl_Budget[[#This Row],[Budget]]</f>
        <v>3.8691555130194302E-2</v>
      </c>
      <c r="N588" t="str">
        <f>IF(tbl_Budget[[#This Row],[Variance_%]]&gt;0.05,"Overspend",IF(tbl_Budget[[#This Row],[Variance_%]]&lt;-0.05,"Underspend","On Budget"))</f>
        <v>On Budget</v>
      </c>
    </row>
    <row r="589" spans="1:14" hidden="1">
      <c r="A589" s="1">
        <v>45078</v>
      </c>
      <c r="B589">
        <v>6</v>
      </c>
      <c r="C589" t="s">
        <v>40</v>
      </c>
      <c r="D589" t="s">
        <v>41</v>
      </c>
      <c r="E589">
        <v>2023</v>
      </c>
      <c r="F589" t="s">
        <v>30</v>
      </c>
      <c r="G589" t="s">
        <v>20</v>
      </c>
      <c r="H589" t="s">
        <v>19</v>
      </c>
      <c r="I589" t="s">
        <v>31</v>
      </c>
      <c r="J589">
        <v>16947.939999999999</v>
      </c>
      <c r="K589">
        <v>16324.49</v>
      </c>
      <c r="L589" s="20">
        <f>tbl_Budget[[#This Row],[Actual]]-tbl_Budget[[#This Row],[Budget]]</f>
        <v>-623.44999999999891</v>
      </c>
      <c r="M589" s="3">
        <f>tbl_Budget[[#This Row],[Variance]]/tbl_Budget[[#This Row],[Budget]]</f>
        <v>-3.6786181683437572E-2</v>
      </c>
      <c r="N589" t="str">
        <f>IF(tbl_Budget[[#This Row],[Variance_%]]&gt;0.05,"Overspend",IF(tbl_Budget[[#This Row],[Variance_%]]&lt;-0.05,"Underspend","On Budget"))</f>
        <v>On Budget</v>
      </c>
    </row>
    <row r="590" spans="1:14">
      <c r="A590" s="1">
        <v>45078</v>
      </c>
      <c r="B590">
        <v>6</v>
      </c>
      <c r="C590" t="s">
        <v>40</v>
      </c>
      <c r="D590" t="s">
        <v>41</v>
      </c>
      <c r="E590">
        <v>2023</v>
      </c>
      <c r="F590" t="s">
        <v>30</v>
      </c>
      <c r="G590" t="s">
        <v>21</v>
      </c>
      <c r="H590" t="s">
        <v>15</v>
      </c>
      <c r="I590" t="s">
        <v>31</v>
      </c>
      <c r="J590">
        <v>6861.97</v>
      </c>
      <c r="K590">
        <v>6632.14</v>
      </c>
      <c r="L590" s="20">
        <f>tbl_Budget[[#This Row],[Actual]]-tbl_Budget[[#This Row],[Budget]]</f>
        <v>-229.82999999999993</v>
      </c>
      <c r="M590" s="3">
        <f>tbl_Budget[[#This Row],[Variance]]/tbl_Budget[[#This Row],[Budget]]</f>
        <v>-3.3493297114385506E-2</v>
      </c>
      <c r="N590" t="str">
        <f>IF(tbl_Budget[[#This Row],[Variance_%]]&gt;0.05,"Overspend",IF(tbl_Budget[[#This Row],[Variance_%]]&lt;-0.05,"Underspend","On Budget"))</f>
        <v>On Budget</v>
      </c>
    </row>
    <row r="591" spans="1:14">
      <c r="A591" s="1">
        <v>45078</v>
      </c>
      <c r="B591">
        <v>6</v>
      </c>
      <c r="C591" t="s">
        <v>40</v>
      </c>
      <c r="D591" t="s">
        <v>41</v>
      </c>
      <c r="E591">
        <v>2023</v>
      </c>
      <c r="F591" t="s">
        <v>30</v>
      </c>
      <c r="G591" t="s">
        <v>21</v>
      </c>
      <c r="H591" t="s">
        <v>17</v>
      </c>
      <c r="I591" t="s">
        <v>31</v>
      </c>
      <c r="J591">
        <v>6510.4</v>
      </c>
      <c r="K591">
        <v>6312.22</v>
      </c>
      <c r="L591" s="20">
        <f>tbl_Budget[[#This Row],[Actual]]-tbl_Budget[[#This Row],[Budget]]</f>
        <v>-198.17999999999938</v>
      </c>
      <c r="M591" s="3">
        <f>tbl_Budget[[#This Row],[Variance]]/tbl_Budget[[#This Row],[Budget]]</f>
        <v>-3.0440525927746282E-2</v>
      </c>
      <c r="N591" t="str">
        <f>IF(tbl_Budget[[#This Row],[Variance_%]]&gt;0.05,"Overspend",IF(tbl_Budget[[#This Row],[Variance_%]]&lt;-0.05,"Underspend","On Budget"))</f>
        <v>On Budget</v>
      </c>
    </row>
    <row r="592" spans="1:14">
      <c r="A592" s="1">
        <v>45078</v>
      </c>
      <c r="B592">
        <v>6</v>
      </c>
      <c r="C592" t="s">
        <v>40</v>
      </c>
      <c r="D592" t="s">
        <v>41</v>
      </c>
      <c r="E592">
        <v>2023</v>
      </c>
      <c r="F592" t="s">
        <v>30</v>
      </c>
      <c r="G592" t="s">
        <v>21</v>
      </c>
      <c r="H592" t="s">
        <v>18</v>
      </c>
      <c r="I592" t="s">
        <v>31</v>
      </c>
      <c r="J592">
        <v>6850.32</v>
      </c>
      <c r="K592">
        <v>7056.73</v>
      </c>
      <c r="L592" s="20">
        <f>tbl_Budget[[#This Row],[Actual]]-tbl_Budget[[#This Row],[Budget]]</f>
        <v>206.40999999999985</v>
      </c>
      <c r="M592" s="3">
        <f>tbl_Budget[[#This Row],[Variance]]/tbl_Budget[[#This Row],[Budget]]</f>
        <v>3.0131439115252991E-2</v>
      </c>
      <c r="N592" t="str">
        <f>IF(tbl_Budget[[#This Row],[Variance_%]]&gt;0.05,"Overspend",IF(tbl_Budget[[#This Row],[Variance_%]]&lt;-0.05,"Underspend","On Budget"))</f>
        <v>On Budget</v>
      </c>
    </row>
    <row r="593" spans="1:14">
      <c r="A593" s="1">
        <v>45078</v>
      </c>
      <c r="B593">
        <v>6</v>
      </c>
      <c r="C593" t="s">
        <v>40</v>
      </c>
      <c r="D593" t="s">
        <v>41</v>
      </c>
      <c r="E593">
        <v>2023</v>
      </c>
      <c r="F593" t="s">
        <v>30</v>
      </c>
      <c r="G593" t="s">
        <v>21</v>
      </c>
      <c r="H593" t="s">
        <v>19</v>
      </c>
      <c r="I593" t="s">
        <v>31</v>
      </c>
      <c r="J593">
        <v>7462</v>
      </c>
      <c r="K593">
        <v>7568.67</v>
      </c>
      <c r="L593" s="20">
        <f>tbl_Budget[[#This Row],[Actual]]-tbl_Budget[[#This Row],[Budget]]</f>
        <v>106.67000000000007</v>
      </c>
      <c r="M593" s="3">
        <f>tbl_Budget[[#This Row],[Variance]]/tbl_Budget[[#This Row],[Budget]]</f>
        <v>1.4295095148753696E-2</v>
      </c>
      <c r="N593" t="str">
        <f>IF(tbl_Budget[[#This Row],[Variance_%]]&gt;0.05,"Overspend",IF(tbl_Budget[[#This Row],[Variance_%]]&lt;-0.05,"Underspend","On Budget"))</f>
        <v>On Budget</v>
      </c>
    </row>
    <row r="594" spans="1:14" hidden="1">
      <c r="A594" s="1">
        <v>45078</v>
      </c>
      <c r="B594">
        <v>6</v>
      </c>
      <c r="C594" t="s">
        <v>40</v>
      </c>
      <c r="D594" t="s">
        <v>41</v>
      </c>
      <c r="E594">
        <v>2023</v>
      </c>
      <c r="F594" t="s">
        <v>30</v>
      </c>
      <c r="G594" t="s">
        <v>22</v>
      </c>
      <c r="H594" t="s">
        <v>15</v>
      </c>
      <c r="I594" t="s">
        <v>31</v>
      </c>
      <c r="J594">
        <v>7375.06</v>
      </c>
      <c r="K594">
        <v>7313.68</v>
      </c>
      <c r="L594" s="20">
        <f>tbl_Budget[[#This Row],[Actual]]-tbl_Budget[[#This Row],[Budget]]</f>
        <v>-61.380000000000109</v>
      </c>
      <c r="M594" s="3">
        <f>tbl_Budget[[#This Row],[Variance]]/tbl_Budget[[#This Row],[Budget]]</f>
        <v>-8.3226441547594333E-3</v>
      </c>
      <c r="N594" t="str">
        <f>IF(tbl_Budget[[#This Row],[Variance_%]]&gt;0.05,"Overspend",IF(tbl_Budget[[#This Row],[Variance_%]]&lt;-0.05,"Underspend","On Budget"))</f>
        <v>On Budget</v>
      </c>
    </row>
    <row r="595" spans="1:14" hidden="1">
      <c r="A595" s="1">
        <v>45078</v>
      </c>
      <c r="B595">
        <v>6</v>
      </c>
      <c r="C595" t="s">
        <v>40</v>
      </c>
      <c r="D595" t="s">
        <v>41</v>
      </c>
      <c r="E595">
        <v>2023</v>
      </c>
      <c r="F595" t="s">
        <v>30</v>
      </c>
      <c r="G595" t="s">
        <v>22</v>
      </c>
      <c r="H595" t="s">
        <v>17</v>
      </c>
      <c r="I595" t="s">
        <v>31</v>
      </c>
      <c r="J595">
        <v>6915.15</v>
      </c>
      <c r="K595">
        <v>6726.41</v>
      </c>
      <c r="L595" s="20">
        <f>tbl_Budget[[#This Row],[Actual]]-tbl_Budget[[#This Row],[Budget]]</f>
        <v>-188.73999999999978</v>
      </c>
      <c r="M595" s="3">
        <f>tbl_Budget[[#This Row],[Variance]]/tbl_Budget[[#This Row],[Budget]]</f>
        <v>-2.7293695726050744E-2</v>
      </c>
      <c r="N595" t="str">
        <f>IF(tbl_Budget[[#This Row],[Variance_%]]&gt;0.05,"Overspend",IF(tbl_Budget[[#This Row],[Variance_%]]&lt;-0.05,"Underspend","On Budget"))</f>
        <v>On Budget</v>
      </c>
    </row>
    <row r="596" spans="1:14" hidden="1">
      <c r="A596" s="1">
        <v>45078</v>
      </c>
      <c r="B596">
        <v>6</v>
      </c>
      <c r="C596" t="s">
        <v>40</v>
      </c>
      <c r="D596" t="s">
        <v>41</v>
      </c>
      <c r="E596">
        <v>2023</v>
      </c>
      <c r="F596" t="s">
        <v>30</v>
      </c>
      <c r="G596" t="s">
        <v>22</v>
      </c>
      <c r="H596" t="s">
        <v>18</v>
      </c>
      <c r="I596" t="s">
        <v>31</v>
      </c>
      <c r="J596">
        <v>6968.49</v>
      </c>
      <c r="K596">
        <v>6692.93</v>
      </c>
      <c r="L596" s="20">
        <f>tbl_Budget[[#This Row],[Actual]]-tbl_Budget[[#This Row],[Budget]]</f>
        <v>-275.55999999999949</v>
      </c>
      <c r="M596" s="3">
        <f>tbl_Budget[[#This Row],[Variance]]/tbl_Budget[[#This Row],[Budget]]</f>
        <v>-3.9543717505514032E-2</v>
      </c>
      <c r="N596" t="str">
        <f>IF(tbl_Budget[[#This Row],[Variance_%]]&gt;0.05,"Overspend",IF(tbl_Budget[[#This Row],[Variance_%]]&lt;-0.05,"Underspend","On Budget"))</f>
        <v>On Budget</v>
      </c>
    </row>
    <row r="597" spans="1:14" hidden="1">
      <c r="A597" s="1">
        <v>45078</v>
      </c>
      <c r="B597">
        <v>6</v>
      </c>
      <c r="C597" t="s">
        <v>40</v>
      </c>
      <c r="D597" t="s">
        <v>41</v>
      </c>
      <c r="E597">
        <v>2023</v>
      </c>
      <c r="F597" t="s">
        <v>30</v>
      </c>
      <c r="G597" t="s">
        <v>22</v>
      </c>
      <c r="H597" t="s">
        <v>19</v>
      </c>
      <c r="I597" t="s">
        <v>31</v>
      </c>
      <c r="J597">
        <v>7720.16</v>
      </c>
      <c r="K597">
        <v>7617.31</v>
      </c>
      <c r="L597" s="20">
        <f>tbl_Budget[[#This Row],[Actual]]-tbl_Budget[[#This Row],[Budget]]</f>
        <v>-102.84999999999945</v>
      </c>
      <c r="M597" s="3">
        <f>tbl_Budget[[#This Row],[Variance]]/tbl_Budget[[#This Row],[Budget]]</f>
        <v>-1.3322262751030996E-2</v>
      </c>
      <c r="N597" t="str">
        <f>IF(tbl_Budget[[#This Row],[Variance_%]]&gt;0.05,"Overspend",IF(tbl_Budget[[#This Row],[Variance_%]]&lt;-0.05,"Underspend","On Budget"))</f>
        <v>On Budget</v>
      </c>
    </row>
    <row r="598" spans="1:14" hidden="1">
      <c r="A598" s="1">
        <v>45078</v>
      </c>
      <c r="B598">
        <v>6</v>
      </c>
      <c r="C598" t="s">
        <v>40</v>
      </c>
      <c r="D598" t="s">
        <v>41</v>
      </c>
      <c r="E598">
        <v>2023</v>
      </c>
      <c r="F598" t="s">
        <v>30</v>
      </c>
      <c r="G598" t="s">
        <v>23</v>
      </c>
      <c r="H598" t="s">
        <v>15</v>
      </c>
      <c r="I598" t="s">
        <v>31</v>
      </c>
      <c r="J598">
        <v>6375.28</v>
      </c>
      <c r="K598">
        <v>6138.45</v>
      </c>
      <c r="L598" s="20">
        <f>tbl_Budget[[#This Row],[Actual]]-tbl_Budget[[#This Row],[Budget]]</f>
        <v>-236.82999999999993</v>
      </c>
      <c r="M598" s="3">
        <f>tbl_Budget[[#This Row],[Variance]]/tbl_Budget[[#This Row],[Budget]]</f>
        <v>-3.7148172315568877E-2</v>
      </c>
      <c r="N598" t="str">
        <f>IF(tbl_Budget[[#This Row],[Variance_%]]&gt;0.05,"Overspend",IF(tbl_Budget[[#This Row],[Variance_%]]&lt;-0.05,"Underspend","On Budget"))</f>
        <v>On Budget</v>
      </c>
    </row>
    <row r="599" spans="1:14" hidden="1">
      <c r="A599" s="1">
        <v>45078</v>
      </c>
      <c r="B599">
        <v>6</v>
      </c>
      <c r="C599" t="s">
        <v>40</v>
      </c>
      <c r="D599" t="s">
        <v>41</v>
      </c>
      <c r="E599">
        <v>2023</v>
      </c>
      <c r="F599" t="s">
        <v>30</v>
      </c>
      <c r="G599" t="s">
        <v>23</v>
      </c>
      <c r="H599" t="s">
        <v>17</v>
      </c>
      <c r="I599" t="s">
        <v>31</v>
      </c>
      <c r="J599">
        <v>5870.27</v>
      </c>
      <c r="K599">
        <v>5725.47</v>
      </c>
      <c r="L599" s="20">
        <f>tbl_Budget[[#This Row],[Actual]]-tbl_Budget[[#This Row],[Budget]]</f>
        <v>-144.80000000000018</v>
      </c>
      <c r="M599" s="3">
        <f>tbl_Budget[[#This Row],[Variance]]/tbl_Budget[[#This Row],[Budget]]</f>
        <v>-2.4666667802332801E-2</v>
      </c>
      <c r="N599" t="str">
        <f>IF(tbl_Budget[[#This Row],[Variance_%]]&gt;0.05,"Overspend",IF(tbl_Budget[[#This Row],[Variance_%]]&lt;-0.05,"Underspend","On Budget"))</f>
        <v>On Budget</v>
      </c>
    </row>
    <row r="600" spans="1:14" hidden="1">
      <c r="A600" s="1">
        <v>45078</v>
      </c>
      <c r="B600">
        <v>6</v>
      </c>
      <c r="C600" t="s">
        <v>40</v>
      </c>
      <c r="D600" t="s">
        <v>41</v>
      </c>
      <c r="E600">
        <v>2023</v>
      </c>
      <c r="F600" t="s">
        <v>30</v>
      </c>
      <c r="G600" t="s">
        <v>23</v>
      </c>
      <c r="H600" t="s">
        <v>18</v>
      </c>
      <c r="I600" t="s">
        <v>31</v>
      </c>
      <c r="J600">
        <v>6209</v>
      </c>
      <c r="K600">
        <v>6090.1</v>
      </c>
      <c r="L600" s="20">
        <f>tbl_Budget[[#This Row],[Actual]]-tbl_Budget[[#This Row],[Budget]]</f>
        <v>-118.89999999999964</v>
      </c>
      <c r="M600" s="3">
        <f>tbl_Budget[[#This Row],[Variance]]/tbl_Budget[[#This Row],[Budget]]</f>
        <v>-1.9149621517152462E-2</v>
      </c>
      <c r="N600" t="str">
        <f>IF(tbl_Budget[[#This Row],[Variance_%]]&gt;0.05,"Overspend",IF(tbl_Budget[[#This Row],[Variance_%]]&lt;-0.05,"Underspend","On Budget"))</f>
        <v>On Budget</v>
      </c>
    </row>
    <row r="601" spans="1:14" hidden="1">
      <c r="A601" s="1">
        <v>45078</v>
      </c>
      <c r="B601">
        <v>6</v>
      </c>
      <c r="C601" t="s">
        <v>40</v>
      </c>
      <c r="D601" t="s">
        <v>41</v>
      </c>
      <c r="E601">
        <v>2023</v>
      </c>
      <c r="F601" t="s">
        <v>30</v>
      </c>
      <c r="G601" t="s">
        <v>23</v>
      </c>
      <c r="H601" t="s">
        <v>19</v>
      </c>
      <c r="I601" t="s">
        <v>31</v>
      </c>
      <c r="J601">
        <v>6402.43</v>
      </c>
      <c r="K601">
        <v>6452.87</v>
      </c>
      <c r="L601" s="20">
        <f>tbl_Budget[[#This Row],[Actual]]-tbl_Budget[[#This Row],[Budget]]</f>
        <v>50.4399999999996</v>
      </c>
      <c r="M601" s="3">
        <f>tbl_Budget[[#This Row],[Variance]]/tbl_Budget[[#This Row],[Budget]]</f>
        <v>7.8782587236408044E-3</v>
      </c>
      <c r="N601" t="str">
        <f>IF(tbl_Budget[[#This Row],[Variance_%]]&gt;0.05,"Overspend",IF(tbl_Budget[[#This Row],[Variance_%]]&lt;-0.05,"Underspend","On Budget"))</f>
        <v>On Budget</v>
      </c>
    </row>
    <row r="602" spans="1:14" hidden="1">
      <c r="A602" s="1">
        <v>45108</v>
      </c>
      <c r="B602">
        <v>7</v>
      </c>
      <c r="C602" t="s">
        <v>42</v>
      </c>
      <c r="D602" t="s">
        <v>43</v>
      </c>
      <c r="E602">
        <v>2023</v>
      </c>
      <c r="F602" t="s">
        <v>13</v>
      </c>
      <c r="G602" t="s">
        <v>14</v>
      </c>
      <c r="H602" t="s">
        <v>15</v>
      </c>
      <c r="I602" t="s">
        <v>16</v>
      </c>
      <c r="J602">
        <v>48771.95</v>
      </c>
      <c r="K602">
        <v>56276.55</v>
      </c>
      <c r="L602" s="20">
        <f>tbl_Budget[[#This Row],[Actual]]-tbl_Budget[[#This Row],[Budget]]</f>
        <v>7504.6000000000058</v>
      </c>
      <c r="M602" s="3">
        <f>tbl_Budget[[#This Row],[Variance]]/tbl_Budget[[#This Row],[Budget]]</f>
        <v>0.15387123131226055</v>
      </c>
      <c r="N602" t="str">
        <f>IF(tbl_Budget[[#This Row],[Variance_%]]&gt;0.05,"Overspend",IF(tbl_Budget[[#This Row],[Variance_%]]&lt;-0.05,"Underspend","On Budget"))</f>
        <v>Overspend</v>
      </c>
    </row>
    <row r="603" spans="1:14" hidden="1">
      <c r="A603" s="1">
        <v>45108</v>
      </c>
      <c r="B603">
        <v>7</v>
      </c>
      <c r="C603" t="s">
        <v>42</v>
      </c>
      <c r="D603" t="s">
        <v>43</v>
      </c>
      <c r="E603">
        <v>2023</v>
      </c>
      <c r="F603" t="s">
        <v>13</v>
      </c>
      <c r="G603" t="s">
        <v>14</v>
      </c>
      <c r="H603" t="s">
        <v>17</v>
      </c>
      <c r="I603" t="s">
        <v>16</v>
      </c>
      <c r="J603">
        <v>46634.52</v>
      </c>
      <c r="K603">
        <v>54643.46</v>
      </c>
      <c r="L603" s="20">
        <f>tbl_Budget[[#This Row],[Actual]]-tbl_Budget[[#This Row],[Budget]]</f>
        <v>8008.9400000000023</v>
      </c>
      <c r="M603" s="3">
        <f>tbl_Budget[[#This Row],[Variance]]/tbl_Budget[[#This Row],[Budget]]</f>
        <v>0.17173844611245068</v>
      </c>
      <c r="N603" t="str">
        <f>IF(tbl_Budget[[#This Row],[Variance_%]]&gt;0.05,"Overspend",IF(tbl_Budget[[#This Row],[Variance_%]]&lt;-0.05,"Underspend","On Budget"))</f>
        <v>Overspend</v>
      </c>
    </row>
    <row r="604" spans="1:14" hidden="1">
      <c r="A604" s="1">
        <v>45108</v>
      </c>
      <c r="B604">
        <v>7</v>
      </c>
      <c r="C604" t="s">
        <v>42</v>
      </c>
      <c r="D604" t="s">
        <v>43</v>
      </c>
      <c r="E604">
        <v>2023</v>
      </c>
      <c r="F604" t="s">
        <v>13</v>
      </c>
      <c r="G604" t="s">
        <v>14</v>
      </c>
      <c r="H604" t="s">
        <v>18</v>
      </c>
      <c r="I604" t="s">
        <v>16</v>
      </c>
      <c r="J604">
        <v>45837.86</v>
      </c>
      <c r="K604">
        <v>52374.400000000001</v>
      </c>
      <c r="L604" s="20">
        <f>tbl_Budget[[#This Row],[Actual]]-tbl_Budget[[#This Row],[Budget]]</f>
        <v>6536.5400000000009</v>
      </c>
      <c r="M604" s="3">
        <f>tbl_Budget[[#This Row],[Variance]]/tbl_Budget[[#This Row],[Budget]]</f>
        <v>0.14260133435548694</v>
      </c>
      <c r="N604" t="str">
        <f>IF(tbl_Budget[[#This Row],[Variance_%]]&gt;0.05,"Overspend",IF(tbl_Budget[[#This Row],[Variance_%]]&lt;-0.05,"Underspend","On Budget"))</f>
        <v>Overspend</v>
      </c>
    </row>
    <row r="605" spans="1:14" hidden="1">
      <c r="A605" s="1">
        <v>45108</v>
      </c>
      <c r="B605">
        <v>7</v>
      </c>
      <c r="C605" t="s">
        <v>42</v>
      </c>
      <c r="D605" t="s">
        <v>43</v>
      </c>
      <c r="E605">
        <v>2023</v>
      </c>
      <c r="F605" t="s">
        <v>13</v>
      </c>
      <c r="G605" t="s">
        <v>14</v>
      </c>
      <c r="H605" t="s">
        <v>19</v>
      </c>
      <c r="I605" t="s">
        <v>16</v>
      </c>
      <c r="J605">
        <v>49084.68</v>
      </c>
      <c r="K605">
        <v>55019.59</v>
      </c>
      <c r="L605" s="20">
        <f>tbl_Budget[[#This Row],[Actual]]-tbl_Budget[[#This Row],[Budget]]</f>
        <v>5934.9099999999962</v>
      </c>
      <c r="M605" s="3">
        <f>tbl_Budget[[#This Row],[Variance]]/tbl_Budget[[#This Row],[Budget]]</f>
        <v>0.12091165716064557</v>
      </c>
      <c r="N605" t="str">
        <f>IF(tbl_Budget[[#This Row],[Variance_%]]&gt;0.05,"Overspend",IF(tbl_Budget[[#This Row],[Variance_%]]&lt;-0.05,"Underspend","On Budget"))</f>
        <v>Overspend</v>
      </c>
    </row>
    <row r="606" spans="1:14" hidden="1">
      <c r="A606" s="1">
        <v>45108</v>
      </c>
      <c r="B606">
        <v>7</v>
      </c>
      <c r="C606" t="s">
        <v>42</v>
      </c>
      <c r="D606" t="s">
        <v>43</v>
      </c>
      <c r="E606">
        <v>2023</v>
      </c>
      <c r="F606" t="s">
        <v>13</v>
      </c>
      <c r="G606" t="s">
        <v>20</v>
      </c>
      <c r="H606" t="s">
        <v>15</v>
      </c>
      <c r="I606" t="s">
        <v>16</v>
      </c>
      <c r="J606">
        <v>18726.61</v>
      </c>
      <c r="K606">
        <v>21181.99</v>
      </c>
      <c r="L606" s="20">
        <f>tbl_Budget[[#This Row],[Actual]]-tbl_Budget[[#This Row],[Budget]]</f>
        <v>2455.380000000001</v>
      </c>
      <c r="M606" s="3">
        <f>tbl_Budget[[#This Row],[Variance]]/tbl_Budget[[#This Row],[Budget]]</f>
        <v>0.13111716429188203</v>
      </c>
      <c r="N606" t="str">
        <f>IF(tbl_Budget[[#This Row],[Variance_%]]&gt;0.05,"Overspend",IF(tbl_Budget[[#This Row],[Variance_%]]&lt;-0.05,"Underspend","On Budget"))</f>
        <v>Overspend</v>
      </c>
    </row>
    <row r="607" spans="1:14" hidden="1">
      <c r="A607" s="1">
        <v>45108</v>
      </c>
      <c r="B607">
        <v>7</v>
      </c>
      <c r="C607" t="s">
        <v>42</v>
      </c>
      <c r="D607" t="s">
        <v>43</v>
      </c>
      <c r="E607">
        <v>2023</v>
      </c>
      <c r="F607" t="s">
        <v>13</v>
      </c>
      <c r="G607" t="s">
        <v>20</v>
      </c>
      <c r="H607" t="s">
        <v>17</v>
      </c>
      <c r="I607" t="s">
        <v>16</v>
      </c>
      <c r="J607">
        <v>17609.86</v>
      </c>
      <c r="K607">
        <v>20698.57</v>
      </c>
      <c r="L607" s="20">
        <f>tbl_Budget[[#This Row],[Actual]]-tbl_Budget[[#This Row],[Budget]]</f>
        <v>3088.7099999999991</v>
      </c>
      <c r="M607" s="3">
        <f>tbl_Budget[[#This Row],[Variance]]/tbl_Budget[[#This Row],[Budget]]</f>
        <v>0.17539662439110812</v>
      </c>
      <c r="N607" t="str">
        <f>IF(tbl_Budget[[#This Row],[Variance_%]]&gt;0.05,"Overspend",IF(tbl_Budget[[#This Row],[Variance_%]]&lt;-0.05,"Underspend","On Budget"))</f>
        <v>Overspend</v>
      </c>
    </row>
    <row r="608" spans="1:14" hidden="1">
      <c r="A608" s="1">
        <v>45108</v>
      </c>
      <c r="B608">
        <v>7</v>
      </c>
      <c r="C608" t="s">
        <v>42</v>
      </c>
      <c r="D608" t="s">
        <v>43</v>
      </c>
      <c r="E608">
        <v>2023</v>
      </c>
      <c r="F608" t="s">
        <v>13</v>
      </c>
      <c r="G608" t="s">
        <v>20</v>
      </c>
      <c r="H608" t="s">
        <v>18</v>
      </c>
      <c r="I608" t="s">
        <v>16</v>
      </c>
      <c r="J608">
        <v>17919.13</v>
      </c>
      <c r="K608">
        <v>20999.75</v>
      </c>
      <c r="L608" s="20">
        <f>tbl_Budget[[#This Row],[Actual]]-tbl_Budget[[#This Row],[Budget]]</f>
        <v>3080.619999999999</v>
      </c>
      <c r="M608" s="3">
        <f>tbl_Budget[[#This Row],[Variance]]/tbl_Budget[[#This Row],[Budget]]</f>
        <v>0.17191794467700156</v>
      </c>
      <c r="N608" t="str">
        <f>IF(tbl_Budget[[#This Row],[Variance_%]]&gt;0.05,"Overspend",IF(tbl_Budget[[#This Row],[Variance_%]]&lt;-0.05,"Underspend","On Budget"))</f>
        <v>Overspend</v>
      </c>
    </row>
    <row r="609" spans="1:14" hidden="1">
      <c r="A609" s="1">
        <v>45108</v>
      </c>
      <c r="B609">
        <v>7</v>
      </c>
      <c r="C609" t="s">
        <v>42</v>
      </c>
      <c r="D609" t="s">
        <v>43</v>
      </c>
      <c r="E609">
        <v>2023</v>
      </c>
      <c r="F609" t="s">
        <v>13</v>
      </c>
      <c r="G609" t="s">
        <v>20</v>
      </c>
      <c r="H609" t="s">
        <v>19</v>
      </c>
      <c r="I609" t="s">
        <v>16</v>
      </c>
      <c r="J609">
        <v>19164.98</v>
      </c>
      <c r="K609">
        <v>22139.72</v>
      </c>
      <c r="L609" s="20">
        <f>tbl_Budget[[#This Row],[Actual]]-tbl_Budget[[#This Row],[Budget]]</f>
        <v>2974.7400000000016</v>
      </c>
      <c r="M609" s="3">
        <f>tbl_Budget[[#This Row],[Variance]]/tbl_Budget[[#This Row],[Budget]]</f>
        <v>0.15521748522565645</v>
      </c>
      <c r="N609" t="str">
        <f>IF(tbl_Budget[[#This Row],[Variance_%]]&gt;0.05,"Overspend",IF(tbl_Budget[[#This Row],[Variance_%]]&lt;-0.05,"Underspend","On Budget"))</f>
        <v>Overspend</v>
      </c>
    </row>
    <row r="610" spans="1:14">
      <c r="A610" s="1">
        <v>45108</v>
      </c>
      <c r="B610">
        <v>7</v>
      </c>
      <c r="C610" t="s">
        <v>42</v>
      </c>
      <c r="D610" t="s">
        <v>43</v>
      </c>
      <c r="E610">
        <v>2023</v>
      </c>
      <c r="F610" t="s">
        <v>13</v>
      </c>
      <c r="G610" t="s">
        <v>21</v>
      </c>
      <c r="H610" t="s">
        <v>15</v>
      </c>
      <c r="I610" t="s">
        <v>16</v>
      </c>
      <c r="J610">
        <v>10530.36</v>
      </c>
      <c r="K610">
        <v>15355.55</v>
      </c>
      <c r="L610" s="20">
        <f>tbl_Budget[[#This Row],[Actual]]-tbl_Budget[[#This Row],[Budget]]</f>
        <v>4825.1899999999987</v>
      </c>
      <c r="M610" s="3">
        <f>tbl_Budget[[#This Row],[Variance]]/tbl_Budget[[#This Row],[Budget]]</f>
        <v>0.45821700302743673</v>
      </c>
      <c r="N610" t="str">
        <f>IF(tbl_Budget[[#This Row],[Variance_%]]&gt;0.05,"Overspend",IF(tbl_Budget[[#This Row],[Variance_%]]&lt;-0.05,"Underspend","On Budget"))</f>
        <v>Overspend</v>
      </c>
    </row>
    <row r="611" spans="1:14">
      <c r="A611" s="1">
        <v>45108</v>
      </c>
      <c r="B611">
        <v>7</v>
      </c>
      <c r="C611" t="s">
        <v>42</v>
      </c>
      <c r="D611" t="s">
        <v>43</v>
      </c>
      <c r="E611">
        <v>2023</v>
      </c>
      <c r="F611" t="s">
        <v>13</v>
      </c>
      <c r="G611" t="s">
        <v>21</v>
      </c>
      <c r="H611" t="s">
        <v>17</v>
      </c>
      <c r="I611" t="s">
        <v>16</v>
      </c>
      <c r="J611">
        <v>10128.33</v>
      </c>
      <c r="K611">
        <v>15293.91</v>
      </c>
      <c r="L611" s="20">
        <f>tbl_Budget[[#This Row],[Actual]]-tbl_Budget[[#This Row],[Budget]]</f>
        <v>5165.58</v>
      </c>
      <c r="M611" s="3">
        <f>tbl_Budget[[#This Row],[Variance]]/tbl_Budget[[#This Row],[Budget]]</f>
        <v>0.51001300313082221</v>
      </c>
      <c r="N611" t="str">
        <f>IF(tbl_Budget[[#This Row],[Variance_%]]&gt;0.05,"Overspend",IF(tbl_Budget[[#This Row],[Variance_%]]&lt;-0.05,"Underspend","On Budget"))</f>
        <v>Overspend</v>
      </c>
    </row>
    <row r="612" spans="1:14">
      <c r="A612" s="1">
        <v>45108</v>
      </c>
      <c r="B612">
        <v>7</v>
      </c>
      <c r="C612" t="s">
        <v>42</v>
      </c>
      <c r="D612" t="s">
        <v>43</v>
      </c>
      <c r="E612">
        <v>2023</v>
      </c>
      <c r="F612" t="s">
        <v>13</v>
      </c>
      <c r="G612" t="s">
        <v>21</v>
      </c>
      <c r="H612" t="s">
        <v>18</v>
      </c>
      <c r="I612" t="s">
        <v>16</v>
      </c>
      <c r="J612">
        <v>10050.11</v>
      </c>
      <c r="K612">
        <v>14352.8</v>
      </c>
      <c r="L612" s="20">
        <f>tbl_Budget[[#This Row],[Actual]]-tbl_Budget[[#This Row],[Budget]]</f>
        <v>4302.6899999999987</v>
      </c>
      <c r="M612" s="3">
        <f>tbl_Budget[[#This Row],[Variance]]/tbl_Budget[[#This Row],[Budget]]</f>
        <v>0.42812367227821374</v>
      </c>
      <c r="N612" t="str">
        <f>IF(tbl_Budget[[#This Row],[Variance_%]]&gt;0.05,"Overspend",IF(tbl_Budget[[#This Row],[Variance_%]]&lt;-0.05,"Underspend","On Budget"))</f>
        <v>Overspend</v>
      </c>
    </row>
    <row r="613" spans="1:14">
      <c r="A613" s="1">
        <v>45108</v>
      </c>
      <c r="B613">
        <v>7</v>
      </c>
      <c r="C613" t="s">
        <v>42</v>
      </c>
      <c r="D613" t="s">
        <v>43</v>
      </c>
      <c r="E613">
        <v>2023</v>
      </c>
      <c r="F613" t="s">
        <v>13</v>
      </c>
      <c r="G613" t="s">
        <v>21</v>
      </c>
      <c r="H613" t="s">
        <v>19</v>
      </c>
      <c r="I613" t="s">
        <v>16</v>
      </c>
      <c r="J613">
        <v>10462.4</v>
      </c>
      <c r="K613">
        <v>15978.35</v>
      </c>
      <c r="L613" s="20">
        <f>tbl_Budget[[#This Row],[Actual]]-tbl_Budget[[#This Row],[Budget]]</f>
        <v>5515.9500000000007</v>
      </c>
      <c r="M613" s="3">
        <f>tbl_Budget[[#This Row],[Variance]]/tbl_Budget[[#This Row],[Budget]]</f>
        <v>0.52721650864046499</v>
      </c>
      <c r="N613" t="str">
        <f>IF(tbl_Budget[[#This Row],[Variance_%]]&gt;0.05,"Overspend",IF(tbl_Budget[[#This Row],[Variance_%]]&lt;-0.05,"Underspend","On Budget"))</f>
        <v>Overspend</v>
      </c>
    </row>
    <row r="614" spans="1:14" hidden="1">
      <c r="A614" s="1">
        <v>45108</v>
      </c>
      <c r="B614">
        <v>7</v>
      </c>
      <c r="C614" t="s">
        <v>42</v>
      </c>
      <c r="D614" t="s">
        <v>43</v>
      </c>
      <c r="E614">
        <v>2023</v>
      </c>
      <c r="F614" t="s">
        <v>13</v>
      </c>
      <c r="G614" t="s">
        <v>22</v>
      </c>
      <c r="H614" t="s">
        <v>15</v>
      </c>
      <c r="I614" t="s">
        <v>16</v>
      </c>
      <c r="J614">
        <v>7848.52</v>
      </c>
      <c r="K614">
        <v>9017.94</v>
      </c>
      <c r="L614" s="20">
        <f>tbl_Budget[[#This Row],[Actual]]-tbl_Budget[[#This Row],[Budget]]</f>
        <v>1169.42</v>
      </c>
      <c r="M614" s="3">
        <f>tbl_Budget[[#This Row],[Variance]]/tbl_Budget[[#This Row],[Budget]]</f>
        <v>0.14899879212896189</v>
      </c>
      <c r="N614" t="str">
        <f>IF(tbl_Budget[[#This Row],[Variance_%]]&gt;0.05,"Overspend",IF(tbl_Budget[[#This Row],[Variance_%]]&lt;-0.05,"Underspend","On Budget"))</f>
        <v>Overspend</v>
      </c>
    </row>
    <row r="615" spans="1:14" hidden="1">
      <c r="A615" s="1">
        <v>45108</v>
      </c>
      <c r="B615">
        <v>7</v>
      </c>
      <c r="C615" t="s">
        <v>42</v>
      </c>
      <c r="D615" t="s">
        <v>43</v>
      </c>
      <c r="E615">
        <v>2023</v>
      </c>
      <c r="F615" t="s">
        <v>13</v>
      </c>
      <c r="G615" t="s">
        <v>22</v>
      </c>
      <c r="H615" t="s">
        <v>17</v>
      </c>
      <c r="I615" t="s">
        <v>16</v>
      </c>
      <c r="J615">
        <v>7886.53</v>
      </c>
      <c r="K615">
        <v>8829.48</v>
      </c>
      <c r="L615" s="20">
        <f>tbl_Budget[[#This Row],[Actual]]-tbl_Budget[[#This Row],[Budget]]</f>
        <v>942.94999999999982</v>
      </c>
      <c r="M615" s="3">
        <f>tbl_Budget[[#This Row],[Variance]]/tbl_Budget[[#This Row],[Budget]]</f>
        <v>0.11956462474624453</v>
      </c>
      <c r="N615" t="str">
        <f>IF(tbl_Budget[[#This Row],[Variance_%]]&gt;0.05,"Overspend",IF(tbl_Budget[[#This Row],[Variance_%]]&lt;-0.05,"Underspend","On Budget"))</f>
        <v>Overspend</v>
      </c>
    </row>
    <row r="616" spans="1:14" hidden="1">
      <c r="A616" s="1">
        <v>45108</v>
      </c>
      <c r="B616">
        <v>7</v>
      </c>
      <c r="C616" t="s">
        <v>42</v>
      </c>
      <c r="D616" t="s">
        <v>43</v>
      </c>
      <c r="E616">
        <v>2023</v>
      </c>
      <c r="F616" t="s">
        <v>13</v>
      </c>
      <c r="G616" t="s">
        <v>22</v>
      </c>
      <c r="H616" t="s">
        <v>18</v>
      </c>
      <c r="I616" t="s">
        <v>16</v>
      </c>
      <c r="J616">
        <v>7758.26</v>
      </c>
      <c r="K616">
        <v>9015.98</v>
      </c>
      <c r="L616" s="20">
        <f>tbl_Budget[[#This Row],[Actual]]-tbl_Budget[[#This Row],[Budget]]</f>
        <v>1257.7199999999993</v>
      </c>
      <c r="M616" s="3">
        <f>tbl_Budget[[#This Row],[Variance]]/tbl_Budget[[#This Row],[Budget]]</f>
        <v>0.16211366981771677</v>
      </c>
      <c r="N616" t="str">
        <f>IF(tbl_Budget[[#This Row],[Variance_%]]&gt;0.05,"Overspend",IF(tbl_Budget[[#This Row],[Variance_%]]&lt;-0.05,"Underspend","On Budget"))</f>
        <v>Overspend</v>
      </c>
    </row>
    <row r="617" spans="1:14" hidden="1">
      <c r="A617" s="1">
        <v>45108</v>
      </c>
      <c r="B617">
        <v>7</v>
      </c>
      <c r="C617" t="s">
        <v>42</v>
      </c>
      <c r="D617" t="s">
        <v>43</v>
      </c>
      <c r="E617">
        <v>2023</v>
      </c>
      <c r="F617" t="s">
        <v>13</v>
      </c>
      <c r="G617" t="s">
        <v>22</v>
      </c>
      <c r="H617" t="s">
        <v>19</v>
      </c>
      <c r="I617" t="s">
        <v>16</v>
      </c>
      <c r="J617">
        <v>8519.49</v>
      </c>
      <c r="K617">
        <v>9645.6200000000008</v>
      </c>
      <c r="L617" s="20">
        <f>tbl_Budget[[#This Row],[Actual]]-tbl_Budget[[#This Row],[Budget]]</f>
        <v>1126.130000000001</v>
      </c>
      <c r="M617" s="3">
        <f>tbl_Budget[[#This Row],[Variance]]/tbl_Budget[[#This Row],[Budget]]</f>
        <v>0.1321827949795118</v>
      </c>
      <c r="N617" t="str">
        <f>IF(tbl_Budget[[#This Row],[Variance_%]]&gt;0.05,"Overspend",IF(tbl_Budget[[#This Row],[Variance_%]]&lt;-0.05,"Underspend","On Budget"))</f>
        <v>Overspend</v>
      </c>
    </row>
    <row r="618" spans="1:14" hidden="1">
      <c r="A618" s="1">
        <v>45108</v>
      </c>
      <c r="B618">
        <v>7</v>
      </c>
      <c r="C618" t="s">
        <v>42</v>
      </c>
      <c r="D618" t="s">
        <v>43</v>
      </c>
      <c r="E618">
        <v>2023</v>
      </c>
      <c r="F618" t="s">
        <v>13</v>
      </c>
      <c r="G618" t="s">
        <v>23</v>
      </c>
      <c r="H618" t="s">
        <v>15</v>
      </c>
      <c r="I618" t="s">
        <v>16</v>
      </c>
      <c r="J618">
        <v>8306.02</v>
      </c>
      <c r="K618">
        <v>9832.93</v>
      </c>
      <c r="L618" s="20">
        <f>tbl_Budget[[#This Row],[Actual]]-tbl_Budget[[#This Row],[Budget]]</f>
        <v>1526.9099999999999</v>
      </c>
      <c r="M618" s="3">
        <f>tbl_Budget[[#This Row],[Variance]]/tbl_Budget[[#This Row],[Budget]]</f>
        <v>0.18383172686798246</v>
      </c>
      <c r="N618" t="str">
        <f>IF(tbl_Budget[[#This Row],[Variance_%]]&gt;0.05,"Overspend",IF(tbl_Budget[[#This Row],[Variance_%]]&lt;-0.05,"Underspend","On Budget"))</f>
        <v>Overspend</v>
      </c>
    </row>
    <row r="619" spans="1:14" hidden="1">
      <c r="A619" s="1">
        <v>45108</v>
      </c>
      <c r="B619">
        <v>7</v>
      </c>
      <c r="C619" t="s">
        <v>42</v>
      </c>
      <c r="D619" t="s">
        <v>43</v>
      </c>
      <c r="E619">
        <v>2023</v>
      </c>
      <c r="F619" t="s">
        <v>13</v>
      </c>
      <c r="G619" t="s">
        <v>23</v>
      </c>
      <c r="H619" t="s">
        <v>17</v>
      </c>
      <c r="I619" t="s">
        <v>16</v>
      </c>
      <c r="J619">
        <v>8139.25</v>
      </c>
      <c r="K619">
        <v>9096.51</v>
      </c>
      <c r="L619" s="20">
        <f>tbl_Budget[[#This Row],[Actual]]-tbl_Budget[[#This Row],[Budget]]</f>
        <v>957.26000000000022</v>
      </c>
      <c r="M619" s="3">
        <f>tbl_Budget[[#This Row],[Variance]]/tbl_Budget[[#This Row],[Budget]]</f>
        <v>0.11761034493350127</v>
      </c>
      <c r="N619" t="str">
        <f>IF(tbl_Budget[[#This Row],[Variance_%]]&gt;0.05,"Overspend",IF(tbl_Budget[[#This Row],[Variance_%]]&lt;-0.05,"Underspend","On Budget"))</f>
        <v>Overspend</v>
      </c>
    </row>
    <row r="620" spans="1:14" hidden="1">
      <c r="A620" s="1">
        <v>45108</v>
      </c>
      <c r="B620">
        <v>7</v>
      </c>
      <c r="C620" t="s">
        <v>42</v>
      </c>
      <c r="D620" t="s">
        <v>43</v>
      </c>
      <c r="E620">
        <v>2023</v>
      </c>
      <c r="F620" t="s">
        <v>13</v>
      </c>
      <c r="G620" t="s">
        <v>23</v>
      </c>
      <c r="H620" t="s">
        <v>18</v>
      </c>
      <c r="I620" t="s">
        <v>16</v>
      </c>
      <c r="J620">
        <v>7943.25</v>
      </c>
      <c r="K620">
        <v>8961.1299999999992</v>
      </c>
      <c r="L620" s="20">
        <f>tbl_Budget[[#This Row],[Actual]]-tbl_Budget[[#This Row],[Budget]]</f>
        <v>1017.8799999999992</v>
      </c>
      <c r="M620" s="3">
        <f>tbl_Budget[[#This Row],[Variance]]/tbl_Budget[[#This Row],[Budget]]</f>
        <v>0.12814402165360517</v>
      </c>
      <c r="N620" t="str">
        <f>IF(tbl_Budget[[#This Row],[Variance_%]]&gt;0.05,"Overspend",IF(tbl_Budget[[#This Row],[Variance_%]]&lt;-0.05,"Underspend","On Budget"))</f>
        <v>Overspend</v>
      </c>
    </row>
    <row r="621" spans="1:14" hidden="1">
      <c r="A621" s="1">
        <v>45108</v>
      </c>
      <c r="B621">
        <v>7</v>
      </c>
      <c r="C621" t="s">
        <v>42</v>
      </c>
      <c r="D621" t="s">
        <v>43</v>
      </c>
      <c r="E621">
        <v>2023</v>
      </c>
      <c r="F621" t="s">
        <v>13</v>
      </c>
      <c r="G621" t="s">
        <v>23</v>
      </c>
      <c r="H621" t="s">
        <v>19</v>
      </c>
      <c r="I621" t="s">
        <v>16</v>
      </c>
      <c r="J621">
        <v>8883.98</v>
      </c>
      <c r="K621">
        <v>10657.84</v>
      </c>
      <c r="L621" s="20">
        <f>tbl_Budget[[#This Row],[Actual]]-tbl_Budget[[#This Row],[Budget]]</f>
        <v>1773.8600000000006</v>
      </c>
      <c r="M621" s="3">
        <f>tbl_Budget[[#This Row],[Variance]]/tbl_Budget[[#This Row],[Budget]]</f>
        <v>0.19966951749103451</v>
      </c>
      <c r="N621" t="str">
        <f>IF(tbl_Budget[[#This Row],[Variance_%]]&gt;0.05,"Overspend",IF(tbl_Budget[[#This Row],[Variance_%]]&lt;-0.05,"Underspend","On Budget"))</f>
        <v>Overspend</v>
      </c>
    </row>
    <row r="622" spans="1:14" hidden="1">
      <c r="A622" s="1">
        <v>45108</v>
      </c>
      <c r="B622">
        <v>7</v>
      </c>
      <c r="C622" t="s">
        <v>42</v>
      </c>
      <c r="D622" t="s">
        <v>43</v>
      </c>
      <c r="E622">
        <v>2023</v>
      </c>
      <c r="F622" t="s">
        <v>24</v>
      </c>
      <c r="G622" t="s">
        <v>14</v>
      </c>
      <c r="H622" t="s">
        <v>15</v>
      </c>
      <c r="I622" t="s">
        <v>25</v>
      </c>
      <c r="J622">
        <v>51472.61</v>
      </c>
      <c r="K622">
        <v>46362.96</v>
      </c>
      <c r="L622" s="20">
        <f>tbl_Budget[[#This Row],[Actual]]-tbl_Budget[[#This Row],[Budget]]</f>
        <v>-5109.6500000000015</v>
      </c>
      <c r="M622" s="3">
        <f>tbl_Budget[[#This Row],[Variance]]/tbl_Budget[[#This Row],[Budget]]</f>
        <v>-9.9269300701868457E-2</v>
      </c>
      <c r="N622" t="str">
        <f>IF(tbl_Budget[[#This Row],[Variance_%]]&gt;0.05,"Overspend",IF(tbl_Budget[[#This Row],[Variance_%]]&lt;-0.05,"Underspend","On Budget"))</f>
        <v>Underspend</v>
      </c>
    </row>
    <row r="623" spans="1:14" hidden="1">
      <c r="A623" s="1">
        <v>45108</v>
      </c>
      <c r="B623">
        <v>7</v>
      </c>
      <c r="C623" t="s">
        <v>42</v>
      </c>
      <c r="D623" t="s">
        <v>43</v>
      </c>
      <c r="E623">
        <v>2023</v>
      </c>
      <c r="F623" t="s">
        <v>24</v>
      </c>
      <c r="G623" t="s">
        <v>14</v>
      </c>
      <c r="H623" t="s">
        <v>17</v>
      </c>
      <c r="I623" t="s">
        <v>25</v>
      </c>
      <c r="J623">
        <v>47705.81</v>
      </c>
      <c r="K623">
        <v>42088.99</v>
      </c>
      <c r="L623" s="20">
        <f>tbl_Budget[[#This Row],[Actual]]-tbl_Budget[[#This Row],[Budget]]</f>
        <v>-5616.82</v>
      </c>
      <c r="M623" s="3">
        <f>tbl_Budget[[#This Row],[Variance]]/tbl_Budget[[#This Row],[Budget]]</f>
        <v>-0.11773869891319318</v>
      </c>
      <c r="N623" t="str">
        <f>IF(tbl_Budget[[#This Row],[Variance_%]]&gt;0.05,"Overspend",IF(tbl_Budget[[#This Row],[Variance_%]]&lt;-0.05,"Underspend","On Budget"))</f>
        <v>Underspend</v>
      </c>
    </row>
    <row r="624" spans="1:14" hidden="1">
      <c r="A624" s="1">
        <v>45108</v>
      </c>
      <c r="B624">
        <v>7</v>
      </c>
      <c r="C624" t="s">
        <v>42</v>
      </c>
      <c r="D624" t="s">
        <v>43</v>
      </c>
      <c r="E624">
        <v>2023</v>
      </c>
      <c r="F624" t="s">
        <v>24</v>
      </c>
      <c r="G624" t="s">
        <v>14</v>
      </c>
      <c r="H624" t="s">
        <v>18</v>
      </c>
      <c r="I624" t="s">
        <v>25</v>
      </c>
      <c r="J624">
        <v>48974.8</v>
      </c>
      <c r="K624">
        <v>43120.33</v>
      </c>
      <c r="L624" s="20">
        <f>tbl_Budget[[#This Row],[Actual]]-tbl_Budget[[#This Row],[Budget]]</f>
        <v>-5854.4700000000012</v>
      </c>
      <c r="M624" s="3">
        <f>tbl_Budget[[#This Row],[Variance]]/tbl_Budget[[#This Row],[Budget]]</f>
        <v>-0.11954045754142949</v>
      </c>
      <c r="N624" t="str">
        <f>IF(tbl_Budget[[#This Row],[Variance_%]]&gt;0.05,"Overspend",IF(tbl_Budget[[#This Row],[Variance_%]]&lt;-0.05,"Underspend","On Budget"))</f>
        <v>Underspend</v>
      </c>
    </row>
    <row r="625" spans="1:14" hidden="1">
      <c r="A625" s="1">
        <v>45108</v>
      </c>
      <c r="B625">
        <v>7</v>
      </c>
      <c r="C625" t="s">
        <v>42</v>
      </c>
      <c r="D625" t="s">
        <v>43</v>
      </c>
      <c r="E625">
        <v>2023</v>
      </c>
      <c r="F625" t="s">
        <v>24</v>
      </c>
      <c r="G625" t="s">
        <v>14</v>
      </c>
      <c r="H625" t="s">
        <v>19</v>
      </c>
      <c r="I625" t="s">
        <v>25</v>
      </c>
      <c r="J625">
        <v>54572.5</v>
      </c>
      <c r="K625">
        <v>49150.69</v>
      </c>
      <c r="L625" s="20">
        <f>tbl_Budget[[#This Row],[Actual]]-tbl_Budget[[#This Row],[Budget]]</f>
        <v>-5421.8099999999977</v>
      </c>
      <c r="M625" s="3">
        <f>tbl_Budget[[#This Row],[Variance]]/tbl_Budget[[#This Row],[Budget]]</f>
        <v>-9.9350588666452841E-2</v>
      </c>
      <c r="N625" t="str">
        <f>IF(tbl_Budget[[#This Row],[Variance_%]]&gt;0.05,"Overspend",IF(tbl_Budget[[#This Row],[Variance_%]]&lt;-0.05,"Underspend","On Budget"))</f>
        <v>Underspend</v>
      </c>
    </row>
    <row r="626" spans="1:14" hidden="1">
      <c r="A626" s="1">
        <v>45108</v>
      </c>
      <c r="B626">
        <v>7</v>
      </c>
      <c r="C626" t="s">
        <v>42</v>
      </c>
      <c r="D626" t="s">
        <v>43</v>
      </c>
      <c r="E626">
        <v>2023</v>
      </c>
      <c r="F626" t="s">
        <v>24</v>
      </c>
      <c r="G626" t="s">
        <v>20</v>
      </c>
      <c r="H626" t="s">
        <v>15</v>
      </c>
      <c r="I626" t="s">
        <v>25</v>
      </c>
      <c r="J626">
        <v>27806.69</v>
      </c>
      <c r="K626">
        <v>24104.55</v>
      </c>
      <c r="L626" s="20">
        <f>tbl_Budget[[#This Row],[Actual]]-tbl_Budget[[#This Row],[Budget]]</f>
        <v>-3702.1399999999994</v>
      </c>
      <c r="M626" s="3">
        <f>tbl_Budget[[#This Row],[Variance]]/tbl_Budget[[#This Row],[Budget]]</f>
        <v>-0.1331384641609627</v>
      </c>
      <c r="N626" t="str">
        <f>IF(tbl_Budget[[#This Row],[Variance_%]]&gt;0.05,"Overspend",IF(tbl_Budget[[#This Row],[Variance_%]]&lt;-0.05,"Underspend","On Budget"))</f>
        <v>Underspend</v>
      </c>
    </row>
    <row r="627" spans="1:14" hidden="1">
      <c r="A627" s="1">
        <v>45108</v>
      </c>
      <c r="B627">
        <v>7</v>
      </c>
      <c r="C627" t="s">
        <v>42</v>
      </c>
      <c r="D627" t="s">
        <v>43</v>
      </c>
      <c r="E627">
        <v>2023</v>
      </c>
      <c r="F627" t="s">
        <v>24</v>
      </c>
      <c r="G627" t="s">
        <v>20</v>
      </c>
      <c r="H627" t="s">
        <v>17</v>
      </c>
      <c r="I627" t="s">
        <v>25</v>
      </c>
      <c r="J627">
        <v>26926.31</v>
      </c>
      <c r="K627">
        <v>23632.35</v>
      </c>
      <c r="L627" s="20">
        <f>tbl_Budget[[#This Row],[Actual]]-tbl_Budget[[#This Row],[Budget]]</f>
        <v>-3293.9600000000028</v>
      </c>
      <c r="M627" s="3">
        <f>tbl_Budget[[#This Row],[Variance]]/tbl_Budget[[#This Row],[Budget]]</f>
        <v>-0.12233239534121097</v>
      </c>
      <c r="N627" t="str">
        <f>IF(tbl_Budget[[#This Row],[Variance_%]]&gt;0.05,"Overspend",IF(tbl_Budget[[#This Row],[Variance_%]]&lt;-0.05,"Underspend","On Budget"))</f>
        <v>Underspend</v>
      </c>
    </row>
    <row r="628" spans="1:14" hidden="1">
      <c r="A628" s="1">
        <v>45108</v>
      </c>
      <c r="B628">
        <v>7</v>
      </c>
      <c r="C628" t="s">
        <v>42</v>
      </c>
      <c r="D628" t="s">
        <v>43</v>
      </c>
      <c r="E628">
        <v>2023</v>
      </c>
      <c r="F628" t="s">
        <v>24</v>
      </c>
      <c r="G628" t="s">
        <v>20</v>
      </c>
      <c r="H628" t="s">
        <v>18</v>
      </c>
      <c r="I628" t="s">
        <v>25</v>
      </c>
      <c r="J628">
        <v>27225.42</v>
      </c>
      <c r="K628">
        <v>24081</v>
      </c>
      <c r="L628" s="20">
        <f>tbl_Budget[[#This Row],[Actual]]-tbl_Budget[[#This Row],[Budget]]</f>
        <v>-3144.4199999999983</v>
      </c>
      <c r="M628" s="3">
        <f>tbl_Budget[[#This Row],[Variance]]/tbl_Budget[[#This Row],[Budget]]</f>
        <v>-0.115495738908711</v>
      </c>
      <c r="N628" t="str">
        <f>IF(tbl_Budget[[#This Row],[Variance_%]]&gt;0.05,"Overspend",IF(tbl_Budget[[#This Row],[Variance_%]]&lt;-0.05,"Underspend","On Budget"))</f>
        <v>Underspend</v>
      </c>
    </row>
    <row r="629" spans="1:14" hidden="1">
      <c r="A629" s="1">
        <v>45108</v>
      </c>
      <c r="B629">
        <v>7</v>
      </c>
      <c r="C629" t="s">
        <v>42</v>
      </c>
      <c r="D629" t="s">
        <v>43</v>
      </c>
      <c r="E629">
        <v>2023</v>
      </c>
      <c r="F629" t="s">
        <v>24</v>
      </c>
      <c r="G629" t="s">
        <v>20</v>
      </c>
      <c r="H629" t="s">
        <v>19</v>
      </c>
      <c r="I629" t="s">
        <v>25</v>
      </c>
      <c r="J629">
        <v>28994.73</v>
      </c>
      <c r="K629">
        <v>24675.38</v>
      </c>
      <c r="L629" s="20">
        <f>tbl_Budget[[#This Row],[Actual]]-tbl_Budget[[#This Row],[Budget]]</f>
        <v>-4319.3499999999985</v>
      </c>
      <c r="M629" s="3">
        <f>tbl_Budget[[#This Row],[Variance]]/tbl_Budget[[#This Row],[Budget]]</f>
        <v>-0.14897017492489148</v>
      </c>
      <c r="N629" t="str">
        <f>IF(tbl_Budget[[#This Row],[Variance_%]]&gt;0.05,"Overspend",IF(tbl_Budget[[#This Row],[Variance_%]]&lt;-0.05,"Underspend","On Budget"))</f>
        <v>Underspend</v>
      </c>
    </row>
    <row r="630" spans="1:14">
      <c r="A630" s="1">
        <v>45108</v>
      </c>
      <c r="B630">
        <v>7</v>
      </c>
      <c r="C630" t="s">
        <v>42</v>
      </c>
      <c r="D630" t="s">
        <v>43</v>
      </c>
      <c r="E630">
        <v>2023</v>
      </c>
      <c r="F630" t="s">
        <v>24</v>
      </c>
      <c r="G630" t="s">
        <v>21</v>
      </c>
      <c r="H630" t="s">
        <v>15</v>
      </c>
      <c r="I630" t="s">
        <v>25</v>
      </c>
      <c r="J630">
        <v>11168.65</v>
      </c>
      <c r="K630">
        <v>13416.9</v>
      </c>
      <c r="L630" s="20">
        <f>tbl_Budget[[#This Row],[Actual]]-tbl_Budget[[#This Row],[Budget]]</f>
        <v>2248.25</v>
      </c>
      <c r="M630" s="3">
        <f>tbl_Budget[[#This Row],[Variance]]/tbl_Budget[[#This Row],[Budget]]</f>
        <v>0.20130006759993374</v>
      </c>
      <c r="N630" t="str">
        <f>IF(tbl_Budget[[#This Row],[Variance_%]]&gt;0.05,"Overspend",IF(tbl_Budget[[#This Row],[Variance_%]]&lt;-0.05,"Underspend","On Budget"))</f>
        <v>Overspend</v>
      </c>
    </row>
    <row r="631" spans="1:14">
      <c r="A631" s="1">
        <v>45108</v>
      </c>
      <c r="B631">
        <v>7</v>
      </c>
      <c r="C631" t="s">
        <v>42</v>
      </c>
      <c r="D631" t="s">
        <v>43</v>
      </c>
      <c r="E631">
        <v>2023</v>
      </c>
      <c r="F631" t="s">
        <v>24</v>
      </c>
      <c r="G631" t="s">
        <v>21</v>
      </c>
      <c r="H631" t="s">
        <v>17</v>
      </c>
      <c r="I631" t="s">
        <v>25</v>
      </c>
      <c r="J631">
        <v>10441.31</v>
      </c>
      <c r="K631">
        <v>12269.1</v>
      </c>
      <c r="L631" s="20">
        <f>tbl_Budget[[#This Row],[Actual]]-tbl_Budget[[#This Row],[Budget]]</f>
        <v>1827.7900000000009</v>
      </c>
      <c r="M631" s="3">
        <f>tbl_Budget[[#This Row],[Variance]]/tbl_Budget[[#This Row],[Budget]]</f>
        <v>0.17505370494698472</v>
      </c>
      <c r="N631" t="str">
        <f>IF(tbl_Budget[[#This Row],[Variance_%]]&gt;0.05,"Overspend",IF(tbl_Budget[[#This Row],[Variance_%]]&lt;-0.05,"Underspend","On Budget"))</f>
        <v>Overspend</v>
      </c>
    </row>
    <row r="632" spans="1:14">
      <c r="A632" s="1">
        <v>45108</v>
      </c>
      <c r="B632">
        <v>7</v>
      </c>
      <c r="C632" t="s">
        <v>42</v>
      </c>
      <c r="D632" t="s">
        <v>43</v>
      </c>
      <c r="E632">
        <v>2023</v>
      </c>
      <c r="F632" t="s">
        <v>24</v>
      </c>
      <c r="G632" t="s">
        <v>21</v>
      </c>
      <c r="H632" t="s">
        <v>18</v>
      </c>
      <c r="I632" t="s">
        <v>25</v>
      </c>
      <c r="J632">
        <v>10719.32</v>
      </c>
      <c r="K632">
        <v>12432.58</v>
      </c>
      <c r="L632" s="20">
        <f>tbl_Budget[[#This Row],[Actual]]-tbl_Budget[[#This Row],[Budget]]</f>
        <v>1713.2600000000002</v>
      </c>
      <c r="M632" s="3">
        <f>tbl_Budget[[#This Row],[Variance]]/tbl_Budget[[#This Row],[Budget]]</f>
        <v>0.15982916826813642</v>
      </c>
      <c r="N632" t="str">
        <f>IF(tbl_Budget[[#This Row],[Variance_%]]&gt;0.05,"Overspend",IF(tbl_Budget[[#This Row],[Variance_%]]&lt;-0.05,"Underspend","On Budget"))</f>
        <v>Overspend</v>
      </c>
    </row>
    <row r="633" spans="1:14">
      <c r="A633" s="1">
        <v>45108</v>
      </c>
      <c r="B633">
        <v>7</v>
      </c>
      <c r="C633" t="s">
        <v>42</v>
      </c>
      <c r="D633" t="s">
        <v>43</v>
      </c>
      <c r="E633">
        <v>2023</v>
      </c>
      <c r="F633" t="s">
        <v>24</v>
      </c>
      <c r="G633" t="s">
        <v>21</v>
      </c>
      <c r="H633" t="s">
        <v>19</v>
      </c>
      <c r="I633" t="s">
        <v>25</v>
      </c>
      <c r="J633">
        <v>11419.12</v>
      </c>
      <c r="K633">
        <v>14016.37</v>
      </c>
      <c r="L633" s="20">
        <f>tbl_Budget[[#This Row],[Actual]]-tbl_Budget[[#This Row],[Budget]]</f>
        <v>2597.25</v>
      </c>
      <c r="M633" s="3">
        <f>tbl_Budget[[#This Row],[Variance]]/tbl_Budget[[#This Row],[Budget]]</f>
        <v>0.22744747406104848</v>
      </c>
      <c r="N633" t="str">
        <f>IF(tbl_Budget[[#This Row],[Variance_%]]&gt;0.05,"Overspend",IF(tbl_Budget[[#This Row],[Variance_%]]&lt;-0.05,"Underspend","On Budget"))</f>
        <v>Overspend</v>
      </c>
    </row>
    <row r="634" spans="1:14" hidden="1">
      <c r="A634" s="1">
        <v>45108</v>
      </c>
      <c r="B634">
        <v>7</v>
      </c>
      <c r="C634" t="s">
        <v>42</v>
      </c>
      <c r="D634" t="s">
        <v>43</v>
      </c>
      <c r="E634">
        <v>2023</v>
      </c>
      <c r="F634" t="s">
        <v>24</v>
      </c>
      <c r="G634" t="s">
        <v>22</v>
      </c>
      <c r="H634" t="s">
        <v>15</v>
      </c>
      <c r="I634" t="s">
        <v>25</v>
      </c>
      <c r="J634">
        <v>8562.2000000000007</v>
      </c>
      <c r="K634">
        <v>7459.71</v>
      </c>
      <c r="L634" s="20">
        <f>tbl_Budget[[#This Row],[Actual]]-tbl_Budget[[#This Row],[Budget]]</f>
        <v>-1102.4900000000007</v>
      </c>
      <c r="M634" s="3">
        <f>tbl_Budget[[#This Row],[Variance]]/tbl_Budget[[#This Row],[Budget]]</f>
        <v>-0.12876246759010543</v>
      </c>
      <c r="N634" t="str">
        <f>IF(tbl_Budget[[#This Row],[Variance_%]]&gt;0.05,"Overspend",IF(tbl_Budget[[#This Row],[Variance_%]]&lt;-0.05,"Underspend","On Budget"))</f>
        <v>Underspend</v>
      </c>
    </row>
    <row r="635" spans="1:14" hidden="1">
      <c r="A635" s="1">
        <v>45108</v>
      </c>
      <c r="B635">
        <v>7</v>
      </c>
      <c r="C635" t="s">
        <v>42</v>
      </c>
      <c r="D635" t="s">
        <v>43</v>
      </c>
      <c r="E635">
        <v>2023</v>
      </c>
      <c r="F635" t="s">
        <v>24</v>
      </c>
      <c r="G635" t="s">
        <v>22</v>
      </c>
      <c r="H635" t="s">
        <v>17</v>
      </c>
      <c r="I635" t="s">
        <v>25</v>
      </c>
      <c r="J635">
        <v>7886.83</v>
      </c>
      <c r="K635">
        <v>7075.55</v>
      </c>
      <c r="L635" s="20">
        <f>tbl_Budget[[#This Row],[Actual]]-tbl_Budget[[#This Row],[Budget]]</f>
        <v>-811.27999999999975</v>
      </c>
      <c r="M635" s="3">
        <f>tbl_Budget[[#This Row],[Variance]]/tbl_Budget[[#This Row],[Budget]]</f>
        <v>-0.10286515621612229</v>
      </c>
      <c r="N635" t="str">
        <f>IF(tbl_Budget[[#This Row],[Variance_%]]&gt;0.05,"Overspend",IF(tbl_Budget[[#This Row],[Variance_%]]&lt;-0.05,"Underspend","On Budget"))</f>
        <v>Underspend</v>
      </c>
    </row>
    <row r="636" spans="1:14" hidden="1">
      <c r="A636" s="1">
        <v>45108</v>
      </c>
      <c r="B636">
        <v>7</v>
      </c>
      <c r="C636" t="s">
        <v>42</v>
      </c>
      <c r="D636" t="s">
        <v>43</v>
      </c>
      <c r="E636">
        <v>2023</v>
      </c>
      <c r="F636" t="s">
        <v>24</v>
      </c>
      <c r="G636" t="s">
        <v>22</v>
      </c>
      <c r="H636" t="s">
        <v>18</v>
      </c>
      <c r="I636" t="s">
        <v>25</v>
      </c>
      <c r="J636">
        <v>8017.66</v>
      </c>
      <c r="K636">
        <v>6942.24</v>
      </c>
      <c r="L636" s="20">
        <f>tbl_Budget[[#This Row],[Actual]]-tbl_Budget[[#This Row],[Budget]]</f>
        <v>-1075.42</v>
      </c>
      <c r="M636" s="3">
        <f>tbl_Budget[[#This Row],[Variance]]/tbl_Budget[[#This Row],[Budget]]</f>
        <v>-0.1341314049236311</v>
      </c>
      <c r="N636" t="str">
        <f>IF(tbl_Budget[[#This Row],[Variance_%]]&gt;0.05,"Overspend",IF(tbl_Budget[[#This Row],[Variance_%]]&lt;-0.05,"Underspend","On Budget"))</f>
        <v>Underspend</v>
      </c>
    </row>
    <row r="637" spans="1:14" hidden="1">
      <c r="A637" s="1">
        <v>45108</v>
      </c>
      <c r="B637">
        <v>7</v>
      </c>
      <c r="C637" t="s">
        <v>42</v>
      </c>
      <c r="D637" t="s">
        <v>43</v>
      </c>
      <c r="E637">
        <v>2023</v>
      </c>
      <c r="F637" t="s">
        <v>24</v>
      </c>
      <c r="G637" t="s">
        <v>22</v>
      </c>
      <c r="H637" t="s">
        <v>19</v>
      </c>
      <c r="I637" t="s">
        <v>25</v>
      </c>
      <c r="J637">
        <v>8864.4500000000007</v>
      </c>
      <c r="K637">
        <v>7556.1</v>
      </c>
      <c r="L637" s="20">
        <f>tbl_Budget[[#This Row],[Actual]]-tbl_Budget[[#This Row],[Budget]]</f>
        <v>-1308.3500000000004</v>
      </c>
      <c r="M637" s="3">
        <f>tbl_Budget[[#This Row],[Variance]]/tbl_Budget[[#This Row],[Budget]]</f>
        <v>-0.14759516946905901</v>
      </c>
      <c r="N637" t="str">
        <f>IF(tbl_Budget[[#This Row],[Variance_%]]&gt;0.05,"Overspend",IF(tbl_Budget[[#This Row],[Variance_%]]&lt;-0.05,"Underspend","On Budget"))</f>
        <v>Underspend</v>
      </c>
    </row>
    <row r="638" spans="1:14" hidden="1">
      <c r="A638" s="1">
        <v>45108</v>
      </c>
      <c r="B638">
        <v>7</v>
      </c>
      <c r="C638" t="s">
        <v>42</v>
      </c>
      <c r="D638" t="s">
        <v>43</v>
      </c>
      <c r="E638">
        <v>2023</v>
      </c>
      <c r="F638" t="s">
        <v>24</v>
      </c>
      <c r="G638" t="s">
        <v>23</v>
      </c>
      <c r="H638" t="s">
        <v>15</v>
      </c>
      <c r="I638" t="s">
        <v>25</v>
      </c>
      <c r="J638">
        <v>7362.4</v>
      </c>
      <c r="K638">
        <v>6537.83</v>
      </c>
      <c r="L638" s="20">
        <f>tbl_Budget[[#This Row],[Actual]]-tbl_Budget[[#This Row],[Budget]]</f>
        <v>-824.56999999999971</v>
      </c>
      <c r="M638" s="3">
        <f>tbl_Budget[[#This Row],[Variance]]/tbl_Budget[[#This Row],[Budget]]</f>
        <v>-0.11199744648484186</v>
      </c>
      <c r="N638" t="str">
        <f>IF(tbl_Budget[[#This Row],[Variance_%]]&gt;0.05,"Overspend",IF(tbl_Budget[[#This Row],[Variance_%]]&lt;-0.05,"Underspend","On Budget"))</f>
        <v>Underspend</v>
      </c>
    </row>
    <row r="639" spans="1:14" hidden="1">
      <c r="A639" s="1">
        <v>45108</v>
      </c>
      <c r="B639">
        <v>7</v>
      </c>
      <c r="C639" t="s">
        <v>42</v>
      </c>
      <c r="D639" t="s">
        <v>43</v>
      </c>
      <c r="E639">
        <v>2023</v>
      </c>
      <c r="F639" t="s">
        <v>24</v>
      </c>
      <c r="G639" t="s">
        <v>23</v>
      </c>
      <c r="H639" t="s">
        <v>17</v>
      </c>
      <c r="I639" t="s">
        <v>25</v>
      </c>
      <c r="J639">
        <v>7127.05</v>
      </c>
      <c r="K639">
        <v>6209.15</v>
      </c>
      <c r="L639" s="20">
        <f>tbl_Budget[[#This Row],[Actual]]-tbl_Budget[[#This Row],[Budget]]</f>
        <v>-917.90000000000055</v>
      </c>
      <c r="M639" s="3">
        <f>tbl_Budget[[#This Row],[Variance]]/tbl_Budget[[#This Row],[Budget]]</f>
        <v>-0.12879101451512204</v>
      </c>
      <c r="N639" t="str">
        <f>IF(tbl_Budget[[#This Row],[Variance_%]]&gt;0.05,"Overspend",IF(tbl_Budget[[#This Row],[Variance_%]]&lt;-0.05,"Underspend","On Budget"))</f>
        <v>Underspend</v>
      </c>
    </row>
    <row r="640" spans="1:14" hidden="1">
      <c r="A640" s="1">
        <v>45108</v>
      </c>
      <c r="B640">
        <v>7</v>
      </c>
      <c r="C640" t="s">
        <v>42</v>
      </c>
      <c r="D640" t="s">
        <v>43</v>
      </c>
      <c r="E640">
        <v>2023</v>
      </c>
      <c r="F640" t="s">
        <v>24</v>
      </c>
      <c r="G640" t="s">
        <v>23</v>
      </c>
      <c r="H640" t="s">
        <v>18</v>
      </c>
      <c r="I640" t="s">
        <v>25</v>
      </c>
      <c r="J640">
        <v>7070.33</v>
      </c>
      <c r="K640">
        <v>6103.1</v>
      </c>
      <c r="L640" s="20">
        <f>tbl_Budget[[#This Row],[Actual]]-tbl_Budget[[#This Row],[Budget]]</f>
        <v>-967.22999999999956</v>
      </c>
      <c r="M640" s="3">
        <f>tbl_Budget[[#This Row],[Variance]]/tbl_Budget[[#This Row],[Budget]]</f>
        <v>-0.13680125255822564</v>
      </c>
      <c r="N640" t="str">
        <f>IF(tbl_Budget[[#This Row],[Variance_%]]&gt;0.05,"Overspend",IF(tbl_Budget[[#This Row],[Variance_%]]&lt;-0.05,"Underspend","On Budget"))</f>
        <v>Underspend</v>
      </c>
    </row>
    <row r="641" spans="1:14" hidden="1">
      <c r="A641" s="1">
        <v>45108</v>
      </c>
      <c r="B641">
        <v>7</v>
      </c>
      <c r="C641" t="s">
        <v>42</v>
      </c>
      <c r="D641" t="s">
        <v>43</v>
      </c>
      <c r="E641">
        <v>2023</v>
      </c>
      <c r="F641" t="s">
        <v>24</v>
      </c>
      <c r="G641" t="s">
        <v>23</v>
      </c>
      <c r="H641" t="s">
        <v>19</v>
      </c>
      <c r="I641" t="s">
        <v>25</v>
      </c>
      <c r="J641">
        <v>7369.22</v>
      </c>
      <c r="K641">
        <v>6420.65</v>
      </c>
      <c r="L641" s="20">
        <f>tbl_Budget[[#This Row],[Actual]]-tbl_Budget[[#This Row],[Budget]]</f>
        <v>-948.57000000000062</v>
      </c>
      <c r="M641" s="3">
        <f>tbl_Budget[[#This Row],[Variance]]/tbl_Budget[[#This Row],[Budget]]</f>
        <v>-0.12872054301540742</v>
      </c>
      <c r="N641" t="str">
        <f>IF(tbl_Budget[[#This Row],[Variance_%]]&gt;0.05,"Overspend",IF(tbl_Budget[[#This Row],[Variance_%]]&lt;-0.05,"Underspend","On Budget"))</f>
        <v>Underspend</v>
      </c>
    </row>
    <row r="642" spans="1:14" hidden="1">
      <c r="A642" s="1">
        <v>45108</v>
      </c>
      <c r="B642">
        <v>7</v>
      </c>
      <c r="C642" t="s">
        <v>42</v>
      </c>
      <c r="D642" t="s">
        <v>43</v>
      </c>
      <c r="E642">
        <v>2023</v>
      </c>
      <c r="F642" t="s">
        <v>26</v>
      </c>
      <c r="G642" t="s">
        <v>14</v>
      </c>
      <c r="H642" t="s">
        <v>15</v>
      </c>
      <c r="I642" t="s">
        <v>27</v>
      </c>
      <c r="J642">
        <v>43287.16</v>
      </c>
      <c r="K642">
        <v>43253.41</v>
      </c>
      <c r="L642" s="20">
        <f>tbl_Budget[[#This Row],[Actual]]-tbl_Budget[[#This Row],[Budget]]</f>
        <v>-33.75</v>
      </c>
      <c r="M642" s="3">
        <f>tbl_Budget[[#This Row],[Variance]]/tbl_Budget[[#This Row],[Budget]]</f>
        <v>-7.7967692960221918E-4</v>
      </c>
      <c r="N642" t="str">
        <f>IF(tbl_Budget[[#This Row],[Variance_%]]&gt;0.05,"Overspend",IF(tbl_Budget[[#This Row],[Variance_%]]&lt;-0.05,"Underspend","On Budget"))</f>
        <v>On Budget</v>
      </c>
    </row>
    <row r="643" spans="1:14" hidden="1">
      <c r="A643" s="1">
        <v>45108</v>
      </c>
      <c r="B643">
        <v>7</v>
      </c>
      <c r="C643" t="s">
        <v>42</v>
      </c>
      <c r="D643" t="s">
        <v>43</v>
      </c>
      <c r="E643">
        <v>2023</v>
      </c>
      <c r="F643" t="s">
        <v>26</v>
      </c>
      <c r="G643" t="s">
        <v>14</v>
      </c>
      <c r="H643" t="s">
        <v>17</v>
      </c>
      <c r="I643" t="s">
        <v>27</v>
      </c>
      <c r="J643">
        <v>42692.21</v>
      </c>
      <c r="K643">
        <v>43670.39</v>
      </c>
      <c r="L643" s="20">
        <f>tbl_Budget[[#This Row],[Actual]]-tbl_Budget[[#This Row],[Budget]]</f>
        <v>978.18000000000029</v>
      </c>
      <c r="M643" s="3">
        <f>tbl_Budget[[#This Row],[Variance]]/tbl_Budget[[#This Row],[Budget]]</f>
        <v>2.2912376754447714E-2</v>
      </c>
      <c r="N643" t="str">
        <f>IF(tbl_Budget[[#This Row],[Variance_%]]&gt;0.05,"Overspend",IF(tbl_Budget[[#This Row],[Variance_%]]&lt;-0.05,"Underspend","On Budget"))</f>
        <v>On Budget</v>
      </c>
    </row>
    <row r="644" spans="1:14" hidden="1">
      <c r="A644" s="1">
        <v>45108</v>
      </c>
      <c r="B644">
        <v>7</v>
      </c>
      <c r="C644" t="s">
        <v>42</v>
      </c>
      <c r="D644" t="s">
        <v>43</v>
      </c>
      <c r="E644">
        <v>2023</v>
      </c>
      <c r="F644" t="s">
        <v>26</v>
      </c>
      <c r="G644" t="s">
        <v>14</v>
      </c>
      <c r="H644" t="s">
        <v>18</v>
      </c>
      <c r="I644" t="s">
        <v>27</v>
      </c>
      <c r="J644">
        <v>43826.52</v>
      </c>
      <c r="K644">
        <v>42760.67</v>
      </c>
      <c r="L644" s="20">
        <f>tbl_Budget[[#This Row],[Actual]]-tbl_Budget[[#This Row],[Budget]]</f>
        <v>-1065.8499999999985</v>
      </c>
      <c r="M644" s="3">
        <f>tbl_Budget[[#This Row],[Variance]]/tbl_Budget[[#This Row],[Budget]]</f>
        <v>-2.4319749777075583E-2</v>
      </c>
      <c r="N644" t="str">
        <f>IF(tbl_Budget[[#This Row],[Variance_%]]&gt;0.05,"Overspend",IF(tbl_Budget[[#This Row],[Variance_%]]&lt;-0.05,"Underspend","On Budget"))</f>
        <v>On Budget</v>
      </c>
    </row>
    <row r="645" spans="1:14" hidden="1">
      <c r="A645" s="1">
        <v>45108</v>
      </c>
      <c r="B645">
        <v>7</v>
      </c>
      <c r="C645" t="s">
        <v>42</v>
      </c>
      <c r="D645" t="s">
        <v>43</v>
      </c>
      <c r="E645">
        <v>2023</v>
      </c>
      <c r="F645" t="s">
        <v>26</v>
      </c>
      <c r="G645" t="s">
        <v>14</v>
      </c>
      <c r="H645" t="s">
        <v>19</v>
      </c>
      <c r="I645" t="s">
        <v>27</v>
      </c>
      <c r="J645">
        <v>46593.48</v>
      </c>
      <c r="K645">
        <v>45462.41</v>
      </c>
      <c r="L645" s="20">
        <f>tbl_Budget[[#This Row],[Actual]]-tbl_Budget[[#This Row],[Budget]]</f>
        <v>-1131.0699999999997</v>
      </c>
      <c r="M645" s="3">
        <f>tbl_Budget[[#This Row],[Variance]]/tbl_Budget[[#This Row],[Budget]]</f>
        <v>-2.4275284868183266E-2</v>
      </c>
      <c r="N645" t="str">
        <f>IF(tbl_Budget[[#This Row],[Variance_%]]&gt;0.05,"Overspend",IF(tbl_Budget[[#This Row],[Variance_%]]&lt;-0.05,"Underspend","On Budget"))</f>
        <v>On Budget</v>
      </c>
    </row>
    <row r="646" spans="1:14" hidden="1">
      <c r="A646" s="1">
        <v>45108</v>
      </c>
      <c r="B646">
        <v>7</v>
      </c>
      <c r="C646" t="s">
        <v>42</v>
      </c>
      <c r="D646" t="s">
        <v>43</v>
      </c>
      <c r="E646">
        <v>2023</v>
      </c>
      <c r="F646" t="s">
        <v>26</v>
      </c>
      <c r="G646" t="s">
        <v>20</v>
      </c>
      <c r="H646" t="s">
        <v>15</v>
      </c>
      <c r="I646" t="s">
        <v>27</v>
      </c>
      <c r="J646">
        <v>14910.15</v>
      </c>
      <c r="K646">
        <v>14844.2</v>
      </c>
      <c r="L646" s="20">
        <f>tbl_Budget[[#This Row],[Actual]]-tbl_Budget[[#This Row],[Budget]]</f>
        <v>-65.949999999998909</v>
      </c>
      <c r="M646" s="3">
        <f>tbl_Budget[[#This Row],[Variance]]/tbl_Budget[[#This Row],[Budget]]</f>
        <v>-4.4231614034733998E-3</v>
      </c>
      <c r="N646" t="str">
        <f>IF(tbl_Budget[[#This Row],[Variance_%]]&gt;0.05,"Overspend",IF(tbl_Budget[[#This Row],[Variance_%]]&lt;-0.05,"Underspend","On Budget"))</f>
        <v>On Budget</v>
      </c>
    </row>
    <row r="647" spans="1:14" hidden="1">
      <c r="A647" s="1">
        <v>45108</v>
      </c>
      <c r="B647">
        <v>7</v>
      </c>
      <c r="C647" t="s">
        <v>42</v>
      </c>
      <c r="D647" t="s">
        <v>43</v>
      </c>
      <c r="E647">
        <v>2023</v>
      </c>
      <c r="F647" t="s">
        <v>26</v>
      </c>
      <c r="G647" t="s">
        <v>20</v>
      </c>
      <c r="H647" t="s">
        <v>17</v>
      </c>
      <c r="I647" t="s">
        <v>27</v>
      </c>
      <c r="J647">
        <v>14145.74</v>
      </c>
      <c r="K647">
        <v>14543.86</v>
      </c>
      <c r="L647" s="20">
        <f>tbl_Budget[[#This Row],[Actual]]-tbl_Budget[[#This Row],[Budget]]</f>
        <v>398.1200000000008</v>
      </c>
      <c r="M647" s="3">
        <f>tbl_Budget[[#This Row],[Variance]]/tbl_Budget[[#This Row],[Budget]]</f>
        <v>2.8144162129376111E-2</v>
      </c>
      <c r="N647" t="str">
        <f>IF(tbl_Budget[[#This Row],[Variance_%]]&gt;0.05,"Overspend",IF(tbl_Budget[[#This Row],[Variance_%]]&lt;-0.05,"Underspend","On Budget"))</f>
        <v>On Budget</v>
      </c>
    </row>
    <row r="648" spans="1:14" hidden="1">
      <c r="A648" s="1">
        <v>45108</v>
      </c>
      <c r="B648">
        <v>7</v>
      </c>
      <c r="C648" t="s">
        <v>42</v>
      </c>
      <c r="D648" t="s">
        <v>43</v>
      </c>
      <c r="E648">
        <v>2023</v>
      </c>
      <c r="F648" t="s">
        <v>26</v>
      </c>
      <c r="G648" t="s">
        <v>20</v>
      </c>
      <c r="H648" t="s">
        <v>18</v>
      </c>
      <c r="I648" t="s">
        <v>27</v>
      </c>
      <c r="J648">
        <v>14456.23</v>
      </c>
      <c r="K648">
        <v>14685.84</v>
      </c>
      <c r="L648" s="20">
        <f>tbl_Budget[[#This Row],[Actual]]-tbl_Budget[[#This Row],[Budget]]</f>
        <v>229.61000000000058</v>
      </c>
      <c r="M648" s="3">
        <f>tbl_Budget[[#This Row],[Variance]]/tbl_Budget[[#This Row],[Budget]]</f>
        <v>1.5883117520958133E-2</v>
      </c>
      <c r="N648" t="str">
        <f>IF(tbl_Budget[[#This Row],[Variance_%]]&gt;0.05,"Overspend",IF(tbl_Budget[[#This Row],[Variance_%]]&lt;-0.05,"Underspend","On Budget"))</f>
        <v>On Budget</v>
      </c>
    </row>
    <row r="649" spans="1:14" hidden="1">
      <c r="A649" s="1">
        <v>45108</v>
      </c>
      <c r="B649">
        <v>7</v>
      </c>
      <c r="C649" t="s">
        <v>42</v>
      </c>
      <c r="D649" t="s">
        <v>43</v>
      </c>
      <c r="E649">
        <v>2023</v>
      </c>
      <c r="F649" t="s">
        <v>26</v>
      </c>
      <c r="G649" t="s">
        <v>20</v>
      </c>
      <c r="H649" t="s">
        <v>19</v>
      </c>
      <c r="I649" t="s">
        <v>27</v>
      </c>
      <c r="J649">
        <v>16152</v>
      </c>
      <c r="K649">
        <v>16428.07</v>
      </c>
      <c r="L649" s="20">
        <f>tbl_Budget[[#This Row],[Actual]]-tbl_Budget[[#This Row],[Budget]]</f>
        <v>276.06999999999971</v>
      </c>
      <c r="M649" s="3">
        <f>tbl_Budget[[#This Row],[Variance]]/tbl_Budget[[#This Row],[Budget]]</f>
        <v>1.7092000990589384E-2</v>
      </c>
      <c r="N649" t="str">
        <f>IF(tbl_Budget[[#This Row],[Variance_%]]&gt;0.05,"Overspend",IF(tbl_Budget[[#This Row],[Variance_%]]&lt;-0.05,"Underspend","On Budget"))</f>
        <v>On Budget</v>
      </c>
    </row>
    <row r="650" spans="1:14">
      <c r="A650" s="1">
        <v>45108</v>
      </c>
      <c r="B650">
        <v>7</v>
      </c>
      <c r="C650" t="s">
        <v>42</v>
      </c>
      <c r="D650" t="s">
        <v>43</v>
      </c>
      <c r="E650">
        <v>2023</v>
      </c>
      <c r="F650" t="s">
        <v>26</v>
      </c>
      <c r="G650" t="s">
        <v>21</v>
      </c>
      <c r="H650" t="s">
        <v>15</v>
      </c>
      <c r="I650" t="s">
        <v>27</v>
      </c>
      <c r="J650">
        <v>8662.99</v>
      </c>
      <c r="K650">
        <v>12406.78</v>
      </c>
      <c r="L650" s="20">
        <f>tbl_Budget[[#This Row],[Actual]]-tbl_Budget[[#This Row],[Budget]]</f>
        <v>3743.7900000000009</v>
      </c>
      <c r="M650" s="3">
        <f>tbl_Budget[[#This Row],[Variance]]/tbl_Budget[[#This Row],[Budget]]</f>
        <v>0.43215910442006755</v>
      </c>
      <c r="N650" t="str">
        <f>IF(tbl_Budget[[#This Row],[Variance_%]]&gt;0.05,"Overspend",IF(tbl_Budget[[#This Row],[Variance_%]]&lt;-0.05,"Underspend","On Budget"))</f>
        <v>Overspend</v>
      </c>
    </row>
    <row r="651" spans="1:14">
      <c r="A651" s="1">
        <v>45108</v>
      </c>
      <c r="B651">
        <v>7</v>
      </c>
      <c r="C651" t="s">
        <v>42</v>
      </c>
      <c r="D651" t="s">
        <v>43</v>
      </c>
      <c r="E651">
        <v>2023</v>
      </c>
      <c r="F651" t="s">
        <v>26</v>
      </c>
      <c r="G651" t="s">
        <v>21</v>
      </c>
      <c r="H651" t="s">
        <v>17</v>
      </c>
      <c r="I651" t="s">
        <v>27</v>
      </c>
      <c r="J651">
        <v>8138.9</v>
      </c>
      <c r="K651">
        <v>11091.4</v>
      </c>
      <c r="L651" s="20">
        <f>tbl_Budget[[#This Row],[Actual]]-tbl_Budget[[#This Row],[Budget]]</f>
        <v>2952.5</v>
      </c>
      <c r="M651" s="3">
        <f>tbl_Budget[[#This Row],[Variance]]/tbl_Budget[[#This Row],[Budget]]</f>
        <v>0.36276400987848484</v>
      </c>
      <c r="N651" t="str">
        <f>IF(tbl_Budget[[#This Row],[Variance_%]]&gt;0.05,"Overspend",IF(tbl_Budget[[#This Row],[Variance_%]]&lt;-0.05,"Underspend","On Budget"))</f>
        <v>Overspend</v>
      </c>
    </row>
    <row r="652" spans="1:14">
      <c r="A652" s="1">
        <v>45108</v>
      </c>
      <c r="B652">
        <v>7</v>
      </c>
      <c r="C652" t="s">
        <v>42</v>
      </c>
      <c r="D652" t="s">
        <v>43</v>
      </c>
      <c r="E652">
        <v>2023</v>
      </c>
      <c r="F652" t="s">
        <v>26</v>
      </c>
      <c r="G652" t="s">
        <v>21</v>
      </c>
      <c r="H652" t="s">
        <v>18</v>
      </c>
      <c r="I652" t="s">
        <v>27</v>
      </c>
      <c r="J652">
        <v>8337</v>
      </c>
      <c r="K652">
        <v>11195.35</v>
      </c>
      <c r="L652" s="20">
        <f>tbl_Budget[[#This Row],[Actual]]-tbl_Budget[[#This Row],[Budget]]</f>
        <v>2858.3500000000004</v>
      </c>
      <c r="M652" s="3">
        <f>tbl_Budget[[#This Row],[Variance]]/tbl_Budget[[#This Row],[Budget]]</f>
        <v>0.34285114549598183</v>
      </c>
      <c r="N652" t="str">
        <f>IF(tbl_Budget[[#This Row],[Variance_%]]&gt;0.05,"Overspend",IF(tbl_Budget[[#This Row],[Variance_%]]&lt;-0.05,"Underspend","On Budget"))</f>
        <v>Overspend</v>
      </c>
    </row>
    <row r="653" spans="1:14">
      <c r="A653" s="1">
        <v>45108</v>
      </c>
      <c r="B653">
        <v>7</v>
      </c>
      <c r="C653" t="s">
        <v>42</v>
      </c>
      <c r="D653" t="s">
        <v>43</v>
      </c>
      <c r="E653">
        <v>2023</v>
      </c>
      <c r="F653" t="s">
        <v>26</v>
      </c>
      <c r="G653" t="s">
        <v>21</v>
      </c>
      <c r="H653" t="s">
        <v>19</v>
      </c>
      <c r="I653" t="s">
        <v>27</v>
      </c>
      <c r="J653">
        <v>8987.06</v>
      </c>
      <c r="K653">
        <v>12194.4</v>
      </c>
      <c r="L653" s="20">
        <f>tbl_Budget[[#This Row],[Actual]]-tbl_Budget[[#This Row],[Budget]]</f>
        <v>3207.34</v>
      </c>
      <c r="M653" s="3">
        <f>tbl_Budget[[#This Row],[Variance]]/tbl_Budget[[#This Row],[Budget]]</f>
        <v>0.35688423132815406</v>
      </c>
      <c r="N653" t="str">
        <f>IF(tbl_Budget[[#This Row],[Variance_%]]&gt;0.05,"Overspend",IF(tbl_Budget[[#This Row],[Variance_%]]&lt;-0.05,"Underspend","On Budget"))</f>
        <v>Overspend</v>
      </c>
    </row>
    <row r="654" spans="1:14" hidden="1">
      <c r="A654" s="1">
        <v>45108</v>
      </c>
      <c r="B654">
        <v>7</v>
      </c>
      <c r="C654" t="s">
        <v>42</v>
      </c>
      <c r="D654" t="s">
        <v>43</v>
      </c>
      <c r="E654">
        <v>2023</v>
      </c>
      <c r="F654" t="s">
        <v>26</v>
      </c>
      <c r="G654" t="s">
        <v>22</v>
      </c>
      <c r="H654" t="s">
        <v>15</v>
      </c>
      <c r="I654" t="s">
        <v>27</v>
      </c>
      <c r="J654">
        <v>6622.24</v>
      </c>
      <c r="K654">
        <v>6601.26</v>
      </c>
      <c r="L654" s="20">
        <f>tbl_Budget[[#This Row],[Actual]]-tbl_Budget[[#This Row],[Budget]]</f>
        <v>-20.979999999999563</v>
      </c>
      <c r="M654" s="3">
        <f>tbl_Budget[[#This Row],[Variance]]/tbl_Budget[[#This Row],[Budget]]</f>
        <v>-3.1681123003695975E-3</v>
      </c>
      <c r="N654" t="str">
        <f>IF(tbl_Budget[[#This Row],[Variance_%]]&gt;0.05,"Overspend",IF(tbl_Budget[[#This Row],[Variance_%]]&lt;-0.05,"Underspend","On Budget"))</f>
        <v>On Budget</v>
      </c>
    </row>
    <row r="655" spans="1:14" hidden="1">
      <c r="A655" s="1">
        <v>45108</v>
      </c>
      <c r="B655">
        <v>7</v>
      </c>
      <c r="C655" t="s">
        <v>42</v>
      </c>
      <c r="D655" t="s">
        <v>43</v>
      </c>
      <c r="E655">
        <v>2023</v>
      </c>
      <c r="F655" t="s">
        <v>26</v>
      </c>
      <c r="G655" t="s">
        <v>22</v>
      </c>
      <c r="H655" t="s">
        <v>17</v>
      </c>
      <c r="I655" t="s">
        <v>27</v>
      </c>
      <c r="J655">
        <v>6488.97</v>
      </c>
      <c r="K655">
        <v>6562.49</v>
      </c>
      <c r="L655" s="20">
        <f>tbl_Budget[[#This Row],[Actual]]-tbl_Budget[[#This Row],[Budget]]</f>
        <v>73.519999999999527</v>
      </c>
      <c r="M655" s="3">
        <f>tbl_Budget[[#This Row],[Variance]]/tbl_Budget[[#This Row],[Budget]]</f>
        <v>1.132999536135928E-2</v>
      </c>
      <c r="N655" t="str">
        <f>IF(tbl_Budget[[#This Row],[Variance_%]]&gt;0.05,"Overspend",IF(tbl_Budget[[#This Row],[Variance_%]]&lt;-0.05,"Underspend","On Budget"))</f>
        <v>On Budget</v>
      </c>
    </row>
    <row r="656" spans="1:14" hidden="1">
      <c r="A656" s="1">
        <v>45108</v>
      </c>
      <c r="B656">
        <v>7</v>
      </c>
      <c r="C656" t="s">
        <v>42</v>
      </c>
      <c r="D656" t="s">
        <v>43</v>
      </c>
      <c r="E656">
        <v>2023</v>
      </c>
      <c r="F656" t="s">
        <v>26</v>
      </c>
      <c r="G656" t="s">
        <v>22</v>
      </c>
      <c r="H656" t="s">
        <v>18</v>
      </c>
      <c r="I656" t="s">
        <v>27</v>
      </c>
      <c r="J656">
        <v>6314.35</v>
      </c>
      <c r="K656">
        <v>6203.63</v>
      </c>
      <c r="L656" s="20">
        <f>tbl_Budget[[#This Row],[Actual]]-tbl_Budget[[#This Row],[Budget]]</f>
        <v>-110.72000000000025</v>
      </c>
      <c r="M656" s="3">
        <f>tbl_Budget[[#This Row],[Variance]]/tbl_Budget[[#This Row],[Budget]]</f>
        <v>-1.7534663108633549E-2</v>
      </c>
      <c r="N656" t="str">
        <f>IF(tbl_Budget[[#This Row],[Variance_%]]&gt;0.05,"Overspend",IF(tbl_Budget[[#This Row],[Variance_%]]&lt;-0.05,"Underspend","On Budget"))</f>
        <v>On Budget</v>
      </c>
    </row>
    <row r="657" spans="1:14" hidden="1">
      <c r="A657" s="1">
        <v>45108</v>
      </c>
      <c r="B657">
        <v>7</v>
      </c>
      <c r="C657" t="s">
        <v>42</v>
      </c>
      <c r="D657" t="s">
        <v>43</v>
      </c>
      <c r="E657">
        <v>2023</v>
      </c>
      <c r="F657" t="s">
        <v>26</v>
      </c>
      <c r="G657" t="s">
        <v>22</v>
      </c>
      <c r="H657" t="s">
        <v>19</v>
      </c>
      <c r="I657" t="s">
        <v>27</v>
      </c>
      <c r="J657">
        <v>7073.78</v>
      </c>
      <c r="K657">
        <v>7132.31</v>
      </c>
      <c r="L657" s="20">
        <f>tbl_Budget[[#This Row],[Actual]]-tbl_Budget[[#This Row],[Budget]]</f>
        <v>58.530000000000655</v>
      </c>
      <c r="M657" s="3">
        <f>tbl_Budget[[#This Row],[Variance]]/tbl_Budget[[#This Row],[Budget]]</f>
        <v>8.2742183104366623E-3</v>
      </c>
      <c r="N657" t="str">
        <f>IF(tbl_Budget[[#This Row],[Variance_%]]&gt;0.05,"Overspend",IF(tbl_Budget[[#This Row],[Variance_%]]&lt;-0.05,"Underspend","On Budget"))</f>
        <v>On Budget</v>
      </c>
    </row>
    <row r="658" spans="1:14" hidden="1">
      <c r="A658" s="1">
        <v>45108</v>
      </c>
      <c r="B658">
        <v>7</v>
      </c>
      <c r="C658" t="s">
        <v>42</v>
      </c>
      <c r="D658" t="s">
        <v>43</v>
      </c>
      <c r="E658">
        <v>2023</v>
      </c>
      <c r="F658" t="s">
        <v>26</v>
      </c>
      <c r="G658" t="s">
        <v>23</v>
      </c>
      <c r="H658" t="s">
        <v>15</v>
      </c>
      <c r="I658" t="s">
        <v>27</v>
      </c>
      <c r="J658">
        <v>5808.26</v>
      </c>
      <c r="K658">
        <v>5806.37</v>
      </c>
      <c r="L658" s="20">
        <f>tbl_Budget[[#This Row],[Actual]]-tbl_Budget[[#This Row],[Budget]]</f>
        <v>-1.8900000000003274</v>
      </c>
      <c r="M658" s="3">
        <f>tbl_Budget[[#This Row],[Variance]]/tbl_Budget[[#This Row],[Budget]]</f>
        <v>-3.2539865639629205E-4</v>
      </c>
      <c r="N658" t="str">
        <f>IF(tbl_Budget[[#This Row],[Variance_%]]&gt;0.05,"Overspend",IF(tbl_Budget[[#This Row],[Variance_%]]&lt;-0.05,"Underspend","On Budget"))</f>
        <v>On Budget</v>
      </c>
    </row>
    <row r="659" spans="1:14" hidden="1">
      <c r="A659" s="1">
        <v>45108</v>
      </c>
      <c r="B659">
        <v>7</v>
      </c>
      <c r="C659" t="s">
        <v>42</v>
      </c>
      <c r="D659" t="s">
        <v>43</v>
      </c>
      <c r="E659">
        <v>2023</v>
      </c>
      <c r="F659" t="s">
        <v>26</v>
      </c>
      <c r="G659" t="s">
        <v>23</v>
      </c>
      <c r="H659" t="s">
        <v>17</v>
      </c>
      <c r="I659" t="s">
        <v>27</v>
      </c>
      <c r="J659">
        <v>5325.76</v>
      </c>
      <c r="K659">
        <v>5409.45</v>
      </c>
      <c r="L659" s="20">
        <f>tbl_Budget[[#This Row],[Actual]]-tbl_Budget[[#This Row],[Budget]]</f>
        <v>83.6899999999996</v>
      </c>
      <c r="M659" s="3">
        <f>tbl_Budget[[#This Row],[Variance]]/tbl_Budget[[#This Row],[Budget]]</f>
        <v>1.5714189148590924E-2</v>
      </c>
      <c r="N659" t="str">
        <f>IF(tbl_Budget[[#This Row],[Variance_%]]&gt;0.05,"Overspend",IF(tbl_Budget[[#This Row],[Variance_%]]&lt;-0.05,"Underspend","On Budget"))</f>
        <v>On Budget</v>
      </c>
    </row>
    <row r="660" spans="1:14" hidden="1">
      <c r="A660" s="1">
        <v>45108</v>
      </c>
      <c r="B660">
        <v>7</v>
      </c>
      <c r="C660" t="s">
        <v>42</v>
      </c>
      <c r="D660" t="s">
        <v>43</v>
      </c>
      <c r="E660">
        <v>2023</v>
      </c>
      <c r="F660" t="s">
        <v>26</v>
      </c>
      <c r="G660" t="s">
        <v>23</v>
      </c>
      <c r="H660" t="s">
        <v>18</v>
      </c>
      <c r="I660" t="s">
        <v>27</v>
      </c>
      <c r="J660">
        <v>5439.81</v>
      </c>
      <c r="K660">
        <v>5556.41</v>
      </c>
      <c r="L660" s="20">
        <f>tbl_Budget[[#This Row],[Actual]]-tbl_Budget[[#This Row],[Budget]]</f>
        <v>116.59999999999945</v>
      </c>
      <c r="M660" s="3">
        <f>tbl_Budget[[#This Row],[Variance]]/tbl_Budget[[#This Row],[Budget]]</f>
        <v>2.14345721633659E-2</v>
      </c>
      <c r="N660" t="str">
        <f>IF(tbl_Budget[[#This Row],[Variance_%]]&gt;0.05,"Overspend",IF(tbl_Budget[[#This Row],[Variance_%]]&lt;-0.05,"Underspend","On Budget"))</f>
        <v>On Budget</v>
      </c>
    </row>
    <row r="661" spans="1:14" hidden="1">
      <c r="A661" s="1">
        <v>45108</v>
      </c>
      <c r="B661">
        <v>7</v>
      </c>
      <c r="C661" t="s">
        <v>42</v>
      </c>
      <c r="D661" t="s">
        <v>43</v>
      </c>
      <c r="E661">
        <v>2023</v>
      </c>
      <c r="F661" t="s">
        <v>26</v>
      </c>
      <c r="G661" t="s">
        <v>23</v>
      </c>
      <c r="H661" t="s">
        <v>19</v>
      </c>
      <c r="I661" t="s">
        <v>27</v>
      </c>
      <c r="J661">
        <v>5782.58</v>
      </c>
      <c r="K661">
        <v>5659.42</v>
      </c>
      <c r="L661" s="20">
        <f>tbl_Budget[[#This Row],[Actual]]-tbl_Budget[[#This Row],[Budget]]</f>
        <v>-123.15999999999985</v>
      </c>
      <c r="M661" s="3">
        <f>tbl_Budget[[#This Row],[Variance]]/tbl_Budget[[#This Row],[Budget]]</f>
        <v>-2.1298451556225742E-2</v>
      </c>
      <c r="N661" t="str">
        <f>IF(tbl_Budget[[#This Row],[Variance_%]]&gt;0.05,"Overspend",IF(tbl_Budget[[#This Row],[Variance_%]]&lt;-0.05,"Underspend","On Budget"))</f>
        <v>On Budget</v>
      </c>
    </row>
    <row r="662" spans="1:14" hidden="1">
      <c r="A662" s="1">
        <v>45108</v>
      </c>
      <c r="B662">
        <v>7</v>
      </c>
      <c r="C662" t="s">
        <v>42</v>
      </c>
      <c r="D662" t="s">
        <v>43</v>
      </c>
      <c r="E662">
        <v>2023</v>
      </c>
      <c r="F662" t="s">
        <v>28</v>
      </c>
      <c r="G662" t="s">
        <v>14</v>
      </c>
      <c r="H662" t="s">
        <v>15</v>
      </c>
      <c r="I662" t="s">
        <v>29</v>
      </c>
      <c r="J662">
        <v>53555.02</v>
      </c>
      <c r="K662">
        <v>47254.93</v>
      </c>
      <c r="L662" s="20">
        <f>tbl_Budget[[#This Row],[Actual]]-tbl_Budget[[#This Row],[Budget]]</f>
        <v>-6300.0899999999965</v>
      </c>
      <c r="M662" s="3">
        <f>tbl_Budget[[#This Row],[Variance]]/tbl_Budget[[#This Row],[Budget]]</f>
        <v>-0.11763771164682596</v>
      </c>
      <c r="N662" t="str">
        <f>IF(tbl_Budget[[#This Row],[Variance_%]]&gt;0.05,"Overspend",IF(tbl_Budget[[#This Row],[Variance_%]]&lt;-0.05,"Underspend","On Budget"))</f>
        <v>Underspend</v>
      </c>
    </row>
    <row r="663" spans="1:14" hidden="1">
      <c r="A663" s="1">
        <v>45108</v>
      </c>
      <c r="B663">
        <v>7</v>
      </c>
      <c r="C663" t="s">
        <v>42</v>
      </c>
      <c r="D663" t="s">
        <v>43</v>
      </c>
      <c r="E663">
        <v>2023</v>
      </c>
      <c r="F663" t="s">
        <v>28</v>
      </c>
      <c r="G663" t="s">
        <v>14</v>
      </c>
      <c r="H663" t="s">
        <v>17</v>
      </c>
      <c r="I663" t="s">
        <v>29</v>
      </c>
      <c r="J663">
        <v>52233.39</v>
      </c>
      <c r="K663">
        <v>49522.53</v>
      </c>
      <c r="L663" s="20">
        <f>tbl_Budget[[#This Row],[Actual]]-tbl_Budget[[#This Row],[Budget]]</f>
        <v>-2710.8600000000006</v>
      </c>
      <c r="M663" s="3">
        <f>tbl_Budget[[#This Row],[Variance]]/tbl_Budget[[#This Row],[Budget]]</f>
        <v>-5.1898986452918343E-2</v>
      </c>
      <c r="N663" t="str">
        <f>IF(tbl_Budget[[#This Row],[Variance_%]]&gt;0.05,"Overspend",IF(tbl_Budget[[#This Row],[Variance_%]]&lt;-0.05,"Underspend","On Budget"))</f>
        <v>Underspend</v>
      </c>
    </row>
    <row r="664" spans="1:14" hidden="1">
      <c r="A664" s="1">
        <v>45108</v>
      </c>
      <c r="B664">
        <v>7</v>
      </c>
      <c r="C664" t="s">
        <v>42</v>
      </c>
      <c r="D664" t="s">
        <v>43</v>
      </c>
      <c r="E664">
        <v>2023</v>
      </c>
      <c r="F664" t="s">
        <v>28</v>
      </c>
      <c r="G664" t="s">
        <v>14</v>
      </c>
      <c r="H664" t="s">
        <v>18</v>
      </c>
      <c r="I664" t="s">
        <v>29</v>
      </c>
      <c r="J664">
        <v>53588.95</v>
      </c>
      <c r="K664">
        <v>55381.97</v>
      </c>
      <c r="L664" s="20">
        <f>tbl_Budget[[#This Row],[Actual]]-tbl_Budget[[#This Row],[Budget]]</f>
        <v>1793.0200000000041</v>
      </c>
      <c r="M664" s="3">
        <f>tbl_Budget[[#This Row],[Variance]]/tbl_Budget[[#This Row],[Budget]]</f>
        <v>3.3458763420444029E-2</v>
      </c>
      <c r="N664" t="str">
        <f>IF(tbl_Budget[[#This Row],[Variance_%]]&gt;0.05,"Overspend",IF(tbl_Budget[[#This Row],[Variance_%]]&lt;-0.05,"Underspend","On Budget"))</f>
        <v>On Budget</v>
      </c>
    </row>
    <row r="665" spans="1:14" hidden="1">
      <c r="A665" s="1">
        <v>45108</v>
      </c>
      <c r="B665">
        <v>7</v>
      </c>
      <c r="C665" t="s">
        <v>42</v>
      </c>
      <c r="D665" t="s">
        <v>43</v>
      </c>
      <c r="E665">
        <v>2023</v>
      </c>
      <c r="F665" t="s">
        <v>28</v>
      </c>
      <c r="G665" t="s">
        <v>14</v>
      </c>
      <c r="H665" t="s">
        <v>19</v>
      </c>
      <c r="I665" t="s">
        <v>29</v>
      </c>
      <c r="J665">
        <v>55994.31</v>
      </c>
      <c r="K665">
        <v>65427.42</v>
      </c>
      <c r="L665" s="20">
        <f>tbl_Budget[[#This Row],[Actual]]-tbl_Budget[[#This Row],[Budget]]</f>
        <v>9433.11</v>
      </c>
      <c r="M665" s="3">
        <f>tbl_Budget[[#This Row],[Variance]]/tbl_Budget[[#This Row],[Budget]]</f>
        <v>0.16846551015629982</v>
      </c>
      <c r="N665" t="str">
        <f>IF(tbl_Budget[[#This Row],[Variance_%]]&gt;0.05,"Overspend",IF(tbl_Budget[[#This Row],[Variance_%]]&lt;-0.05,"Underspend","On Budget"))</f>
        <v>Overspend</v>
      </c>
    </row>
    <row r="666" spans="1:14" hidden="1">
      <c r="A666" s="1">
        <v>45108</v>
      </c>
      <c r="B666">
        <v>7</v>
      </c>
      <c r="C666" t="s">
        <v>42</v>
      </c>
      <c r="D666" t="s">
        <v>43</v>
      </c>
      <c r="E666">
        <v>2023</v>
      </c>
      <c r="F666" t="s">
        <v>28</v>
      </c>
      <c r="G666" t="s">
        <v>20</v>
      </c>
      <c r="H666" t="s">
        <v>15</v>
      </c>
      <c r="I666" t="s">
        <v>29</v>
      </c>
      <c r="J666">
        <v>20125.25</v>
      </c>
      <c r="K666">
        <v>23002.84</v>
      </c>
      <c r="L666" s="20">
        <f>tbl_Budget[[#This Row],[Actual]]-tbl_Budget[[#This Row],[Budget]]</f>
        <v>2877.59</v>
      </c>
      <c r="M666" s="3">
        <f>tbl_Budget[[#This Row],[Variance]]/tbl_Budget[[#This Row],[Budget]]</f>
        <v>0.14298406230978497</v>
      </c>
      <c r="N666" t="str">
        <f>IF(tbl_Budget[[#This Row],[Variance_%]]&gt;0.05,"Overspend",IF(tbl_Budget[[#This Row],[Variance_%]]&lt;-0.05,"Underspend","On Budget"))</f>
        <v>Overspend</v>
      </c>
    </row>
    <row r="667" spans="1:14" hidden="1">
      <c r="A667" s="1">
        <v>45108</v>
      </c>
      <c r="B667">
        <v>7</v>
      </c>
      <c r="C667" t="s">
        <v>42</v>
      </c>
      <c r="D667" t="s">
        <v>43</v>
      </c>
      <c r="E667">
        <v>2023</v>
      </c>
      <c r="F667" t="s">
        <v>28</v>
      </c>
      <c r="G667" t="s">
        <v>20</v>
      </c>
      <c r="H667" t="s">
        <v>17</v>
      </c>
      <c r="I667" t="s">
        <v>29</v>
      </c>
      <c r="J667">
        <v>19178.57</v>
      </c>
      <c r="K667">
        <v>17496.03</v>
      </c>
      <c r="L667" s="20">
        <f>tbl_Budget[[#This Row],[Actual]]-tbl_Budget[[#This Row],[Budget]]</f>
        <v>-1682.5400000000009</v>
      </c>
      <c r="M667" s="3">
        <f>tbl_Budget[[#This Row],[Variance]]/tbl_Budget[[#This Row],[Budget]]</f>
        <v>-8.7730211376552111E-2</v>
      </c>
      <c r="N667" t="str">
        <f>IF(tbl_Budget[[#This Row],[Variance_%]]&gt;0.05,"Overspend",IF(tbl_Budget[[#This Row],[Variance_%]]&lt;-0.05,"Underspend","On Budget"))</f>
        <v>Underspend</v>
      </c>
    </row>
    <row r="668" spans="1:14" hidden="1">
      <c r="A668" s="1">
        <v>45108</v>
      </c>
      <c r="B668">
        <v>7</v>
      </c>
      <c r="C668" t="s">
        <v>42</v>
      </c>
      <c r="D668" t="s">
        <v>43</v>
      </c>
      <c r="E668">
        <v>2023</v>
      </c>
      <c r="F668" t="s">
        <v>28</v>
      </c>
      <c r="G668" t="s">
        <v>20</v>
      </c>
      <c r="H668" t="s">
        <v>18</v>
      </c>
      <c r="I668" t="s">
        <v>29</v>
      </c>
      <c r="J668">
        <v>19456.849999999999</v>
      </c>
      <c r="K668">
        <v>18383.88</v>
      </c>
      <c r="L668" s="20">
        <f>tbl_Budget[[#This Row],[Actual]]-tbl_Budget[[#This Row],[Budget]]</f>
        <v>-1072.9699999999975</v>
      </c>
      <c r="M668" s="3">
        <f>tbl_Budget[[#This Row],[Variance]]/tbl_Budget[[#This Row],[Budget]]</f>
        <v>-5.5146131054101648E-2</v>
      </c>
      <c r="N668" t="str">
        <f>IF(tbl_Budget[[#This Row],[Variance_%]]&gt;0.05,"Overspend",IF(tbl_Budget[[#This Row],[Variance_%]]&lt;-0.05,"Underspend","On Budget"))</f>
        <v>Underspend</v>
      </c>
    </row>
    <row r="669" spans="1:14" hidden="1">
      <c r="A669" s="1">
        <v>45108</v>
      </c>
      <c r="B669">
        <v>7</v>
      </c>
      <c r="C669" t="s">
        <v>42</v>
      </c>
      <c r="D669" t="s">
        <v>43</v>
      </c>
      <c r="E669">
        <v>2023</v>
      </c>
      <c r="F669" t="s">
        <v>28</v>
      </c>
      <c r="G669" t="s">
        <v>20</v>
      </c>
      <c r="H669" t="s">
        <v>19</v>
      </c>
      <c r="I669" t="s">
        <v>29</v>
      </c>
      <c r="J669">
        <v>21324.34</v>
      </c>
      <c r="K669">
        <v>21175.66</v>
      </c>
      <c r="L669" s="20">
        <f>tbl_Budget[[#This Row],[Actual]]-tbl_Budget[[#This Row],[Budget]]</f>
        <v>-148.68000000000029</v>
      </c>
      <c r="M669" s="3">
        <f>tbl_Budget[[#This Row],[Variance]]/tbl_Budget[[#This Row],[Budget]]</f>
        <v>-6.972314266232872E-3</v>
      </c>
      <c r="N669" t="str">
        <f>IF(tbl_Budget[[#This Row],[Variance_%]]&gt;0.05,"Overspend",IF(tbl_Budget[[#This Row],[Variance_%]]&lt;-0.05,"Underspend","On Budget"))</f>
        <v>On Budget</v>
      </c>
    </row>
    <row r="670" spans="1:14">
      <c r="A670" s="1">
        <v>45108</v>
      </c>
      <c r="B670">
        <v>7</v>
      </c>
      <c r="C670" t="s">
        <v>42</v>
      </c>
      <c r="D670" t="s">
        <v>43</v>
      </c>
      <c r="E670">
        <v>2023</v>
      </c>
      <c r="F670" t="s">
        <v>28</v>
      </c>
      <c r="G670" t="s">
        <v>21</v>
      </c>
      <c r="H670" t="s">
        <v>15</v>
      </c>
      <c r="I670" t="s">
        <v>29</v>
      </c>
      <c r="J670">
        <v>11434.29</v>
      </c>
      <c r="K670">
        <v>14047.96</v>
      </c>
      <c r="L670" s="20">
        <f>tbl_Budget[[#This Row],[Actual]]-tbl_Budget[[#This Row],[Budget]]</f>
        <v>2613.6699999999983</v>
      </c>
      <c r="M670" s="3">
        <f>tbl_Budget[[#This Row],[Variance]]/tbl_Budget[[#This Row],[Budget]]</f>
        <v>0.22858174840764037</v>
      </c>
      <c r="N670" t="str">
        <f>IF(tbl_Budget[[#This Row],[Variance_%]]&gt;0.05,"Overspend",IF(tbl_Budget[[#This Row],[Variance_%]]&lt;-0.05,"Underspend","On Budget"))</f>
        <v>Overspend</v>
      </c>
    </row>
    <row r="671" spans="1:14">
      <c r="A671" s="1">
        <v>45108</v>
      </c>
      <c r="B671">
        <v>7</v>
      </c>
      <c r="C671" t="s">
        <v>42</v>
      </c>
      <c r="D671" t="s">
        <v>43</v>
      </c>
      <c r="E671">
        <v>2023</v>
      </c>
      <c r="F671" t="s">
        <v>28</v>
      </c>
      <c r="G671" t="s">
        <v>21</v>
      </c>
      <c r="H671" t="s">
        <v>17</v>
      </c>
      <c r="I671" t="s">
        <v>29</v>
      </c>
      <c r="J671">
        <v>11125.11</v>
      </c>
      <c r="K671">
        <v>13240.32</v>
      </c>
      <c r="L671" s="20">
        <f>tbl_Budget[[#This Row],[Actual]]-tbl_Budget[[#This Row],[Budget]]</f>
        <v>2115.2099999999991</v>
      </c>
      <c r="M671" s="3">
        <f>tbl_Budget[[#This Row],[Variance]]/tbl_Budget[[#This Row],[Budget]]</f>
        <v>0.19012935602434483</v>
      </c>
      <c r="N671" t="str">
        <f>IF(tbl_Budget[[#This Row],[Variance_%]]&gt;0.05,"Overspend",IF(tbl_Budget[[#This Row],[Variance_%]]&lt;-0.05,"Underspend","On Budget"))</f>
        <v>Overspend</v>
      </c>
    </row>
    <row r="672" spans="1:14">
      <c r="A672" s="1">
        <v>45108</v>
      </c>
      <c r="B672">
        <v>7</v>
      </c>
      <c r="C672" t="s">
        <v>42</v>
      </c>
      <c r="D672" t="s">
        <v>43</v>
      </c>
      <c r="E672">
        <v>2023</v>
      </c>
      <c r="F672" t="s">
        <v>28</v>
      </c>
      <c r="G672" t="s">
        <v>21</v>
      </c>
      <c r="H672" t="s">
        <v>18</v>
      </c>
      <c r="I672" t="s">
        <v>29</v>
      </c>
      <c r="J672">
        <v>11220.67</v>
      </c>
      <c r="K672">
        <v>15302.67</v>
      </c>
      <c r="L672" s="20">
        <f>tbl_Budget[[#This Row],[Actual]]-tbl_Budget[[#This Row],[Budget]]</f>
        <v>4082</v>
      </c>
      <c r="M672" s="3">
        <f>tbl_Budget[[#This Row],[Variance]]/tbl_Budget[[#This Row],[Budget]]</f>
        <v>0.36379289293776573</v>
      </c>
      <c r="N672" t="str">
        <f>IF(tbl_Budget[[#This Row],[Variance_%]]&gt;0.05,"Overspend",IF(tbl_Budget[[#This Row],[Variance_%]]&lt;-0.05,"Underspend","On Budget"))</f>
        <v>Overspend</v>
      </c>
    </row>
    <row r="673" spans="1:14">
      <c r="A673" s="1">
        <v>45108</v>
      </c>
      <c r="B673">
        <v>7</v>
      </c>
      <c r="C673" t="s">
        <v>42</v>
      </c>
      <c r="D673" t="s">
        <v>43</v>
      </c>
      <c r="E673">
        <v>2023</v>
      </c>
      <c r="F673" t="s">
        <v>28</v>
      </c>
      <c r="G673" t="s">
        <v>21</v>
      </c>
      <c r="H673" t="s">
        <v>19</v>
      </c>
      <c r="I673" t="s">
        <v>29</v>
      </c>
      <c r="J673">
        <v>12059.49</v>
      </c>
      <c r="K673">
        <v>16310.67</v>
      </c>
      <c r="L673" s="20">
        <f>tbl_Budget[[#This Row],[Actual]]-tbl_Budget[[#This Row],[Budget]]</f>
        <v>4251.18</v>
      </c>
      <c r="M673" s="3">
        <f>tbl_Budget[[#This Row],[Variance]]/tbl_Budget[[#This Row],[Budget]]</f>
        <v>0.35251739501421703</v>
      </c>
      <c r="N673" t="str">
        <f>IF(tbl_Budget[[#This Row],[Variance_%]]&gt;0.05,"Overspend",IF(tbl_Budget[[#This Row],[Variance_%]]&lt;-0.05,"Underspend","On Budget"))</f>
        <v>Overspend</v>
      </c>
    </row>
    <row r="674" spans="1:14" hidden="1">
      <c r="A674" s="1">
        <v>45108</v>
      </c>
      <c r="B674">
        <v>7</v>
      </c>
      <c r="C674" t="s">
        <v>42</v>
      </c>
      <c r="D674" t="s">
        <v>43</v>
      </c>
      <c r="E674">
        <v>2023</v>
      </c>
      <c r="F674" t="s">
        <v>28</v>
      </c>
      <c r="G674" t="s">
        <v>22</v>
      </c>
      <c r="H674" t="s">
        <v>15</v>
      </c>
      <c r="I674" t="s">
        <v>29</v>
      </c>
      <c r="J674">
        <v>12053.6</v>
      </c>
      <c r="K674">
        <v>11895.18</v>
      </c>
      <c r="L674" s="20">
        <f>tbl_Budget[[#This Row],[Actual]]-tbl_Budget[[#This Row],[Budget]]</f>
        <v>-158.42000000000007</v>
      </c>
      <c r="M674" s="3">
        <f>tbl_Budget[[#This Row],[Variance]]/tbl_Budget[[#This Row],[Budget]]</f>
        <v>-1.3142961438906224E-2</v>
      </c>
      <c r="N674" t="str">
        <f>IF(tbl_Budget[[#This Row],[Variance_%]]&gt;0.05,"Overspend",IF(tbl_Budget[[#This Row],[Variance_%]]&lt;-0.05,"Underspend","On Budget"))</f>
        <v>On Budget</v>
      </c>
    </row>
    <row r="675" spans="1:14" hidden="1">
      <c r="A675" s="1">
        <v>45108</v>
      </c>
      <c r="B675">
        <v>7</v>
      </c>
      <c r="C675" t="s">
        <v>42</v>
      </c>
      <c r="D675" t="s">
        <v>43</v>
      </c>
      <c r="E675">
        <v>2023</v>
      </c>
      <c r="F675" t="s">
        <v>28</v>
      </c>
      <c r="G675" t="s">
        <v>22</v>
      </c>
      <c r="H675" t="s">
        <v>17</v>
      </c>
      <c r="I675" t="s">
        <v>29</v>
      </c>
      <c r="J675">
        <v>11772.69</v>
      </c>
      <c r="K675">
        <v>13544.14</v>
      </c>
      <c r="L675" s="20">
        <f>tbl_Budget[[#This Row],[Actual]]-tbl_Budget[[#This Row],[Budget]]</f>
        <v>1771.4499999999989</v>
      </c>
      <c r="M675" s="3">
        <f>tbl_Budget[[#This Row],[Variance]]/tbl_Budget[[#This Row],[Budget]]</f>
        <v>0.15047113276574842</v>
      </c>
      <c r="N675" t="str">
        <f>IF(tbl_Budget[[#This Row],[Variance_%]]&gt;0.05,"Overspend",IF(tbl_Budget[[#This Row],[Variance_%]]&lt;-0.05,"Underspend","On Budget"))</f>
        <v>Overspend</v>
      </c>
    </row>
    <row r="676" spans="1:14" hidden="1">
      <c r="A676" s="1">
        <v>45108</v>
      </c>
      <c r="B676">
        <v>7</v>
      </c>
      <c r="C676" t="s">
        <v>42</v>
      </c>
      <c r="D676" t="s">
        <v>43</v>
      </c>
      <c r="E676">
        <v>2023</v>
      </c>
      <c r="F676" t="s">
        <v>28</v>
      </c>
      <c r="G676" t="s">
        <v>22</v>
      </c>
      <c r="H676" t="s">
        <v>18</v>
      </c>
      <c r="I676" t="s">
        <v>29</v>
      </c>
      <c r="J676">
        <v>11884.35</v>
      </c>
      <c r="K676">
        <v>13068.94</v>
      </c>
      <c r="L676" s="20">
        <f>tbl_Budget[[#This Row],[Actual]]-tbl_Budget[[#This Row],[Budget]]</f>
        <v>1184.5900000000001</v>
      </c>
      <c r="M676" s="3">
        <f>tbl_Budget[[#This Row],[Variance]]/tbl_Budget[[#This Row],[Budget]]</f>
        <v>9.96764652673474E-2</v>
      </c>
      <c r="N676" t="str">
        <f>IF(tbl_Budget[[#This Row],[Variance_%]]&gt;0.05,"Overspend",IF(tbl_Budget[[#This Row],[Variance_%]]&lt;-0.05,"Underspend","On Budget"))</f>
        <v>Overspend</v>
      </c>
    </row>
    <row r="677" spans="1:14" hidden="1">
      <c r="A677" s="1">
        <v>45108</v>
      </c>
      <c r="B677">
        <v>7</v>
      </c>
      <c r="C677" t="s">
        <v>42</v>
      </c>
      <c r="D677" t="s">
        <v>43</v>
      </c>
      <c r="E677">
        <v>2023</v>
      </c>
      <c r="F677" t="s">
        <v>28</v>
      </c>
      <c r="G677" t="s">
        <v>22</v>
      </c>
      <c r="H677" t="s">
        <v>19</v>
      </c>
      <c r="I677" t="s">
        <v>29</v>
      </c>
      <c r="J677">
        <v>12857.45</v>
      </c>
      <c r="K677">
        <v>13776.4</v>
      </c>
      <c r="L677" s="20">
        <f>tbl_Budget[[#This Row],[Actual]]-tbl_Budget[[#This Row],[Budget]]</f>
        <v>918.94999999999891</v>
      </c>
      <c r="M677" s="3">
        <f>tbl_Budget[[#This Row],[Variance]]/tbl_Budget[[#This Row],[Budget]]</f>
        <v>7.1472181497886353E-2</v>
      </c>
      <c r="N677" t="str">
        <f>IF(tbl_Budget[[#This Row],[Variance_%]]&gt;0.05,"Overspend",IF(tbl_Budget[[#This Row],[Variance_%]]&lt;-0.05,"Underspend","On Budget"))</f>
        <v>Overspend</v>
      </c>
    </row>
    <row r="678" spans="1:14" hidden="1">
      <c r="A678" s="1">
        <v>45108</v>
      </c>
      <c r="B678">
        <v>7</v>
      </c>
      <c r="C678" t="s">
        <v>42</v>
      </c>
      <c r="D678" t="s">
        <v>43</v>
      </c>
      <c r="E678">
        <v>2023</v>
      </c>
      <c r="F678" t="s">
        <v>28</v>
      </c>
      <c r="G678" t="s">
        <v>23</v>
      </c>
      <c r="H678" t="s">
        <v>15</v>
      </c>
      <c r="I678" t="s">
        <v>29</v>
      </c>
      <c r="J678">
        <v>7947.95</v>
      </c>
      <c r="K678">
        <v>6935.29</v>
      </c>
      <c r="L678" s="20">
        <f>tbl_Budget[[#This Row],[Actual]]-tbl_Budget[[#This Row],[Budget]]</f>
        <v>-1012.6599999999999</v>
      </c>
      <c r="M678" s="3">
        <f>tbl_Budget[[#This Row],[Variance]]/tbl_Budget[[#This Row],[Budget]]</f>
        <v>-0.1274114708824288</v>
      </c>
      <c r="N678" t="str">
        <f>IF(tbl_Budget[[#This Row],[Variance_%]]&gt;0.05,"Overspend",IF(tbl_Budget[[#This Row],[Variance_%]]&lt;-0.05,"Underspend","On Budget"))</f>
        <v>Underspend</v>
      </c>
    </row>
    <row r="679" spans="1:14" hidden="1">
      <c r="A679" s="1">
        <v>45108</v>
      </c>
      <c r="B679">
        <v>7</v>
      </c>
      <c r="C679" t="s">
        <v>42</v>
      </c>
      <c r="D679" t="s">
        <v>43</v>
      </c>
      <c r="E679">
        <v>2023</v>
      </c>
      <c r="F679" t="s">
        <v>28</v>
      </c>
      <c r="G679" t="s">
        <v>23</v>
      </c>
      <c r="H679" t="s">
        <v>17</v>
      </c>
      <c r="I679" t="s">
        <v>29</v>
      </c>
      <c r="J679">
        <v>7370.72</v>
      </c>
      <c r="K679">
        <v>6663.04</v>
      </c>
      <c r="L679" s="20">
        <f>tbl_Budget[[#This Row],[Actual]]-tbl_Budget[[#This Row],[Budget]]</f>
        <v>-707.68000000000029</v>
      </c>
      <c r="M679" s="3">
        <f>tbl_Budget[[#This Row],[Variance]]/tbl_Budget[[#This Row],[Budget]]</f>
        <v>-9.601232986736713E-2</v>
      </c>
      <c r="N679" t="str">
        <f>IF(tbl_Budget[[#This Row],[Variance_%]]&gt;0.05,"Overspend",IF(tbl_Budget[[#This Row],[Variance_%]]&lt;-0.05,"Underspend","On Budget"))</f>
        <v>Underspend</v>
      </c>
    </row>
    <row r="680" spans="1:14" hidden="1">
      <c r="A680" s="1">
        <v>45108</v>
      </c>
      <c r="B680">
        <v>7</v>
      </c>
      <c r="C680" t="s">
        <v>42</v>
      </c>
      <c r="D680" t="s">
        <v>43</v>
      </c>
      <c r="E680">
        <v>2023</v>
      </c>
      <c r="F680" t="s">
        <v>28</v>
      </c>
      <c r="G680" t="s">
        <v>23</v>
      </c>
      <c r="H680" t="s">
        <v>18</v>
      </c>
      <c r="I680" t="s">
        <v>29</v>
      </c>
      <c r="J680">
        <v>7719.44</v>
      </c>
      <c r="K680">
        <v>6672.47</v>
      </c>
      <c r="L680" s="20">
        <f>tbl_Budget[[#This Row],[Actual]]-tbl_Budget[[#This Row],[Budget]]</f>
        <v>-1046.9699999999993</v>
      </c>
      <c r="M680" s="3">
        <f>tbl_Budget[[#This Row],[Variance]]/tbl_Budget[[#This Row],[Budget]]</f>
        <v>-0.13562771392743508</v>
      </c>
      <c r="N680" t="str">
        <f>IF(tbl_Budget[[#This Row],[Variance_%]]&gt;0.05,"Overspend",IF(tbl_Budget[[#This Row],[Variance_%]]&lt;-0.05,"Underspend","On Budget"))</f>
        <v>Underspend</v>
      </c>
    </row>
    <row r="681" spans="1:14" hidden="1">
      <c r="A681" s="1">
        <v>45108</v>
      </c>
      <c r="B681">
        <v>7</v>
      </c>
      <c r="C681" t="s">
        <v>42</v>
      </c>
      <c r="D681" t="s">
        <v>43</v>
      </c>
      <c r="E681">
        <v>2023</v>
      </c>
      <c r="F681" t="s">
        <v>28</v>
      </c>
      <c r="G681" t="s">
        <v>23</v>
      </c>
      <c r="H681" t="s">
        <v>19</v>
      </c>
      <c r="I681" t="s">
        <v>29</v>
      </c>
      <c r="J681">
        <v>8189.99</v>
      </c>
      <c r="K681">
        <v>7889.08</v>
      </c>
      <c r="L681" s="20">
        <f>tbl_Budget[[#This Row],[Actual]]-tbl_Budget[[#This Row],[Budget]]</f>
        <v>-300.90999999999985</v>
      </c>
      <c r="M681" s="3">
        <f>tbl_Budget[[#This Row],[Variance]]/tbl_Budget[[#This Row],[Budget]]</f>
        <v>-3.6741192602188756E-2</v>
      </c>
      <c r="N681" t="str">
        <f>IF(tbl_Budget[[#This Row],[Variance_%]]&gt;0.05,"Overspend",IF(tbl_Budget[[#This Row],[Variance_%]]&lt;-0.05,"Underspend","On Budget"))</f>
        <v>On Budget</v>
      </c>
    </row>
    <row r="682" spans="1:14" hidden="1">
      <c r="A682" s="1">
        <v>45108</v>
      </c>
      <c r="B682">
        <v>7</v>
      </c>
      <c r="C682" t="s">
        <v>42</v>
      </c>
      <c r="D682" t="s">
        <v>43</v>
      </c>
      <c r="E682">
        <v>2023</v>
      </c>
      <c r="F682" t="s">
        <v>30</v>
      </c>
      <c r="G682" t="s">
        <v>14</v>
      </c>
      <c r="H682" t="s">
        <v>15</v>
      </c>
      <c r="I682" t="s">
        <v>31</v>
      </c>
      <c r="J682">
        <v>44500.82</v>
      </c>
      <c r="K682">
        <v>44061.36</v>
      </c>
      <c r="L682" s="20">
        <f>tbl_Budget[[#This Row],[Actual]]-tbl_Budget[[#This Row],[Budget]]</f>
        <v>-439.45999999999913</v>
      </c>
      <c r="M682" s="3">
        <f>tbl_Budget[[#This Row],[Variance]]/tbl_Budget[[#This Row],[Budget]]</f>
        <v>-9.8753236457215648E-3</v>
      </c>
      <c r="N682" t="str">
        <f>IF(tbl_Budget[[#This Row],[Variance_%]]&gt;0.05,"Overspend",IF(tbl_Budget[[#This Row],[Variance_%]]&lt;-0.05,"Underspend","On Budget"))</f>
        <v>On Budget</v>
      </c>
    </row>
    <row r="683" spans="1:14" hidden="1">
      <c r="A683" s="1">
        <v>45108</v>
      </c>
      <c r="B683">
        <v>7</v>
      </c>
      <c r="C683" t="s">
        <v>42</v>
      </c>
      <c r="D683" t="s">
        <v>43</v>
      </c>
      <c r="E683">
        <v>2023</v>
      </c>
      <c r="F683" t="s">
        <v>30</v>
      </c>
      <c r="G683" t="s">
        <v>14</v>
      </c>
      <c r="H683" t="s">
        <v>17</v>
      </c>
      <c r="I683" t="s">
        <v>31</v>
      </c>
      <c r="J683">
        <v>40052.93</v>
      </c>
      <c r="K683">
        <v>41641</v>
      </c>
      <c r="L683" s="20">
        <f>tbl_Budget[[#This Row],[Actual]]-tbl_Budget[[#This Row],[Budget]]</f>
        <v>1588.0699999999997</v>
      </c>
      <c r="M683" s="3">
        <f>tbl_Budget[[#This Row],[Variance]]/tbl_Budget[[#This Row],[Budget]]</f>
        <v>3.9649284084834736E-2</v>
      </c>
      <c r="N683" t="str">
        <f>IF(tbl_Budget[[#This Row],[Variance_%]]&gt;0.05,"Overspend",IF(tbl_Budget[[#This Row],[Variance_%]]&lt;-0.05,"Underspend","On Budget"))</f>
        <v>On Budget</v>
      </c>
    </row>
    <row r="684" spans="1:14" hidden="1">
      <c r="A684" s="1">
        <v>45108</v>
      </c>
      <c r="B684">
        <v>7</v>
      </c>
      <c r="C684" t="s">
        <v>42</v>
      </c>
      <c r="D684" t="s">
        <v>43</v>
      </c>
      <c r="E684">
        <v>2023</v>
      </c>
      <c r="F684" t="s">
        <v>30</v>
      </c>
      <c r="G684" t="s">
        <v>14</v>
      </c>
      <c r="H684" t="s">
        <v>18</v>
      </c>
      <c r="I684" t="s">
        <v>31</v>
      </c>
      <c r="J684">
        <v>42010.239999999998</v>
      </c>
      <c r="K684">
        <v>40229.25</v>
      </c>
      <c r="L684" s="20">
        <f>tbl_Budget[[#This Row],[Actual]]-tbl_Budget[[#This Row],[Budget]]</f>
        <v>-1780.989999999998</v>
      </c>
      <c r="M684" s="3">
        <f>tbl_Budget[[#This Row],[Variance]]/tbl_Budget[[#This Row],[Budget]]</f>
        <v>-4.2394187702807652E-2</v>
      </c>
      <c r="N684" t="str">
        <f>IF(tbl_Budget[[#This Row],[Variance_%]]&gt;0.05,"Overspend",IF(tbl_Budget[[#This Row],[Variance_%]]&lt;-0.05,"Underspend","On Budget"))</f>
        <v>On Budget</v>
      </c>
    </row>
    <row r="685" spans="1:14" hidden="1">
      <c r="A685" s="1">
        <v>45108</v>
      </c>
      <c r="B685">
        <v>7</v>
      </c>
      <c r="C685" t="s">
        <v>42</v>
      </c>
      <c r="D685" t="s">
        <v>43</v>
      </c>
      <c r="E685">
        <v>2023</v>
      </c>
      <c r="F685" t="s">
        <v>30</v>
      </c>
      <c r="G685" t="s">
        <v>14</v>
      </c>
      <c r="H685" t="s">
        <v>19</v>
      </c>
      <c r="I685" t="s">
        <v>31</v>
      </c>
      <c r="J685">
        <v>46099.74</v>
      </c>
      <c r="K685">
        <v>46545.35</v>
      </c>
      <c r="L685" s="20">
        <f>tbl_Budget[[#This Row],[Actual]]-tbl_Budget[[#This Row],[Budget]]</f>
        <v>445.61000000000058</v>
      </c>
      <c r="M685" s="3">
        <f>tbl_Budget[[#This Row],[Variance]]/tbl_Budget[[#This Row],[Budget]]</f>
        <v>9.6662150372214817E-3</v>
      </c>
      <c r="N685" t="str">
        <f>IF(tbl_Budget[[#This Row],[Variance_%]]&gt;0.05,"Overspend",IF(tbl_Budget[[#This Row],[Variance_%]]&lt;-0.05,"Underspend","On Budget"))</f>
        <v>On Budget</v>
      </c>
    </row>
    <row r="686" spans="1:14" hidden="1">
      <c r="A686" s="1">
        <v>45108</v>
      </c>
      <c r="B686">
        <v>7</v>
      </c>
      <c r="C686" t="s">
        <v>42</v>
      </c>
      <c r="D686" t="s">
        <v>43</v>
      </c>
      <c r="E686">
        <v>2023</v>
      </c>
      <c r="F686" t="s">
        <v>30</v>
      </c>
      <c r="G686" t="s">
        <v>20</v>
      </c>
      <c r="H686" t="s">
        <v>15</v>
      </c>
      <c r="I686" t="s">
        <v>31</v>
      </c>
      <c r="J686">
        <v>16241.54</v>
      </c>
      <c r="K686">
        <v>16365.76</v>
      </c>
      <c r="L686" s="20">
        <f>tbl_Budget[[#This Row],[Actual]]-tbl_Budget[[#This Row],[Budget]]</f>
        <v>124.21999999999935</v>
      </c>
      <c r="M686" s="3">
        <f>tbl_Budget[[#This Row],[Variance]]/tbl_Budget[[#This Row],[Budget]]</f>
        <v>7.648289509492286E-3</v>
      </c>
      <c r="N686" t="str">
        <f>IF(tbl_Budget[[#This Row],[Variance_%]]&gt;0.05,"Overspend",IF(tbl_Budget[[#This Row],[Variance_%]]&lt;-0.05,"Underspend","On Budget"))</f>
        <v>On Budget</v>
      </c>
    </row>
    <row r="687" spans="1:14" hidden="1">
      <c r="A687" s="1">
        <v>45108</v>
      </c>
      <c r="B687">
        <v>7</v>
      </c>
      <c r="C687" t="s">
        <v>42</v>
      </c>
      <c r="D687" t="s">
        <v>43</v>
      </c>
      <c r="E687">
        <v>2023</v>
      </c>
      <c r="F687" t="s">
        <v>30</v>
      </c>
      <c r="G687" t="s">
        <v>20</v>
      </c>
      <c r="H687" t="s">
        <v>17</v>
      </c>
      <c r="I687" t="s">
        <v>31</v>
      </c>
      <c r="J687">
        <v>15631.32</v>
      </c>
      <c r="K687">
        <v>15395.31</v>
      </c>
      <c r="L687" s="20">
        <f>tbl_Budget[[#This Row],[Actual]]-tbl_Budget[[#This Row],[Budget]]</f>
        <v>-236.01000000000022</v>
      </c>
      <c r="M687" s="3">
        <f>tbl_Budget[[#This Row],[Variance]]/tbl_Budget[[#This Row],[Budget]]</f>
        <v>-1.5098532945394261E-2</v>
      </c>
      <c r="N687" t="str">
        <f>IF(tbl_Budget[[#This Row],[Variance_%]]&gt;0.05,"Overspend",IF(tbl_Budget[[#This Row],[Variance_%]]&lt;-0.05,"Underspend","On Budget"))</f>
        <v>On Budget</v>
      </c>
    </row>
    <row r="688" spans="1:14" hidden="1">
      <c r="A688" s="1">
        <v>45108</v>
      </c>
      <c r="B688">
        <v>7</v>
      </c>
      <c r="C688" t="s">
        <v>42</v>
      </c>
      <c r="D688" t="s">
        <v>43</v>
      </c>
      <c r="E688">
        <v>2023</v>
      </c>
      <c r="F688" t="s">
        <v>30</v>
      </c>
      <c r="G688" t="s">
        <v>20</v>
      </c>
      <c r="H688" t="s">
        <v>18</v>
      </c>
      <c r="I688" t="s">
        <v>31</v>
      </c>
      <c r="J688">
        <v>15894.29</v>
      </c>
      <c r="K688">
        <v>16095.07</v>
      </c>
      <c r="L688" s="20">
        <f>tbl_Budget[[#This Row],[Actual]]-tbl_Budget[[#This Row],[Budget]]</f>
        <v>200.77999999999884</v>
      </c>
      <c r="M688" s="3">
        <f>tbl_Budget[[#This Row],[Variance]]/tbl_Budget[[#This Row],[Budget]]</f>
        <v>1.2632209428668963E-2</v>
      </c>
      <c r="N688" t="str">
        <f>IF(tbl_Budget[[#This Row],[Variance_%]]&gt;0.05,"Overspend",IF(tbl_Budget[[#This Row],[Variance_%]]&lt;-0.05,"Underspend","On Budget"))</f>
        <v>On Budget</v>
      </c>
    </row>
    <row r="689" spans="1:14" hidden="1">
      <c r="A689" s="1">
        <v>45108</v>
      </c>
      <c r="B689">
        <v>7</v>
      </c>
      <c r="C689" t="s">
        <v>42</v>
      </c>
      <c r="D689" t="s">
        <v>43</v>
      </c>
      <c r="E689">
        <v>2023</v>
      </c>
      <c r="F689" t="s">
        <v>30</v>
      </c>
      <c r="G689" t="s">
        <v>20</v>
      </c>
      <c r="H689" t="s">
        <v>19</v>
      </c>
      <c r="I689" t="s">
        <v>31</v>
      </c>
      <c r="J689">
        <v>16797.96</v>
      </c>
      <c r="K689">
        <v>16309.94</v>
      </c>
      <c r="L689" s="20">
        <f>tbl_Budget[[#This Row],[Actual]]-tbl_Budget[[#This Row],[Budget]]</f>
        <v>-488.01999999999862</v>
      </c>
      <c r="M689" s="3">
        <f>tbl_Budget[[#This Row],[Variance]]/tbl_Budget[[#This Row],[Budget]]</f>
        <v>-2.9052337307625371E-2</v>
      </c>
      <c r="N689" t="str">
        <f>IF(tbl_Budget[[#This Row],[Variance_%]]&gt;0.05,"Overspend",IF(tbl_Budget[[#This Row],[Variance_%]]&lt;-0.05,"Underspend","On Budget"))</f>
        <v>On Budget</v>
      </c>
    </row>
    <row r="690" spans="1:14">
      <c r="A690" s="1">
        <v>45108</v>
      </c>
      <c r="B690">
        <v>7</v>
      </c>
      <c r="C690" t="s">
        <v>42</v>
      </c>
      <c r="D690" t="s">
        <v>43</v>
      </c>
      <c r="E690">
        <v>2023</v>
      </c>
      <c r="F690" t="s">
        <v>30</v>
      </c>
      <c r="G690" t="s">
        <v>21</v>
      </c>
      <c r="H690" t="s">
        <v>15</v>
      </c>
      <c r="I690" t="s">
        <v>31</v>
      </c>
      <c r="J690">
        <v>6907.38</v>
      </c>
      <c r="K690">
        <v>9183.32</v>
      </c>
      <c r="L690" s="20">
        <f>tbl_Budget[[#This Row],[Actual]]-tbl_Budget[[#This Row],[Budget]]</f>
        <v>2275.9399999999996</v>
      </c>
      <c r="M690" s="3">
        <f>tbl_Budget[[#This Row],[Variance]]/tbl_Budget[[#This Row],[Budget]]</f>
        <v>0.32949396153100013</v>
      </c>
      <c r="N690" t="str">
        <f>IF(tbl_Budget[[#This Row],[Variance_%]]&gt;0.05,"Overspend",IF(tbl_Budget[[#This Row],[Variance_%]]&lt;-0.05,"Underspend","On Budget"))</f>
        <v>Overspend</v>
      </c>
    </row>
    <row r="691" spans="1:14">
      <c r="A691" s="1">
        <v>45108</v>
      </c>
      <c r="B691">
        <v>7</v>
      </c>
      <c r="C691" t="s">
        <v>42</v>
      </c>
      <c r="D691" t="s">
        <v>43</v>
      </c>
      <c r="E691">
        <v>2023</v>
      </c>
      <c r="F691" t="s">
        <v>30</v>
      </c>
      <c r="G691" t="s">
        <v>21</v>
      </c>
      <c r="H691" t="s">
        <v>17</v>
      </c>
      <c r="I691" t="s">
        <v>31</v>
      </c>
      <c r="J691">
        <v>6684.38</v>
      </c>
      <c r="K691">
        <v>8742.5300000000007</v>
      </c>
      <c r="L691" s="20">
        <f>tbl_Budget[[#This Row],[Actual]]-tbl_Budget[[#This Row],[Budget]]</f>
        <v>2058.1500000000005</v>
      </c>
      <c r="M691" s="3">
        <f>tbl_Budget[[#This Row],[Variance]]/tbl_Budget[[#This Row],[Budget]]</f>
        <v>0.30790439801447561</v>
      </c>
      <c r="N691" t="str">
        <f>IF(tbl_Budget[[#This Row],[Variance_%]]&gt;0.05,"Overspend",IF(tbl_Budget[[#This Row],[Variance_%]]&lt;-0.05,"Underspend","On Budget"))</f>
        <v>Overspend</v>
      </c>
    </row>
    <row r="692" spans="1:14">
      <c r="A692" s="1">
        <v>45108</v>
      </c>
      <c r="B692">
        <v>7</v>
      </c>
      <c r="C692" t="s">
        <v>42</v>
      </c>
      <c r="D692" t="s">
        <v>43</v>
      </c>
      <c r="E692">
        <v>2023</v>
      </c>
      <c r="F692" t="s">
        <v>30</v>
      </c>
      <c r="G692" t="s">
        <v>21</v>
      </c>
      <c r="H692" t="s">
        <v>18</v>
      </c>
      <c r="I692" t="s">
        <v>31</v>
      </c>
      <c r="J692">
        <v>6837.78</v>
      </c>
      <c r="K692">
        <v>9177.5300000000007</v>
      </c>
      <c r="L692" s="20">
        <f>tbl_Budget[[#This Row],[Actual]]-tbl_Budget[[#This Row],[Budget]]</f>
        <v>2339.7500000000009</v>
      </c>
      <c r="M692" s="3">
        <f>tbl_Budget[[#This Row],[Variance]]/tbl_Budget[[#This Row],[Budget]]</f>
        <v>0.34217977179727938</v>
      </c>
      <c r="N692" t="str">
        <f>IF(tbl_Budget[[#This Row],[Variance_%]]&gt;0.05,"Overspend",IF(tbl_Budget[[#This Row],[Variance_%]]&lt;-0.05,"Underspend","On Budget"))</f>
        <v>Overspend</v>
      </c>
    </row>
    <row r="693" spans="1:14">
      <c r="A693" s="1">
        <v>45108</v>
      </c>
      <c r="B693">
        <v>7</v>
      </c>
      <c r="C693" t="s">
        <v>42</v>
      </c>
      <c r="D693" t="s">
        <v>43</v>
      </c>
      <c r="E693">
        <v>2023</v>
      </c>
      <c r="F693" t="s">
        <v>30</v>
      </c>
      <c r="G693" t="s">
        <v>21</v>
      </c>
      <c r="H693" t="s">
        <v>19</v>
      </c>
      <c r="I693" t="s">
        <v>31</v>
      </c>
      <c r="J693">
        <v>7253.68</v>
      </c>
      <c r="K693">
        <v>9844.0300000000007</v>
      </c>
      <c r="L693" s="20">
        <f>tbl_Budget[[#This Row],[Actual]]-tbl_Budget[[#This Row],[Budget]]</f>
        <v>2590.3500000000004</v>
      </c>
      <c r="M693" s="3">
        <f>tbl_Budget[[#This Row],[Variance]]/tbl_Budget[[#This Row],[Budget]]</f>
        <v>0.35710839187832938</v>
      </c>
      <c r="N693" t="str">
        <f>IF(tbl_Budget[[#This Row],[Variance_%]]&gt;0.05,"Overspend",IF(tbl_Budget[[#This Row],[Variance_%]]&lt;-0.05,"Underspend","On Budget"))</f>
        <v>Overspend</v>
      </c>
    </row>
    <row r="694" spans="1:14" hidden="1">
      <c r="A694" s="1">
        <v>45108</v>
      </c>
      <c r="B694">
        <v>7</v>
      </c>
      <c r="C694" t="s">
        <v>42</v>
      </c>
      <c r="D694" t="s">
        <v>43</v>
      </c>
      <c r="E694">
        <v>2023</v>
      </c>
      <c r="F694" t="s">
        <v>30</v>
      </c>
      <c r="G694" t="s">
        <v>22</v>
      </c>
      <c r="H694" t="s">
        <v>15</v>
      </c>
      <c r="I694" t="s">
        <v>31</v>
      </c>
      <c r="J694">
        <v>7010.56</v>
      </c>
      <c r="K694">
        <v>6954.07</v>
      </c>
      <c r="L694" s="20">
        <f>tbl_Budget[[#This Row],[Actual]]-tbl_Budget[[#This Row],[Budget]]</f>
        <v>-56.490000000000691</v>
      </c>
      <c r="M694" s="3">
        <f>tbl_Budget[[#This Row],[Variance]]/tbl_Budget[[#This Row],[Budget]]</f>
        <v>-8.0578441665146126E-3</v>
      </c>
      <c r="N694" t="str">
        <f>IF(tbl_Budget[[#This Row],[Variance_%]]&gt;0.05,"Overspend",IF(tbl_Budget[[#This Row],[Variance_%]]&lt;-0.05,"Underspend","On Budget"))</f>
        <v>On Budget</v>
      </c>
    </row>
    <row r="695" spans="1:14" hidden="1">
      <c r="A695" s="1">
        <v>45108</v>
      </c>
      <c r="B695">
        <v>7</v>
      </c>
      <c r="C695" t="s">
        <v>42</v>
      </c>
      <c r="D695" t="s">
        <v>43</v>
      </c>
      <c r="E695">
        <v>2023</v>
      </c>
      <c r="F695" t="s">
        <v>30</v>
      </c>
      <c r="G695" t="s">
        <v>22</v>
      </c>
      <c r="H695" t="s">
        <v>17</v>
      </c>
      <c r="I695" t="s">
        <v>31</v>
      </c>
      <c r="J695">
        <v>6752.35</v>
      </c>
      <c r="K695">
        <v>6868.11</v>
      </c>
      <c r="L695" s="20">
        <f>tbl_Budget[[#This Row],[Actual]]-tbl_Budget[[#This Row],[Budget]]</f>
        <v>115.75999999999931</v>
      </c>
      <c r="M695" s="3">
        <f>tbl_Budget[[#This Row],[Variance]]/tbl_Budget[[#This Row],[Budget]]</f>
        <v>1.7143661095766555E-2</v>
      </c>
      <c r="N695" t="str">
        <f>IF(tbl_Budget[[#This Row],[Variance_%]]&gt;0.05,"Overspend",IF(tbl_Budget[[#This Row],[Variance_%]]&lt;-0.05,"Underspend","On Budget"))</f>
        <v>On Budget</v>
      </c>
    </row>
    <row r="696" spans="1:14" hidden="1">
      <c r="A696" s="1">
        <v>45108</v>
      </c>
      <c r="B696">
        <v>7</v>
      </c>
      <c r="C696" t="s">
        <v>42</v>
      </c>
      <c r="D696" t="s">
        <v>43</v>
      </c>
      <c r="E696">
        <v>2023</v>
      </c>
      <c r="F696" t="s">
        <v>30</v>
      </c>
      <c r="G696" t="s">
        <v>22</v>
      </c>
      <c r="H696" t="s">
        <v>18</v>
      </c>
      <c r="I696" t="s">
        <v>31</v>
      </c>
      <c r="J696">
        <v>7128.92</v>
      </c>
      <c r="K696">
        <v>7456.24</v>
      </c>
      <c r="L696" s="20">
        <f>tbl_Budget[[#This Row],[Actual]]-tbl_Budget[[#This Row],[Budget]]</f>
        <v>327.31999999999971</v>
      </c>
      <c r="M696" s="3">
        <f>tbl_Budget[[#This Row],[Variance]]/tbl_Budget[[#This Row],[Budget]]</f>
        <v>4.5914388154166368E-2</v>
      </c>
      <c r="N696" t="str">
        <f>IF(tbl_Budget[[#This Row],[Variance_%]]&gt;0.05,"Overspend",IF(tbl_Budget[[#This Row],[Variance_%]]&lt;-0.05,"Underspend","On Budget"))</f>
        <v>On Budget</v>
      </c>
    </row>
    <row r="697" spans="1:14" hidden="1">
      <c r="A697" s="1">
        <v>45108</v>
      </c>
      <c r="B697">
        <v>7</v>
      </c>
      <c r="C697" t="s">
        <v>42</v>
      </c>
      <c r="D697" t="s">
        <v>43</v>
      </c>
      <c r="E697">
        <v>2023</v>
      </c>
      <c r="F697" t="s">
        <v>30</v>
      </c>
      <c r="G697" t="s">
        <v>22</v>
      </c>
      <c r="H697" t="s">
        <v>19</v>
      </c>
      <c r="I697" t="s">
        <v>31</v>
      </c>
      <c r="J697">
        <v>7584.54</v>
      </c>
      <c r="K697">
        <v>7822.89</v>
      </c>
      <c r="L697" s="20">
        <f>tbl_Budget[[#This Row],[Actual]]-tbl_Budget[[#This Row],[Budget]]</f>
        <v>238.35000000000036</v>
      </c>
      <c r="M697" s="3">
        <f>tbl_Budget[[#This Row],[Variance]]/tbl_Budget[[#This Row],[Budget]]</f>
        <v>3.1425768734821148E-2</v>
      </c>
      <c r="N697" t="str">
        <f>IF(tbl_Budget[[#This Row],[Variance_%]]&gt;0.05,"Overspend",IF(tbl_Budget[[#This Row],[Variance_%]]&lt;-0.05,"Underspend","On Budget"))</f>
        <v>On Budget</v>
      </c>
    </row>
    <row r="698" spans="1:14" hidden="1">
      <c r="A698" s="1">
        <v>45108</v>
      </c>
      <c r="B698">
        <v>7</v>
      </c>
      <c r="C698" t="s">
        <v>42</v>
      </c>
      <c r="D698" t="s">
        <v>43</v>
      </c>
      <c r="E698">
        <v>2023</v>
      </c>
      <c r="F698" t="s">
        <v>30</v>
      </c>
      <c r="G698" t="s">
        <v>23</v>
      </c>
      <c r="H698" t="s">
        <v>15</v>
      </c>
      <c r="I698" t="s">
        <v>31</v>
      </c>
      <c r="J698">
        <v>6121.24</v>
      </c>
      <c r="K698">
        <v>5917.13</v>
      </c>
      <c r="L698" s="20">
        <f>tbl_Budget[[#This Row],[Actual]]-tbl_Budget[[#This Row],[Budget]]</f>
        <v>-204.10999999999967</v>
      </c>
      <c r="M698" s="3">
        <f>tbl_Budget[[#This Row],[Variance]]/tbl_Budget[[#This Row],[Budget]]</f>
        <v>-3.3344551104024622E-2</v>
      </c>
      <c r="N698" t="str">
        <f>IF(tbl_Budget[[#This Row],[Variance_%]]&gt;0.05,"Overspend",IF(tbl_Budget[[#This Row],[Variance_%]]&lt;-0.05,"Underspend","On Budget"))</f>
        <v>On Budget</v>
      </c>
    </row>
    <row r="699" spans="1:14" hidden="1">
      <c r="A699" s="1">
        <v>45108</v>
      </c>
      <c r="B699">
        <v>7</v>
      </c>
      <c r="C699" t="s">
        <v>42</v>
      </c>
      <c r="D699" t="s">
        <v>43</v>
      </c>
      <c r="E699">
        <v>2023</v>
      </c>
      <c r="F699" t="s">
        <v>30</v>
      </c>
      <c r="G699" t="s">
        <v>23</v>
      </c>
      <c r="H699" t="s">
        <v>17</v>
      </c>
      <c r="I699" t="s">
        <v>31</v>
      </c>
      <c r="J699">
        <v>5891.73</v>
      </c>
      <c r="K699">
        <v>5714.86</v>
      </c>
      <c r="L699" s="20">
        <f>tbl_Budget[[#This Row],[Actual]]-tbl_Budget[[#This Row],[Budget]]</f>
        <v>-176.86999999999989</v>
      </c>
      <c r="M699" s="3">
        <f>tbl_Budget[[#This Row],[Variance]]/tbl_Budget[[#This Row],[Budget]]</f>
        <v>-3.0020045046191848E-2</v>
      </c>
      <c r="N699" t="str">
        <f>IF(tbl_Budget[[#This Row],[Variance_%]]&gt;0.05,"Overspend",IF(tbl_Budget[[#This Row],[Variance_%]]&lt;-0.05,"Underspend","On Budget"))</f>
        <v>On Budget</v>
      </c>
    </row>
    <row r="700" spans="1:14" hidden="1">
      <c r="A700" s="1">
        <v>45108</v>
      </c>
      <c r="B700">
        <v>7</v>
      </c>
      <c r="C700" t="s">
        <v>42</v>
      </c>
      <c r="D700" t="s">
        <v>43</v>
      </c>
      <c r="E700">
        <v>2023</v>
      </c>
      <c r="F700" t="s">
        <v>30</v>
      </c>
      <c r="G700" t="s">
        <v>23</v>
      </c>
      <c r="H700" t="s">
        <v>18</v>
      </c>
      <c r="I700" t="s">
        <v>31</v>
      </c>
      <c r="J700">
        <v>5825.08</v>
      </c>
      <c r="K700">
        <v>6045.6</v>
      </c>
      <c r="L700" s="20">
        <f>tbl_Budget[[#This Row],[Actual]]-tbl_Budget[[#This Row],[Budget]]</f>
        <v>220.52000000000044</v>
      </c>
      <c r="M700" s="3">
        <f>tbl_Budget[[#This Row],[Variance]]/tbl_Budget[[#This Row],[Budget]]</f>
        <v>3.7856990805276568E-2</v>
      </c>
      <c r="N700" t="str">
        <f>IF(tbl_Budget[[#This Row],[Variance_%]]&gt;0.05,"Overspend",IF(tbl_Budget[[#This Row],[Variance_%]]&lt;-0.05,"Underspend","On Budget"))</f>
        <v>On Budget</v>
      </c>
    </row>
    <row r="701" spans="1:14" hidden="1">
      <c r="A701" s="1">
        <v>45108</v>
      </c>
      <c r="B701">
        <v>7</v>
      </c>
      <c r="C701" t="s">
        <v>42</v>
      </c>
      <c r="D701" t="s">
        <v>43</v>
      </c>
      <c r="E701">
        <v>2023</v>
      </c>
      <c r="F701" t="s">
        <v>30</v>
      </c>
      <c r="G701" t="s">
        <v>23</v>
      </c>
      <c r="H701" t="s">
        <v>19</v>
      </c>
      <c r="I701" t="s">
        <v>31</v>
      </c>
      <c r="J701">
        <v>6242.64</v>
      </c>
      <c r="K701">
        <v>5966.92</v>
      </c>
      <c r="L701" s="20">
        <f>tbl_Budget[[#This Row],[Actual]]-tbl_Budget[[#This Row],[Budget]]</f>
        <v>-275.72000000000025</v>
      </c>
      <c r="M701" s="3">
        <f>tbl_Budget[[#This Row],[Variance]]/tbl_Budget[[#This Row],[Budget]]</f>
        <v>-4.4167211308036379E-2</v>
      </c>
      <c r="N701" t="str">
        <f>IF(tbl_Budget[[#This Row],[Variance_%]]&gt;0.05,"Overspend",IF(tbl_Budget[[#This Row],[Variance_%]]&lt;-0.05,"Underspend","On Budget"))</f>
        <v>On Budget</v>
      </c>
    </row>
    <row r="702" spans="1:14" hidden="1">
      <c r="A702" s="1">
        <v>45139</v>
      </c>
      <c r="B702">
        <v>8</v>
      </c>
      <c r="C702" t="s">
        <v>44</v>
      </c>
      <c r="D702" t="s">
        <v>45</v>
      </c>
      <c r="E702">
        <v>2023</v>
      </c>
      <c r="F702" t="s">
        <v>13</v>
      </c>
      <c r="G702" t="s">
        <v>14</v>
      </c>
      <c r="H702" t="s">
        <v>15</v>
      </c>
      <c r="I702" t="s">
        <v>16</v>
      </c>
      <c r="J702">
        <v>47315.99</v>
      </c>
      <c r="K702">
        <v>51972.47</v>
      </c>
      <c r="L702" s="20">
        <f>tbl_Budget[[#This Row],[Actual]]-tbl_Budget[[#This Row],[Budget]]</f>
        <v>4656.4800000000032</v>
      </c>
      <c r="M702" s="3">
        <f>tbl_Budget[[#This Row],[Variance]]/tbl_Budget[[#This Row],[Budget]]</f>
        <v>9.8412397162143353E-2</v>
      </c>
      <c r="N702" t="str">
        <f>IF(tbl_Budget[[#This Row],[Variance_%]]&gt;0.05,"Overspend",IF(tbl_Budget[[#This Row],[Variance_%]]&lt;-0.05,"Underspend","On Budget"))</f>
        <v>Overspend</v>
      </c>
    </row>
    <row r="703" spans="1:14" hidden="1">
      <c r="A703" s="1">
        <v>45139</v>
      </c>
      <c r="B703">
        <v>8</v>
      </c>
      <c r="C703" t="s">
        <v>44</v>
      </c>
      <c r="D703" t="s">
        <v>45</v>
      </c>
      <c r="E703">
        <v>2023</v>
      </c>
      <c r="F703" t="s">
        <v>13</v>
      </c>
      <c r="G703" t="s">
        <v>14</v>
      </c>
      <c r="H703" t="s">
        <v>17</v>
      </c>
      <c r="I703" t="s">
        <v>16</v>
      </c>
      <c r="J703">
        <v>44797.39</v>
      </c>
      <c r="K703">
        <v>50856.18</v>
      </c>
      <c r="L703" s="20">
        <f>tbl_Budget[[#This Row],[Actual]]-tbl_Budget[[#This Row],[Budget]]</f>
        <v>6058.7900000000009</v>
      </c>
      <c r="M703" s="3">
        <f>tbl_Budget[[#This Row],[Variance]]/tbl_Budget[[#This Row],[Budget]]</f>
        <v>0.13524872766024987</v>
      </c>
      <c r="N703" t="str">
        <f>IF(tbl_Budget[[#This Row],[Variance_%]]&gt;0.05,"Overspend",IF(tbl_Budget[[#This Row],[Variance_%]]&lt;-0.05,"Underspend","On Budget"))</f>
        <v>Overspend</v>
      </c>
    </row>
    <row r="704" spans="1:14" hidden="1">
      <c r="A704" s="1">
        <v>45139</v>
      </c>
      <c r="B704">
        <v>8</v>
      </c>
      <c r="C704" t="s">
        <v>44</v>
      </c>
      <c r="D704" t="s">
        <v>45</v>
      </c>
      <c r="E704">
        <v>2023</v>
      </c>
      <c r="F704" t="s">
        <v>13</v>
      </c>
      <c r="G704" t="s">
        <v>14</v>
      </c>
      <c r="H704" t="s">
        <v>18</v>
      </c>
      <c r="I704" t="s">
        <v>16</v>
      </c>
      <c r="J704">
        <v>46119.76</v>
      </c>
      <c r="K704">
        <v>51815.43</v>
      </c>
      <c r="L704" s="20">
        <f>tbl_Budget[[#This Row],[Actual]]-tbl_Budget[[#This Row],[Budget]]</f>
        <v>5695.6699999999983</v>
      </c>
      <c r="M704" s="3">
        <f>tbl_Budget[[#This Row],[Variance]]/tbl_Budget[[#This Row],[Budget]]</f>
        <v>0.12349739027262931</v>
      </c>
      <c r="N704" t="str">
        <f>IF(tbl_Budget[[#This Row],[Variance_%]]&gt;0.05,"Overspend",IF(tbl_Budget[[#This Row],[Variance_%]]&lt;-0.05,"Underspend","On Budget"))</f>
        <v>Overspend</v>
      </c>
    </row>
    <row r="705" spans="1:14" hidden="1">
      <c r="A705" s="1">
        <v>45139</v>
      </c>
      <c r="B705">
        <v>8</v>
      </c>
      <c r="C705" t="s">
        <v>44</v>
      </c>
      <c r="D705" t="s">
        <v>45</v>
      </c>
      <c r="E705">
        <v>2023</v>
      </c>
      <c r="F705" t="s">
        <v>13</v>
      </c>
      <c r="G705" t="s">
        <v>14</v>
      </c>
      <c r="H705" t="s">
        <v>19</v>
      </c>
      <c r="I705" t="s">
        <v>16</v>
      </c>
      <c r="J705">
        <v>48409.94</v>
      </c>
      <c r="K705">
        <v>54507.73</v>
      </c>
      <c r="L705" s="20">
        <f>tbl_Budget[[#This Row],[Actual]]-tbl_Budget[[#This Row],[Budget]]</f>
        <v>6097.7900000000009</v>
      </c>
      <c r="M705" s="3">
        <f>tbl_Budget[[#This Row],[Variance]]/tbl_Budget[[#This Row],[Budget]]</f>
        <v>0.12596152773583277</v>
      </c>
      <c r="N705" t="str">
        <f>IF(tbl_Budget[[#This Row],[Variance_%]]&gt;0.05,"Overspend",IF(tbl_Budget[[#This Row],[Variance_%]]&lt;-0.05,"Underspend","On Budget"))</f>
        <v>Overspend</v>
      </c>
    </row>
    <row r="706" spans="1:14" hidden="1">
      <c r="A706" s="1">
        <v>45139</v>
      </c>
      <c r="B706">
        <v>8</v>
      </c>
      <c r="C706" t="s">
        <v>44</v>
      </c>
      <c r="D706" t="s">
        <v>45</v>
      </c>
      <c r="E706">
        <v>2023</v>
      </c>
      <c r="F706" t="s">
        <v>13</v>
      </c>
      <c r="G706" t="s">
        <v>20</v>
      </c>
      <c r="H706" t="s">
        <v>15</v>
      </c>
      <c r="I706" t="s">
        <v>16</v>
      </c>
      <c r="J706">
        <v>18811.14</v>
      </c>
      <c r="K706">
        <v>22440.81</v>
      </c>
      <c r="L706" s="20">
        <f>tbl_Budget[[#This Row],[Actual]]-tbl_Budget[[#This Row],[Budget]]</f>
        <v>3629.6700000000019</v>
      </c>
      <c r="M706" s="3">
        <f>tbl_Budget[[#This Row],[Variance]]/tbl_Budget[[#This Row],[Budget]]</f>
        <v>0.19295321814626876</v>
      </c>
      <c r="N706" t="str">
        <f>IF(tbl_Budget[[#This Row],[Variance_%]]&gt;0.05,"Overspend",IF(tbl_Budget[[#This Row],[Variance_%]]&lt;-0.05,"Underspend","On Budget"))</f>
        <v>Overspend</v>
      </c>
    </row>
    <row r="707" spans="1:14" hidden="1">
      <c r="A707" s="1">
        <v>45139</v>
      </c>
      <c r="B707">
        <v>8</v>
      </c>
      <c r="C707" t="s">
        <v>44</v>
      </c>
      <c r="D707" t="s">
        <v>45</v>
      </c>
      <c r="E707">
        <v>2023</v>
      </c>
      <c r="F707" t="s">
        <v>13</v>
      </c>
      <c r="G707" t="s">
        <v>20</v>
      </c>
      <c r="H707" t="s">
        <v>17</v>
      </c>
      <c r="I707" t="s">
        <v>16</v>
      </c>
      <c r="J707">
        <v>17419.18</v>
      </c>
      <c r="K707">
        <v>19817.060000000001</v>
      </c>
      <c r="L707" s="20">
        <f>tbl_Budget[[#This Row],[Actual]]-tbl_Budget[[#This Row],[Budget]]</f>
        <v>2397.880000000001</v>
      </c>
      <c r="M707" s="3">
        <f>tbl_Budget[[#This Row],[Variance]]/tbl_Budget[[#This Row],[Budget]]</f>
        <v>0.1376574557470559</v>
      </c>
      <c r="N707" t="str">
        <f>IF(tbl_Budget[[#This Row],[Variance_%]]&gt;0.05,"Overspend",IF(tbl_Budget[[#This Row],[Variance_%]]&lt;-0.05,"Underspend","On Budget"))</f>
        <v>Overspend</v>
      </c>
    </row>
    <row r="708" spans="1:14" hidden="1">
      <c r="A708" s="1">
        <v>45139</v>
      </c>
      <c r="B708">
        <v>8</v>
      </c>
      <c r="C708" t="s">
        <v>44</v>
      </c>
      <c r="D708" t="s">
        <v>45</v>
      </c>
      <c r="E708">
        <v>2023</v>
      </c>
      <c r="F708" t="s">
        <v>13</v>
      </c>
      <c r="G708" t="s">
        <v>20</v>
      </c>
      <c r="H708" t="s">
        <v>18</v>
      </c>
      <c r="I708" t="s">
        <v>16</v>
      </c>
      <c r="J708">
        <v>18022.62</v>
      </c>
      <c r="K708">
        <v>21515.33</v>
      </c>
      <c r="L708" s="20">
        <f>tbl_Budget[[#This Row],[Actual]]-tbl_Budget[[#This Row],[Budget]]</f>
        <v>3492.7100000000028</v>
      </c>
      <c r="M708" s="3">
        <f>tbl_Budget[[#This Row],[Variance]]/tbl_Budget[[#This Row],[Budget]]</f>
        <v>0.1937959075872433</v>
      </c>
      <c r="N708" t="str">
        <f>IF(tbl_Budget[[#This Row],[Variance_%]]&gt;0.05,"Overspend",IF(tbl_Budget[[#This Row],[Variance_%]]&lt;-0.05,"Underspend","On Budget"))</f>
        <v>Overspend</v>
      </c>
    </row>
    <row r="709" spans="1:14" hidden="1">
      <c r="A709" s="1">
        <v>45139</v>
      </c>
      <c r="B709">
        <v>8</v>
      </c>
      <c r="C709" t="s">
        <v>44</v>
      </c>
      <c r="D709" t="s">
        <v>45</v>
      </c>
      <c r="E709">
        <v>2023</v>
      </c>
      <c r="F709" t="s">
        <v>13</v>
      </c>
      <c r="G709" t="s">
        <v>20</v>
      </c>
      <c r="H709" t="s">
        <v>19</v>
      </c>
      <c r="I709" t="s">
        <v>16</v>
      </c>
      <c r="J709">
        <v>18907.88</v>
      </c>
      <c r="K709">
        <v>22385.01</v>
      </c>
      <c r="L709" s="20">
        <f>tbl_Budget[[#This Row],[Actual]]-tbl_Budget[[#This Row],[Budget]]</f>
        <v>3477.1299999999974</v>
      </c>
      <c r="M709" s="3">
        <f>tbl_Budget[[#This Row],[Variance]]/tbl_Budget[[#This Row],[Budget]]</f>
        <v>0.18389845926671827</v>
      </c>
      <c r="N709" t="str">
        <f>IF(tbl_Budget[[#This Row],[Variance_%]]&gt;0.05,"Overspend",IF(tbl_Budget[[#This Row],[Variance_%]]&lt;-0.05,"Underspend","On Budget"))</f>
        <v>Overspend</v>
      </c>
    </row>
    <row r="710" spans="1:14">
      <c r="A710" s="1">
        <v>45139</v>
      </c>
      <c r="B710">
        <v>8</v>
      </c>
      <c r="C710" t="s">
        <v>44</v>
      </c>
      <c r="D710" t="s">
        <v>45</v>
      </c>
      <c r="E710">
        <v>2023</v>
      </c>
      <c r="F710" t="s">
        <v>13</v>
      </c>
      <c r="G710" t="s">
        <v>21</v>
      </c>
      <c r="H710" t="s">
        <v>15</v>
      </c>
      <c r="I710" t="s">
        <v>16</v>
      </c>
      <c r="J710">
        <v>10160.450000000001</v>
      </c>
      <c r="K710">
        <v>15415.53</v>
      </c>
      <c r="L710" s="20">
        <f>tbl_Budget[[#This Row],[Actual]]-tbl_Budget[[#This Row],[Budget]]</f>
        <v>5255.08</v>
      </c>
      <c r="M710" s="3">
        <f>tbl_Budget[[#This Row],[Variance]]/tbl_Budget[[#This Row],[Budget]]</f>
        <v>0.51720937556899538</v>
      </c>
      <c r="N710" t="str">
        <f>IF(tbl_Budget[[#This Row],[Variance_%]]&gt;0.05,"Overspend",IF(tbl_Budget[[#This Row],[Variance_%]]&lt;-0.05,"Underspend","On Budget"))</f>
        <v>Overspend</v>
      </c>
    </row>
    <row r="711" spans="1:14">
      <c r="A711" s="1">
        <v>45139</v>
      </c>
      <c r="B711">
        <v>8</v>
      </c>
      <c r="C711" t="s">
        <v>44</v>
      </c>
      <c r="D711" t="s">
        <v>45</v>
      </c>
      <c r="E711">
        <v>2023</v>
      </c>
      <c r="F711" t="s">
        <v>13</v>
      </c>
      <c r="G711" t="s">
        <v>21</v>
      </c>
      <c r="H711" t="s">
        <v>17</v>
      </c>
      <c r="I711" t="s">
        <v>16</v>
      </c>
      <c r="J711">
        <v>9938.1</v>
      </c>
      <c r="K711">
        <v>14521.64</v>
      </c>
      <c r="L711" s="20">
        <f>tbl_Budget[[#This Row],[Actual]]-tbl_Budget[[#This Row],[Budget]]</f>
        <v>4583.5399999999991</v>
      </c>
      <c r="M711" s="3">
        <f>tbl_Budget[[#This Row],[Variance]]/tbl_Budget[[#This Row],[Budget]]</f>
        <v>0.46120888298568125</v>
      </c>
      <c r="N711" t="str">
        <f>IF(tbl_Budget[[#This Row],[Variance_%]]&gt;0.05,"Overspend",IF(tbl_Budget[[#This Row],[Variance_%]]&lt;-0.05,"Underspend","On Budget"))</f>
        <v>Overspend</v>
      </c>
    </row>
    <row r="712" spans="1:14">
      <c r="A712" s="1">
        <v>45139</v>
      </c>
      <c r="B712">
        <v>8</v>
      </c>
      <c r="C712" t="s">
        <v>44</v>
      </c>
      <c r="D712" t="s">
        <v>45</v>
      </c>
      <c r="E712">
        <v>2023</v>
      </c>
      <c r="F712" t="s">
        <v>13</v>
      </c>
      <c r="G712" t="s">
        <v>21</v>
      </c>
      <c r="H712" t="s">
        <v>18</v>
      </c>
      <c r="I712" t="s">
        <v>16</v>
      </c>
      <c r="J712">
        <v>10140.969999999999</v>
      </c>
      <c r="K712">
        <v>15730.22</v>
      </c>
      <c r="L712" s="20">
        <f>tbl_Budget[[#This Row],[Actual]]-tbl_Budget[[#This Row],[Budget]]</f>
        <v>5589.25</v>
      </c>
      <c r="M712" s="3">
        <f>tbl_Budget[[#This Row],[Variance]]/tbl_Budget[[#This Row],[Budget]]</f>
        <v>0.55115536284990496</v>
      </c>
      <c r="N712" t="str">
        <f>IF(tbl_Budget[[#This Row],[Variance_%]]&gt;0.05,"Overspend",IF(tbl_Budget[[#This Row],[Variance_%]]&lt;-0.05,"Underspend","On Budget"))</f>
        <v>Overspend</v>
      </c>
    </row>
    <row r="713" spans="1:14">
      <c r="A713" s="1">
        <v>45139</v>
      </c>
      <c r="B713">
        <v>8</v>
      </c>
      <c r="C713" t="s">
        <v>44</v>
      </c>
      <c r="D713" t="s">
        <v>45</v>
      </c>
      <c r="E713">
        <v>2023</v>
      </c>
      <c r="F713" t="s">
        <v>13</v>
      </c>
      <c r="G713" t="s">
        <v>21</v>
      </c>
      <c r="H713" t="s">
        <v>19</v>
      </c>
      <c r="I713" t="s">
        <v>16</v>
      </c>
      <c r="J713">
        <v>10420.120000000001</v>
      </c>
      <c r="K713">
        <v>15167.19</v>
      </c>
      <c r="L713" s="20">
        <f>tbl_Budget[[#This Row],[Actual]]-tbl_Budget[[#This Row],[Budget]]</f>
        <v>4747.07</v>
      </c>
      <c r="M713" s="3">
        <f>tbl_Budget[[#This Row],[Variance]]/tbl_Budget[[#This Row],[Budget]]</f>
        <v>0.45556769019934507</v>
      </c>
      <c r="N713" t="str">
        <f>IF(tbl_Budget[[#This Row],[Variance_%]]&gt;0.05,"Overspend",IF(tbl_Budget[[#This Row],[Variance_%]]&lt;-0.05,"Underspend","On Budget"))</f>
        <v>Overspend</v>
      </c>
    </row>
    <row r="714" spans="1:14" hidden="1">
      <c r="A714" s="1">
        <v>45139</v>
      </c>
      <c r="B714">
        <v>8</v>
      </c>
      <c r="C714" t="s">
        <v>44</v>
      </c>
      <c r="D714" t="s">
        <v>45</v>
      </c>
      <c r="E714">
        <v>2023</v>
      </c>
      <c r="F714" t="s">
        <v>13</v>
      </c>
      <c r="G714" t="s">
        <v>22</v>
      </c>
      <c r="H714" t="s">
        <v>15</v>
      </c>
      <c r="I714" t="s">
        <v>16</v>
      </c>
      <c r="J714">
        <v>7969.61</v>
      </c>
      <c r="K714">
        <v>8958.68</v>
      </c>
      <c r="L714" s="20">
        <f>tbl_Budget[[#This Row],[Actual]]-tbl_Budget[[#This Row],[Budget]]</f>
        <v>989.07000000000062</v>
      </c>
      <c r="M714" s="3">
        <f>tbl_Budget[[#This Row],[Variance]]/tbl_Budget[[#This Row],[Budget]]</f>
        <v>0.12410519460801729</v>
      </c>
      <c r="N714" t="str">
        <f>IF(tbl_Budget[[#This Row],[Variance_%]]&gt;0.05,"Overspend",IF(tbl_Budget[[#This Row],[Variance_%]]&lt;-0.05,"Underspend","On Budget"))</f>
        <v>Overspend</v>
      </c>
    </row>
    <row r="715" spans="1:14" hidden="1">
      <c r="A715" s="1">
        <v>45139</v>
      </c>
      <c r="B715">
        <v>8</v>
      </c>
      <c r="C715" t="s">
        <v>44</v>
      </c>
      <c r="D715" t="s">
        <v>45</v>
      </c>
      <c r="E715">
        <v>2023</v>
      </c>
      <c r="F715" t="s">
        <v>13</v>
      </c>
      <c r="G715" t="s">
        <v>22</v>
      </c>
      <c r="H715" t="s">
        <v>17</v>
      </c>
      <c r="I715" t="s">
        <v>16</v>
      </c>
      <c r="J715">
        <v>7572.19</v>
      </c>
      <c r="K715">
        <v>8954</v>
      </c>
      <c r="L715" s="20">
        <f>tbl_Budget[[#This Row],[Actual]]-tbl_Budget[[#This Row],[Budget]]</f>
        <v>1381.8100000000004</v>
      </c>
      <c r="M715" s="3">
        <f>tbl_Budget[[#This Row],[Variance]]/tbl_Budget[[#This Row],[Budget]]</f>
        <v>0.18248485576827847</v>
      </c>
      <c r="N715" t="str">
        <f>IF(tbl_Budget[[#This Row],[Variance_%]]&gt;0.05,"Overspend",IF(tbl_Budget[[#This Row],[Variance_%]]&lt;-0.05,"Underspend","On Budget"))</f>
        <v>Overspend</v>
      </c>
    </row>
    <row r="716" spans="1:14" hidden="1">
      <c r="A716" s="1">
        <v>45139</v>
      </c>
      <c r="B716">
        <v>8</v>
      </c>
      <c r="C716" t="s">
        <v>44</v>
      </c>
      <c r="D716" t="s">
        <v>45</v>
      </c>
      <c r="E716">
        <v>2023</v>
      </c>
      <c r="F716" t="s">
        <v>13</v>
      </c>
      <c r="G716" t="s">
        <v>22</v>
      </c>
      <c r="H716" t="s">
        <v>18</v>
      </c>
      <c r="I716" t="s">
        <v>16</v>
      </c>
      <c r="J716">
        <v>7944.96</v>
      </c>
      <c r="K716">
        <v>9046.6299999999992</v>
      </c>
      <c r="L716" s="20">
        <f>tbl_Budget[[#This Row],[Actual]]-tbl_Budget[[#This Row],[Budget]]</f>
        <v>1101.6699999999992</v>
      </c>
      <c r="M716" s="3">
        <f>tbl_Budget[[#This Row],[Variance]]/tbl_Budget[[#This Row],[Budget]]</f>
        <v>0.13866274971806014</v>
      </c>
      <c r="N716" t="str">
        <f>IF(tbl_Budget[[#This Row],[Variance_%]]&gt;0.05,"Overspend",IF(tbl_Budget[[#This Row],[Variance_%]]&lt;-0.05,"Underspend","On Budget"))</f>
        <v>Overspend</v>
      </c>
    </row>
    <row r="717" spans="1:14" hidden="1">
      <c r="A717" s="1">
        <v>45139</v>
      </c>
      <c r="B717">
        <v>8</v>
      </c>
      <c r="C717" t="s">
        <v>44</v>
      </c>
      <c r="D717" t="s">
        <v>45</v>
      </c>
      <c r="E717">
        <v>2023</v>
      </c>
      <c r="F717" t="s">
        <v>13</v>
      </c>
      <c r="G717" t="s">
        <v>22</v>
      </c>
      <c r="H717" t="s">
        <v>19</v>
      </c>
      <c r="I717" t="s">
        <v>16</v>
      </c>
      <c r="J717">
        <v>8306.16</v>
      </c>
      <c r="K717">
        <v>9437.74</v>
      </c>
      <c r="L717" s="20">
        <f>tbl_Budget[[#This Row],[Actual]]-tbl_Budget[[#This Row],[Budget]]</f>
        <v>1131.58</v>
      </c>
      <c r="M717" s="3">
        <f>tbl_Budget[[#This Row],[Variance]]/tbl_Budget[[#This Row],[Budget]]</f>
        <v>0.13623383127702812</v>
      </c>
      <c r="N717" t="str">
        <f>IF(tbl_Budget[[#This Row],[Variance_%]]&gt;0.05,"Overspend",IF(tbl_Budget[[#This Row],[Variance_%]]&lt;-0.05,"Underspend","On Budget"))</f>
        <v>Overspend</v>
      </c>
    </row>
    <row r="718" spans="1:14" hidden="1">
      <c r="A718" s="1">
        <v>45139</v>
      </c>
      <c r="B718">
        <v>8</v>
      </c>
      <c r="C718" t="s">
        <v>44</v>
      </c>
      <c r="D718" t="s">
        <v>45</v>
      </c>
      <c r="E718">
        <v>2023</v>
      </c>
      <c r="F718" t="s">
        <v>13</v>
      </c>
      <c r="G718" t="s">
        <v>23</v>
      </c>
      <c r="H718" t="s">
        <v>15</v>
      </c>
      <c r="I718" t="s">
        <v>16</v>
      </c>
      <c r="J718">
        <v>8224.18</v>
      </c>
      <c r="K718">
        <v>9144.2800000000007</v>
      </c>
      <c r="L718" s="20">
        <f>tbl_Budget[[#This Row],[Actual]]-tbl_Budget[[#This Row],[Budget]]</f>
        <v>920.10000000000036</v>
      </c>
      <c r="M718" s="3">
        <f>tbl_Budget[[#This Row],[Variance]]/tbl_Budget[[#This Row],[Budget]]</f>
        <v>0.11187741513439642</v>
      </c>
      <c r="N718" t="str">
        <f>IF(tbl_Budget[[#This Row],[Variance_%]]&gt;0.05,"Overspend",IF(tbl_Budget[[#This Row],[Variance_%]]&lt;-0.05,"Underspend","On Budget"))</f>
        <v>Overspend</v>
      </c>
    </row>
    <row r="719" spans="1:14" hidden="1">
      <c r="A719" s="1">
        <v>45139</v>
      </c>
      <c r="B719">
        <v>8</v>
      </c>
      <c r="C719" t="s">
        <v>44</v>
      </c>
      <c r="D719" t="s">
        <v>45</v>
      </c>
      <c r="E719">
        <v>2023</v>
      </c>
      <c r="F719" t="s">
        <v>13</v>
      </c>
      <c r="G719" t="s">
        <v>23</v>
      </c>
      <c r="H719" t="s">
        <v>17</v>
      </c>
      <c r="I719" t="s">
        <v>16</v>
      </c>
      <c r="J719">
        <v>7854.58</v>
      </c>
      <c r="K719">
        <v>9022.83</v>
      </c>
      <c r="L719" s="20">
        <f>tbl_Budget[[#This Row],[Actual]]-tbl_Budget[[#This Row],[Budget]]</f>
        <v>1168.25</v>
      </c>
      <c r="M719" s="3">
        <f>tbl_Budget[[#This Row],[Variance]]/tbl_Budget[[#This Row],[Budget]]</f>
        <v>0.14873487824937806</v>
      </c>
      <c r="N719" t="str">
        <f>IF(tbl_Budget[[#This Row],[Variance_%]]&gt;0.05,"Overspend",IF(tbl_Budget[[#This Row],[Variance_%]]&lt;-0.05,"Underspend","On Budget"))</f>
        <v>Overspend</v>
      </c>
    </row>
    <row r="720" spans="1:14" hidden="1">
      <c r="A720" s="1">
        <v>45139</v>
      </c>
      <c r="B720">
        <v>8</v>
      </c>
      <c r="C720" t="s">
        <v>44</v>
      </c>
      <c r="D720" t="s">
        <v>45</v>
      </c>
      <c r="E720">
        <v>2023</v>
      </c>
      <c r="F720" t="s">
        <v>13</v>
      </c>
      <c r="G720" t="s">
        <v>23</v>
      </c>
      <c r="H720" t="s">
        <v>18</v>
      </c>
      <c r="I720" t="s">
        <v>16</v>
      </c>
      <c r="J720">
        <v>7866.83</v>
      </c>
      <c r="K720">
        <v>9470.0400000000009</v>
      </c>
      <c r="L720" s="20">
        <f>tbl_Budget[[#This Row],[Actual]]-tbl_Budget[[#This Row],[Budget]]</f>
        <v>1603.2100000000009</v>
      </c>
      <c r="M720" s="3">
        <f>tbl_Budget[[#This Row],[Variance]]/tbl_Budget[[#This Row],[Budget]]</f>
        <v>0.2037936500470966</v>
      </c>
      <c r="N720" t="str">
        <f>IF(tbl_Budget[[#This Row],[Variance_%]]&gt;0.05,"Overspend",IF(tbl_Budget[[#This Row],[Variance_%]]&lt;-0.05,"Underspend","On Budget"))</f>
        <v>Overspend</v>
      </c>
    </row>
    <row r="721" spans="1:14" hidden="1">
      <c r="A721" s="1">
        <v>45139</v>
      </c>
      <c r="B721">
        <v>8</v>
      </c>
      <c r="C721" t="s">
        <v>44</v>
      </c>
      <c r="D721" t="s">
        <v>45</v>
      </c>
      <c r="E721">
        <v>2023</v>
      </c>
      <c r="F721" t="s">
        <v>13</v>
      </c>
      <c r="G721" t="s">
        <v>23</v>
      </c>
      <c r="H721" t="s">
        <v>19</v>
      </c>
      <c r="I721" t="s">
        <v>16</v>
      </c>
      <c r="J721">
        <v>8781.85</v>
      </c>
      <c r="K721">
        <v>10321.66</v>
      </c>
      <c r="L721" s="20">
        <f>tbl_Budget[[#This Row],[Actual]]-tbl_Budget[[#This Row],[Budget]]</f>
        <v>1539.8099999999995</v>
      </c>
      <c r="M721" s="3">
        <f>tbl_Budget[[#This Row],[Variance]]/tbl_Budget[[#This Row],[Budget]]</f>
        <v>0.17534004793978483</v>
      </c>
      <c r="N721" t="str">
        <f>IF(tbl_Budget[[#This Row],[Variance_%]]&gt;0.05,"Overspend",IF(tbl_Budget[[#This Row],[Variance_%]]&lt;-0.05,"Underspend","On Budget"))</f>
        <v>Overspend</v>
      </c>
    </row>
    <row r="722" spans="1:14" hidden="1">
      <c r="A722" s="1">
        <v>45139</v>
      </c>
      <c r="B722">
        <v>8</v>
      </c>
      <c r="C722" t="s">
        <v>44</v>
      </c>
      <c r="D722" t="s">
        <v>45</v>
      </c>
      <c r="E722">
        <v>2023</v>
      </c>
      <c r="F722" t="s">
        <v>24</v>
      </c>
      <c r="G722" t="s">
        <v>14</v>
      </c>
      <c r="H722" t="s">
        <v>15</v>
      </c>
      <c r="I722" t="s">
        <v>25</v>
      </c>
      <c r="J722">
        <v>50616.56</v>
      </c>
      <c r="K722">
        <v>43730.83</v>
      </c>
      <c r="L722" s="20">
        <f>tbl_Budget[[#This Row],[Actual]]-tbl_Budget[[#This Row],[Budget]]</f>
        <v>-6885.7299999999959</v>
      </c>
      <c r="M722" s="3">
        <f>tbl_Budget[[#This Row],[Variance]]/tbl_Budget[[#This Row],[Budget]]</f>
        <v>-0.13603709932085462</v>
      </c>
      <c r="N722" t="str">
        <f>IF(tbl_Budget[[#This Row],[Variance_%]]&gt;0.05,"Overspend",IF(tbl_Budget[[#This Row],[Variance_%]]&lt;-0.05,"Underspend","On Budget"))</f>
        <v>Underspend</v>
      </c>
    </row>
    <row r="723" spans="1:14" hidden="1">
      <c r="A723" s="1">
        <v>45139</v>
      </c>
      <c r="B723">
        <v>8</v>
      </c>
      <c r="C723" t="s">
        <v>44</v>
      </c>
      <c r="D723" t="s">
        <v>45</v>
      </c>
      <c r="E723">
        <v>2023</v>
      </c>
      <c r="F723" t="s">
        <v>24</v>
      </c>
      <c r="G723" t="s">
        <v>14</v>
      </c>
      <c r="H723" t="s">
        <v>17</v>
      </c>
      <c r="I723" t="s">
        <v>25</v>
      </c>
      <c r="J723">
        <v>48325.919999999998</v>
      </c>
      <c r="K723">
        <v>42072.01</v>
      </c>
      <c r="L723" s="20">
        <f>tbl_Budget[[#This Row],[Actual]]-tbl_Budget[[#This Row],[Budget]]</f>
        <v>-6253.9099999999962</v>
      </c>
      <c r="M723" s="3">
        <f>tbl_Budget[[#This Row],[Variance]]/tbl_Budget[[#This Row],[Budget]]</f>
        <v>-0.12941109036310114</v>
      </c>
      <c r="N723" t="str">
        <f>IF(tbl_Budget[[#This Row],[Variance_%]]&gt;0.05,"Overspend",IF(tbl_Budget[[#This Row],[Variance_%]]&lt;-0.05,"Underspend","On Budget"))</f>
        <v>Underspend</v>
      </c>
    </row>
    <row r="724" spans="1:14" hidden="1">
      <c r="A724" s="1">
        <v>45139</v>
      </c>
      <c r="B724">
        <v>8</v>
      </c>
      <c r="C724" t="s">
        <v>44</v>
      </c>
      <c r="D724" t="s">
        <v>45</v>
      </c>
      <c r="E724">
        <v>2023</v>
      </c>
      <c r="F724" t="s">
        <v>24</v>
      </c>
      <c r="G724" t="s">
        <v>14</v>
      </c>
      <c r="H724" t="s">
        <v>18</v>
      </c>
      <c r="I724" t="s">
        <v>25</v>
      </c>
      <c r="J724">
        <v>47931.56</v>
      </c>
      <c r="K724">
        <v>42279.25</v>
      </c>
      <c r="L724" s="20">
        <f>tbl_Budget[[#This Row],[Actual]]-tbl_Budget[[#This Row],[Budget]]</f>
        <v>-5652.3099999999977</v>
      </c>
      <c r="M724" s="3">
        <f>tbl_Budget[[#This Row],[Variance]]/tbl_Budget[[#This Row],[Budget]]</f>
        <v>-0.11792459915763222</v>
      </c>
      <c r="N724" t="str">
        <f>IF(tbl_Budget[[#This Row],[Variance_%]]&gt;0.05,"Overspend",IF(tbl_Budget[[#This Row],[Variance_%]]&lt;-0.05,"Underspend","On Budget"))</f>
        <v>Underspend</v>
      </c>
    </row>
    <row r="725" spans="1:14" hidden="1">
      <c r="A725" s="1">
        <v>45139</v>
      </c>
      <c r="B725">
        <v>8</v>
      </c>
      <c r="C725" t="s">
        <v>44</v>
      </c>
      <c r="D725" t="s">
        <v>45</v>
      </c>
      <c r="E725">
        <v>2023</v>
      </c>
      <c r="F725" t="s">
        <v>24</v>
      </c>
      <c r="G725" t="s">
        <v>14</v>
      </c>
      <c r="H725" t="s">
        <v>19</v>
      </c>
      <c r="I725" t="s">
        <v>25</v>
      </c>
      <c r="J725">
        <v>51109.31</v>
      </c>
      <c r="K725">
        <v>45254.84</v>
      </c>
      <c r="L725" s="20">
        <f>tbl_Budget[[#This Row],[Actual]]-tbl_Budget[[#This Row],[Budget]]</f>
        <v>-5854.4700000000012</v>
      </c>
      <c r="M725" s="3">
        <f>tbl_Budget[[#This Row],[Variance]]/tbl_Budget[[#This Row],[Budget]]</f>
        <v>-0.11454801483330534</v>
      </c>
      <c r="N725" t="str">
        <f>IF(tbl_Budget[[#This Row],[Variance_%]]&gt;0.05,"Overspend",IF(tbl_Budget[[#This Row],[Variance_%]]&lt;-0.05,"Underspend","On Budget"))</f>
        <v>Underspend</v>
      </c>
    </row>
    <row r="726" spans="1:14" hidden="1">
      <c r="A726" s="1">
        <v>45139</v>
      </c>
      <c r="B726">
        <v>8</v>
      </c>
      <c r="C726" t="s">
        <v>44</v>
      </c>
      <c r="D726" t="s">
        <v>45</v>
      </c>
      <c r="E726">
        <v>2023</v>
      </c>
      <c r="F726" t="s">
        <v>24</v>
      </c>
      <c r="G726" t="s">
        <v>20</v>
      </c>
      <c r="H726" t="s">
        <v>15</v>
      </c>
      <c r="I726" t="s">
        <v>25</v>
      </c>
      <c r="J726">
        <v>27190.95</v>
      </c>
      <c r="K726">
        <v>23693.759999999998</v>
      </c>
      <c r="L726" s="20">
        <f>tbl_Budget[[#This Row],[Actual]]-tbl_Budget[[#This Row],[Budget]]</f>
        <v>-3497.1900000000023</v>
      </c>
      <c r="M726" s="3">
        <f>tbl_Budget[[#This Row],[Variance]]/tbl_Budget[[#This Row],[Budget]]</f>
        <v>-0.12861595494089034</v>
      </c>
      <c r="N726" t="str">
        <f>IF(tbl_Budget[[#This Row],[Variance_%]]&gt;0.05,"Overspend",IF(tbl_Budget[[#This Row],[Variance_%]]&lt;-0.05,"Underspend","On Budget"))</f>
        <v>Underspend</v>
      </c>
    </row>
    <row r="727" spans="1:14" hidden="1">
      <c r="A727" s="1">
        <v>45139</v>
      </c>
      <c r="B727">
        <v>8</v>
      </c>
      <c r="C727" t="s">
        <v>44</v>
      </c>
      <c r="D727" t="s">
        <v>45</v>
      </c>
      <c r="E727">
        <v>2023</v>
      </c>
      <c r="F727" t="s">
        <v>24</v>
      </c>
      <c r="G727" t="s">
        <v>20</v>
      </c>
      <c r="H727" t="s">
        <v>17</v>
      </c>
      <c r="I727" t="s">
        <v>25</v>
      </c>
      <c r="J727">
        <v>26819.83</v>
      </c>
      <c r="K727">
        <v>23156.66</v>
      </c>
      <c r="L727" s="20">
        <f>tbl_Budget[[#This Row],[Actual]]-tbl_Budget[[#This Row],[Budget]]</f>
        <v>-3663.1700000000019</v>
      </c>
      <c r="M727" s="3">
        <f>tbl_Budget[[#This Row],[Variance]]/tbl_Budget[[#This Row],[Budget]]</f>
        <v>-0.13658438550878219</v>
      </c>
      <c r="N727" t="str">
        <f>IF(tbl_Budget[[#This Row],[Variance_%]]&gt;0.05,"Overspend",IF(tbl_Budget[[#This Row],[Variance_%]]&lt;-0.05,"Underspend","On Budget"))</f>
        <v>Underspend</v>
      </c>
    </row>
    <row r="728" spans="1:14" hidden="1">
      <c r="A728" s="1">
        <v>45139</v>
      </c>
      <c r="B728">
        <v>8</v>
      </c>
      <c r="C728" t="s">
        <v>44</v>
      </c>
      <c r="D728" t="s">
        <v>45</v>
      </c>
      <c r="E728">
        <v>2023</v>
      </c>
      <c r="F728" t="s">
        <v>24</v>
      </c>
      <c r="G728" t="s">
        <v>20</v>
      </c>
      <c r="H728" t="s">
        <v>18</v>
      </c>
      <c r="I728" t="s">
        <v>25</v>
      </c>
      <c r="J728">
        <v>27744.12</v>
      </c>
      <c r="K728">
        <v>23756.22</v>
      </c>
      <c r="L728" s="20">
        <f>tbl_Budget[[#This Row],[Actual]]-tbl_Budget[[#This Row],[Budget]]</f>
        <v>-3987.8999999999978</v>
      </c>
      <c r="M728" s="3">
        <f>tbl_Budget[[#This Row],[Variance]]/tbl_Budget[[#This Row],[Budget]]</f>
        <v>-0.14373856514461436</v>
      </c>
      <c r="N728" t="str">
        <f>IF(tbl_Budget[[#This Row],[Variance_%]]&gt;0.05,"Overspend",IF(tbl_Budget[[#This Row],[Variance_%]]&lt;-0.05,"Underspend","On Budget"))</f>
        <v>Underspend</v>
      </c>
    </row>
    <row r="729" spans="1:14" hidden="1">
      <c r="A729" s="1">
        <v>45139</v>
      </c>
      <c r="B729">
        <v>8</v>
      </c>
      <c r="C729" t="s">
        <v>44</v>
      </c>
      <c r="D729" t="s">
        <v>45</v>
      </c>
      <c r="E729">
        <v>2023</v>
      </c>
      <c r="F729" t="s">
        <v>24</v>
      </c>
      <c r="G729" t="s">
        <v>20</v>
      </c>
      <c r="H729" t="s">
        <v>19</v>
      </c>
      <c r="I729" t="s">
        <v>25</v>
      </c>
      <c r="J729">
        <v>29151.88</v>
      </c>
      <c r="K729">
        <v>25796.12</v>
      </c>
      <c r="L729" s="20">
        <f>tbl_Budget[[#This Row],[Actual]]-tbl_Budget[[#This Row],[Budget]]</f>
        <v>-3355.760000000002</v>
      </c>
      <c r="M729" s="3">
        <f>tbl_Budget[[#This Row],[Variance]]/tbl_Budget[[#This Row],[Budget]]</f>
        <v>-0.1151129875671827</v>
      </c>
      <c r="N729" t="str">
        <f>IF(tbl_Budget[[#This Row],[Variance_%]]&gt;0.05,"Overspend",IF(tbl_Budget[[#This Row],[Variance_%]]&lt;-0.05,"Underspend","On Budget"))</f>
        <v>Underspend</v>
      </c>
    </row>
    <row r="730" spans="1:14">
      <c r="A730" s="1">
        <v>45139</v>
      </c>
      <c r="B730">
        <v>8</v>
      </c>
      <c r="C730" t="s">
        <v>44</v>
      </c>
      <c r="D730" t="s">
        <v>45</v>
      </c>
      <c r="E730">
        <v>2023</v>
      </c>
      <c r="F730" t="s">
        <v>24</v>
      </c>
      <c r="G730" t="s">
        <v>21</v>
      </c>
      <c r="H730" t="s">
        <v>15</v>
      </c>
      <c r="I730" t="s">
        <v>25</v>
      </c>
      <c r="J730">
        <v>10605.89</v>
      </c>
      <c r="K730">
        <v>13300.46</v>
      </c>
      <c r="L730" s="20">
        <f>tbl_Budget[[#This Row],[Actual]]-tbl_Budget[[#This Row],[Budget]]</f>
        <v>2694.5699999999997</v>
      </c>
      <c r="M730" s="3">
        <f>tbl_Budget[[#This Row],[Variance]]/tbl_Budget[[#This Row],[Budget]]</f>
        <v>0.25406354393643532</v>
      </c>
      <c r="N730" t="str">
        <f>IF(tbl_Budget[[#This Row],[Variance_%]]&gt;0.05,"Overspend",IF(tbl_Budget[[#This Row],[Variance_%]]&lt;-0.05,"Underspend","On Budget"))</f>
        <v>Overspend</v>
      </c>
    </row>
    <row r="731" spans="1:14">
      <c r="A731" s="1">
        <v>45139</v>
      </c>
      <c r="B731">
        <v>8</v>
      </c>
      <c r="C731" t="s">
        <v>44</v>
      </c>
      <c r="D731" t="s">
        <v>45</v>
      </c>
      <c r="E731">
        <v>2023</v>
      </c>
      <c r="F731" t="s">
        <v>24</v>
      </c>
      <c r="G731" t="s">
        <v>21</v>
      </c>
      <c r="H731" t="s">
        <v>17</v>
      </c>
      <c r="I731" t="s">
        <v>25</v>
      </c>
      <c r="J731">
        <v>10533.83</v>
      </c>
      <c r="K731">
        <v>13229.58</v>
      </c>
      <c r="L731" s="20">
        <f>tbl_Budget[[#This Row],[Actual]]-tbl_Budget[[#This Row],[Budget]]</f>
        <v>2695.75</v>
      </c>
      <c r="M731" s="3">
        <f>tbl_Budget[[#This Row],[Variance]]/tbl_Budget[[#This Row],[Budget]]</f>
        <v>0.25591356610083893</v>
      </c>
      <c r="N731" t="str">
        <f>IF(tbl_Budget[[#This Row],[Variance_%]]&gt;0.05,"Overspend",IF(tbl_Budget[[#This Row],[Variance_%]]&lt;-0.05,"Underspend","On Budget"))</f>
        <v>Overspend</v>
      </c>
    </row>
    <row r="732" spans="1:14">
      <c r="A732" s="1">
        <v>45139</v>
      </c>
      <c r="B732">
        <v>8</v>
      </c>
      <c r="C732" t="s">
        <v>44</v>
      </c>
      <c r="D732" t="s">
        <v>45</v>
      </c>
      <c r="E732">
        <v>2023</v>
      </c>
      <c r="F732" t="s">
        <v>24</v>
      </c>
      <c r="G732" t="s">
        <v>21</v>
      </c>
      <c r="H732" t="s">
        <v>18</v>
      </c>
      <c r="I732" t="s">
        <v>25</v>
      </c>
      <c r="J732">
        <v>10270.31</v>
      </c>
      <c r="K732">
        <v>13212.2</v>
      </c>
      <c r="L732" s="20">
        <f>tbl_Budget[[#This Row],[Actual]]-tbl_Budget[[#This Row],[Budget]]</f>
        <v>2941.8900000000012</v>
      </c>
      <c r="M732" s="3">
        <f>tbl_Budget[[#This Row],[Variance]]/tbl_Budget[[#This Row],[Budget]]</f>
        <v>0.28644607611649514</v>
      </c>
      <c r="N732" t="str">
        <f>IF(tbl_Budget[[#This Row],[Variance_%]]&gt;0.05,"Overspend",IF(tbl_Budget[[#This Row],[Variance_%]]&lt;-0.05,"Underspend","On Budget"))</f>
        <v>Overspend</v>
      </c>
    </row>
    <row r="733" spans="1:14">
      <c r="A733" s="1">
        <v>45139</v>
      </c>
      <c r="B733">
        <v>8</v>
      </c>
      <c r="C733" t="s">
        <v>44</v>
      </c>
      <c r="D733" t="s">
        <v>45</v>
      </c>
      <c r="E733">
        <v>2023</v>
      </c>
      <c r="F733" t="s">
        <v>24</v>
      </c>
      <c r="G733" t="s">
        <v>21</v>
      </c>
      <c r="H733" t="s">
        <v>19</v>
      </c>
      <c r="I733" t="s">
        <v>25</v>
      </c>
      <c r="J733">
        <v>11152</v>
      </c>
      <c r="K733">
        <v>13457.25</v>
      </c>
      <c r="L733" s="20">
        <f>tbl_Budget[[#This Row],[Actual]]-tbl_Budget[[#This Row],[Budget]]</f>
        <v>2305.25</v>
      </c>
      <c r="M733" s="3">
        <f>tbl_Budget[[#This Row],[Variance]]/tbl_Budget[[#This Row],[Budget]]</f>
        <v>0.2067118005738881</v>
      </c>
      <c r="N733" t="str">
        <f>IF(tbl_Budget[[#This Row],[Variance_%]]&gt;0.05,"Overspend",IF(tbl_Budget[[#This Row],[Variance_%]]&lt;-0.05,"Underspend","On Budget"))</f>
        <v>Overspend</v>
      </c>
    </row>
    <row r="734" spans="1:14" hidden="1">
      <c r="A734" s="1">
        <v>45139</v>
      </c>
      <c r="B734">
        <v>8</v>
      </c>
      <c r="C734" t="s">
        <v>44</v>
      </c>
      <c r="D734" t="s">
        <v>45</v>
      </c>
      <c r="E734">
        <v>2023</v>
      </c>
      <c r="F734" t="s">
        <v>24</v>
      </c>
      <c r="G734" t="s">
        <v>22</v>
      </c>
      <c r="H734" t="s">
        <v>15</v>
      </c>
      <c r="I734" t="s">
        <v>25</v>
      </c>
      <c r="J734">
        <v>8624.0499999999993</v>
      </c>
      <c r="K734">
        <v>7470.21</v>
      </c>
      <c r="L734" s="20">
        <f>tbl_Budget[[#This Row],[Actual]]-tbl_Budget[[#This Row],[Budget]]</f>
        <v>-1153.8399999999992</v>
      </c>
      <c r="M734" s="3">
        <f>tbl_Budget[[#This Row],[Variance]]/tbl_Budget[[#This Row],[Budget]]</f>
        <v>-0.13379328737658053</v>
      </c>
      <c r="N734" t="str">
        <f>IF(tbl_Budget[[#This Row],[Variance_%]]&gt;0.05,"Overspend",IF(tbl_Budget[[#This Row],[Variance_%]]&lt;-0.05,"Underspend","On Budget"))</f>
        <v>Underspend</v>
      </c>
    </row>
    <row r="735" spans="1:14" hidden="1">
      <c r="A735" s="1">
        <v>45139</v>
      </c>
      <c r="B735">
        <v>8</v>
      </c>
      <c r="C735" t="s">
        <v>44</v>
      </c>
      <c r="D735" t="s">
        <v>45</v>
      </c>
      <c r="E735">
        <v>2023</v>
      </c>
      <c r="F735" t="s">
        <v>24</v>
      </c>
      <c r="G735" t="s">
        <v>22</v>
      </c>
      <c r="H735" t="s">
        <v>17</v>
      </c>
      <c r="I735" t="s">
        <v>25</v>
      </c>
      <c r="J735">
        <v>7805.73</v>
      </c>
      <c r="K735">
        <v>6670.44</v>
      </c>
      <c r="L735" s="20">
        <f>tbl_Budget[[#This Row],[Actual]]-tbl_Budget[[#This Row],[Budget]]</f>
        <v>-1135.29</v>
      </c>
      <c r="M735" s="3">
        <f>tbl_Budget[[#This Row],[Variance]]/tbl_Budget[[#This Row],[Budget]]</f>
        <v>-0.14544315522058796</v>
      </c>
      <c r="N735" t="str">
        <f>IF(tbl_Budget[[#This Row],[Variance_%]]&gt;0.05,"Overspend",IF(tbl_Budget[[#This Row],[Variance_%]]&lt;-0.05,"Underspend","On Budget"))</f>
        <v>Underspend</v>
      </c>
    </row>
    <row r="736" spans="1:14" hidden="1">
      <c r="A736" s="1">
        <v>45139</v>
      </c>
      <c r="B736">
        <v>8</v>
      </c>
      <c r="C736" t="s">
        <v>44</v>
      </c>
      <c r="D736" t="s">
        <v>45</v>
      </c>
      <c r="E736">
        <v>2023</v>
      </c>
      <c r="F736" t="s">
        <v>24</v>
      </c>
      <c r="G736" t="s">
        <v>22</v>
      </c>
      <c r="H736" t="s">
        <v>18</v>
      </c>
      <c r="I736" t="s">
        <v>25</v>
      </c>
      <c r="J736">
        <v>8098.41</v>
      </c>
      <c r="K736">
        <v>7091.01</v>
      </c>
      <c r="L736" s="20">
        <f>tbl_Budget[[#This Row],[Actual]]-tbl_Budget[[#This Row],[Budget]]</f>
        <v>-1007.3999999999996</v>
      </c>
      <c r="M736" s="3">
        <f>tbl_Budget[[#This Row],[Variance]]/tbl_Budget[[#This Row],[Budget]]</f>
        <v>-0.12439478860665237</v>
      </c>
      <c r="N736" t="str">
        <f>IF(tbl_Budget[[#This Row],[Variance_%]]&gt;0.05,"Overspend",IF(tbl_Budget[[#This Row],[Variance_%]]&lt;-0.05,"Underspend","On Budget"))</f>
        <v>Underspend</v>
      </c>
    </row>
    <row r="737" spans="1:14" hidden="1">
      <c r="A737" s="1">
        <v>45139</v>
      </c>
      <c r="B737">
        <v>8</v>
      </c>
      <c r="C737" t="s">
        <v>44</v>
      </c>
      <c r="D737" t="s">
        <v>45</v>
      </c>
      <c r="E737">
        <v>2023</v>
      </c>
      <c r="F737" t="s">
        <v>24</v>
      </c>
      <c r="G737" t="s">
        <v>22</v>
      </c>
      <c r="H737" t="s">
        <v>19</v>
      </c>
      <c r="I737" t="s">
        <v>25</v>
      </c>
      <c r="J737">
        <v>8985.99</v>
      </c>
      <c r="K737">
        <v>8034.41</v>
      </c>
      <c r="L737" s="20">
        <f>tbl_Budget[[#This Row],[Actual]]-tbl_Budget[[#This Row],[Budget]]</f>
        <v>-951.57999999999993</v>
      </c>
      <c r="M737" s="3">
        <f>tbl_Budget[[#This Row],[Variance]]/tbl_Budget[[#This Row],[Budget]]</f>
        <v>-0.10589595581566416</v>
      </c>
      <c r="N737" t="str">
        <f>IF(tbl_Budget[[#This Row],[Variance_%]]&gt;0.05,"Overspend",IF(tbl_Budget[[#This Row],[Variance_%]]&lt;-0.05,"Underspend","On Budget"))</f>
        <v>Underspend</v>
      </c>
    </row>
    <row r="738" spans="1:14" hidden="1">
      <c r="A738" s="1">
        <v>45139</v>
      </c>
      <c r="B738">
        <v>8</v>
      </c>
      <c r="C738" t="s">
        <v>44</v>
      </c>
      <c r="D738" t="s">
        <v>45</v>
      </c>
      <c r="E738">
        <v>2023</v>
      </c>
      <c r="F738" t="s">
        <v>24</v>
      </c>
      <c r="G738" t="s">
        <v>23</v>
      </c>
      <c r="H738" t="s">
        <v>15</v>
      </c>
      <c r="I738" t="s">
        <v>25</v>
      </c>
      <c r="J738">
        <v>7062.01</v>
      </c>
      <c r="K738">
        <v>6099.65</v>
      </c>
      <c r="L738" s="20">
        <f>tbl_Budget[[#This Row],[Actual]]-tbl_Budget[[#This Row],[Budget]]</f>
        <v>-962.36000000000058</v>
      </c>
      <c r="M738" s="3">
        <f>tbl_Budget[[#This Row],[Variance]]/tbl_Budget[[#This Row],[Budget]]</f>
        <v>-0.13627281751229472</v>
      </c>
      <c r="N738" t="str">
        <f>IF(tbl_Budget[[#This Row],[Variance_%]]&gt;0.05,"Overspend",IF(tbl_Budget[[#This Row],[Variance_%]]&lt;-0.05,"Underspend","On Budget"))</f>
        <v>Underspend</v>
      </c>
    </row>
    <row r="739" spans="1:14" hidden="1">
      <c r="A739" s="1">
        <v>45139</v>
      </c>
      <c r="B739">
        <v>8</v>
      </c>
      <c r="C739" t="s">
        <v>44</v>
      </c>
      <c r="D739" t="s">
        <v>45</v>
      </c>
      <c r="E739">
        <v>2023</v>
      </c>
      <c r="F739" t="s">
        <v>24</v>
      </c>
      <c r="G739" t="s">
        <v>23</v>
      </c>
      <c r="H739" t="s">
        <v>17</v>
      </c>
      <c r="I739" t="s">
        <v>25</v>
      </c>
      <c r="J739">
        <v>6884.34</v>
      </c>
      <c r="K739">
        <v>5901.56</v>
      </c>
      <c r="L739" s="20">
        <f>tbl_Budget[[#This Row],[Actual]]-tbl_Budget[[#This Row],[Budget]]</f>
        <v>-982.77999999999975</v>
      </c>
      <c r="M739" s="3">
        <f>tbl_Budget[[#This Row],[Variance]]/tbl_Budget[[#This Row],[Budget]]</f>
        <v>-0.14275587783287863</v>
      </c>
      <c r="N739" t="str">
        <f>IF(tbl_Budget[[#This Row],[Variance_%]]&gt;0.05,"Overspend",IF(tbl_Budget[[#This Row],[Variance_%]]&lt;-0.05,"Underspend","On Budget"))</f>
        <v>Underspend</v>
      </c>
    </row>
    <row r="740" spans="1:14" hidden="1">
      <c r="A740" s="1">
        <v>45139</v>
      </c>
      <c r="B740">
        <v>8</v>
      </c>
      <c r="C740" t="s">
        <v>44</v>
      </c>
      <c r="D740" t="s">
        <v>45</v>
      </c>
      <c r="E740">
        <v>2023</v>
      </c>
      <c r="F740" t="s">
        <v>24</v>
      </c>
      <c r="G740" t="s">
        <v>23</v>
      </c>
      <c r="H740" t="s">
        <v>18</v>
      </c>
      <c r="I740" t="s">
        <v>25</v>
      </c>
      <c r="J740">
        <v>6954.06</v>
      </c>
      <c r="K740">
        <v>5985.77</v>
      </c>
      <c r="L740" s="20">
        <f>tbl_Budget[[#This Row],[Actual]]-tbl_Budget[[#This Row],[Budget]]</f>
        <v>-968.29</v>
      </c>
      <c r="M740" s="3">
        <f>tbl_Budget[[#This Row],[Variance]]/tbl_Budget[[#This Row],[Budget]]</f>
        <v>-0.13924096139521372</v>
      </c>
      <c r="N740" t="str">
        <f>IF(tbl_Budget[[#This Row],[Variance_%]]&gt;0.05,"Overspend",IF(tbl_Budget[[#This Row],[Variance_%]]&lt;-0.05,"Underspend","On Budget"))</f>
        <v>Underspend</v>
      </c>
    </row>
    <row r="741" spans="1:14" hidden="1">
      <c r="A741" s="1">
        <v>45139</v>
      </c>
      <c r="B741">
        <v>8</v>
      </c>
      <c r="C741" t="s">
        <v>44</v>
      </c>
      <c r="D741" t="s">
        <v>45</v>
      </c>
      <c r="E741">
        <v>2023</v>
      </c>
      <c r="F741" t="s">
        <v>24</v>
      </c>
      <c r="G741" t="s">
        <v>23</v>
      </c>
      <c r="H741" t="s">
        <v>19</v>
      </c>
      <c r="I741" t="s">
        <v>25</v>
      </c>
      <c r="J741">
        <v>7363.48</v>
      </c>
      <c r="K741">
        <v>6371.52</v>
      </c>
      <c r="L741" s="20">
        <f>tbl_Budget[[#This Row],[Actual]]-tbl_Budget[[#This Row],[Budget]]</f>
        <v>-991.95999999999913</v>
      </c>
      <c r="M741" s="3">
        <f>tbl_Budget[[#This Row],[Variance]]/tbl_Budget[[#This Row],[Budget]]</f>
        <v>-0.13471347786644347</v>
      </c>
      <c r="N741" t="str">
        <f>IF(tbl_Budget[[#This Row],[Variance_%]]&gt;0.05,"Overspend",IF(tbl_Budget[[#This Row],[Variance_%]]&lt;-0.05,"Underspend","On Budget"))</f>
        <v>Underspend</v>
      </c>
    </row>
    <row r="742" spans="1:14" hidden="1">
      <c r="A742" s="1">
        <v>45139</v>
      </c>
      <c r="B742">
        <v>8</v>
      </c>
      <c r="C742" t="s">
        <v>44</v>
      </c>
      <c r="D742" t="s">
        <v>45</v>
      </c>
      <c r="E742">
        <v>2023</v>
      </c>
      <c r="F742" t="s">
        <v>26</v>
      </c>
      <c r="G742" t="s">
        <v>14</v>
      </c>
      <c r="H742" t="s">
        <v>15</v>
      </c>
      <c r="I742" t="s">
        <v>27</v>
      </c>
      <c r="J742">
        <v>43833.21</v>
      </c>
      <c r="K742">
        <v>43456.02</v>
      </c>
      <c r="L742" s="20">
        <f>tbl_Budget[[#This Row],[Actual]]-tbl_Budget[[#This Row],[Budget]]</f>
        <v>-377.19000000000233</v>
      </c>
      <c r="M742" s="3">
        <f>tbl_Budget[[#This Row],[Variance]]/tbl_Budget[[#This Row],[Budget]]</f>
        <v>-8.6051192691569325E-3</v>
      </c>
      <c r="N742" t="str">
        <f>IF(tbl_Budget[[#This Row],[Variance_%]]&gt;0.05,"Overspend",IF(tbl_Budget[[#This Row],[Variance_%]]&lt;-0.05,"Underspend","On Budget"))</f>
        <v>On Budget</v>
      </c>
    </row>
    <row r="743" spans="1:14" hidden="1">
      <c r="A743" s="1">
        <v>45139</v>
      </c>
      <c r="B743">
        <v>8</v>
      </c>
      <c r="C743" t="s">
        <v>44</v>
      </c>
      <c r="D743" t="s">
        <v>45</v>
      </c>
      <c r="E743">
        <v>2023</v>
      </c>
      <c r="F743" t="s">
        <v>26</v>
      </c>
      <c r="G743" t="s">
        <v>14</v>
      </c>
      <c r="H743" t="s">
        <v>17</v>
      </c>
      <c r="I743" t="s">
        <v>27</v>
      </c>
      <c r="J743">
        <v>42672.03</v>
      </c>
      <c r="K743">
        <v>42436.04</v>
      </c>
      <c r="L743" s="20">
        <f>tbl_Budget[[#This Row],[Actual]]-tbl_Budget[[#This Row],[Budget]]</f>
        <v>-235.98999999999796</v>
      </c>
      <c r="M743" s="3">
        <f>tbl_Budget[[#This Row],[Variance]]/tbl_Budget[[#This Row],[Budget]]</f>
        <v>-5.530320446437584E-3</v>
      </c>
      <c r="N743" t="str">
        <f>IF(tbl_Budget[[#This Row],[Variance_%]]&gt;0.05,"Overspend",IF(tbl_Budget[[#This Row],[Variance_%]]&lt;-0.05,"Underspend","On Budget"))</f>
        <v>On Budget</v>
      </c>
    </row>
    <row r="744" spans="1:14" hidden="1">
      <c r="A744" s="1">
        <v>45139</v>
      </c>
      <c r="B744">
        <v>8</v>
      </c>
      <c r="C744" t="s">
        <v>44</v>
      </c>
      <c r="D744" t="s">
        <v>45</v>
      </c>
      <c r="E744">
        <v>2023</v>
      </c>
      <c r="F744" t="s">
        <v>26</v>
      </c>
      <c r="G744" t="s">
        <v>14</v>
      </c>
      <c r="H744" t="s">
        <v>18</v>
      </c>
      <c r="I744" t="s">
        <v>27</v>
      </c>
      <c r="J744">
        <v>44042.47</v>
      </c>
      <c r="K744">
        <v>44462</v>
      </c>
      <c r="L744" s="20">
        <f>tbl_Budget[[#This Row],[Actual]]-tbl_Budget[[#This Row],[Budget]]</f>
        <v>419.52999999999884</v>
      </c>
      <c r="M744" s="3">
        <f>tbl_Budget[[#This Row],[Variance]]/tbl_Budget[[#This Row],[Budget]]</f>
        <v>9.5255783792325636E-3</v>
      </c>
      <c r="N744" t="str">
        <f>IF(tbl_Budget[[#This Row],[Variance_%]]&gt;0.05,"Overspend",IF(tbl_Budget[[#This Row],[Variance_%]]&lt;-0.05,"Underspend","On Budget"))</f>
        <v>On Budget</v>
      </c>
    </row>
    <row r="745" spans="1:14" hidden="1">
      <c r="A745" s="1">
        <v>45139</v>
      </c>
      <c r="B745">
        <v>8</v>
      </c>
      <c r="C745" t="s">
        <v>44</v>
      </c>
      <c r="D745" t="s">
        <v>45</v>
      </c>
      <c r="E745">
        <v>2023</v>
      </c>
      <c r="F745" t="s">
        <v>26</v>
      </c>
      <c r="G745" t="s">
        <v>14</v>
      </c>
      <c r="H745" t="s">
        <v>19</v>
      </c>
      <c r="I745" t="s">
        <v>27</v>
      </c>
      <c r="J745">
        <v>46650.89</v>
      </c>
      <c r="K745">
        <v>45351.32</v>
      </c>
      <c r="L745" s="20">
        <f>tbl_Budget[[#This Row],[Actual]]-tbl_Budget[[#This Row],[Budget]]</f>
        <v>-1299.5699999999997</v>
      </c>
      <c r="M745" s="3">
        <f>tbl_Budget[[#This Row],[Variance]]/tbl_Budget[[#This Row],[Budget]]</f>
        <v>-2.7857346344303393E-2</v>
      </c>
      <c r="N745" t="str">
        <f>IF(tbl_Budget[[#This Row],[Variance_%]]&gt;0.05,"Overspend",IF(tbl_Budget[[#This Row],[Variance_%]]&lt;-0.05,"Underspend","On Budget"))</f>
        <v>On Budget</v>
      </c>
    </row>
    <row r="746" spans="1:14" hidden="1">
      <c r="A746" s="1">
        <v>45139</v>
      </c>
      <c r="B746">
        <v>8</v>
      </c>
      <c r="C746" t="s">
        <v>44</v>
      </c>
      <c r="D746" t="s">
        <v>45</v>
      </c>
      <c r="E746">
        <v>2023</v>
      </c>
      <c r="F746" t="s">
        <v>26</v>
      </c>
      <c r="G746" t="s">
        <v>20</v>
      </c>
      <c r="H746" t="s">
        <v>15</v>
      </c>
      <c r="I746" t="s">
        <v>27</v>
      </c>
      <c r="J746">
        <v>15188.59</v>
      </c>
      <c r="K746">
        <v>15619.12</v>
      </c>
      <c r="L746" s="20">
        <f>tbl_Budget[[#This Row],[Actual]]-tbl_Budget[[#This Row],[Budget]]</f>
        <v>430.53000000000065</v>
      </c>
      <c r="M746" s="3">
        <f>tbl_Budget[[#This Row],[Variance]]/tbl_Budget[[#This Row],[Budget]]</f>
        <v>2.8345619968673897E-2</v>
      </c>
      <c r="N746" t="str">
        <f>IF(tbl_Budget[[#This Row],[Variance_%]]&gt;0.05,"Overspend",IF(tbl_Budget[[#This Row],[Variance_%]]&lt;-0.05,"Underspend","On Budget"))</f>
        <v>On Budget</v>
      </c>
    </row>
    <row r="747" spans="1:14" hidden="1">
      <c r="A747" s="1">
        <v>45139</v>
      </c>
      <c r="B747">
        <v>8</v>
      </c>
      <c r="C747" t="s">
        <v>44</v>
      </c>
      <c r="D747" t="s">
        <v>45</v>
      </c>
      <c r="E747">
        <v>2023</v>
      </c>
      <c r="F747" t="s">
        <v>26</v>
      </c>
      <c r="G747" t="s">
        <v>20</v>
      </c>
      <c r="H747" t="s">
        <v>17</v>
      </c>
      <c r="I747" t="s">
        <v>27</v>
      </c>
      <c r="J747">
        <v>13932.41</v>
      </c>
      <c r="K747">
        <v>13879.8</v>
      </c>
      <c r="L747" s="20">
        <f>tbl_Budget[[#This Row],[Actual]]-tbl_Budget[[#This Row],[Budget]]</f>
        <v>-52.610000000000582</v>
      </c>
      <c r="M747" s="3">
        <f>tbl_Budget[[#This Row],[Variance]]/tbl_Budget[[#This Row],[Budget]]</f>
        <v>-3.7760875541274328E-3</v>
      </c>
      <c r="N747" t="str">
        <f>IF(tbl_Budget[[#This Row],[Variance_%]]&gt;0.05,"Overspend",IF(tbl_Budget[[#This Row],[Variance_%]]&lt;-0.05,"Underspend","On Budget"))</f>
        <v>On Budget</v>
      </c>
    </row>
    <row r="748" spans="1:14" hidden="1">
      <c r="A748" s="1">
        <v>45139</v>
      </c>
      <c r="B748">
        <v>8</v>
      </c>
      <c r="C748" t="s">
        <v>44</v>
      </c>
      <c r="D748" t="s">
        <v>45</v>
      </c>
      <c r="E748">
        <v>2023</v>
      </c>
      <c r="F748" t="s">
        <v>26</v>
      </c>
      <c r="G748" t="s">
        <v>20</v>
      </c>
      <c r="H748" t="s">
        <v>18</v>
      </c>
      <c r="I748" t="s">
        <v>27</v>
      </c>
      <c r="J748">
        <v>14792.72</v>
      </c>
      <c r="K748">
        <v>14865.67</v>
      </c>
      <c r="L748" s="20">
        <f>tbl_Budget[[#This Row],[Actual]]-tbl_Budget[[#This Row],[Budget]]</f>
        <v>72.950000000000728</v>
      </c>
      <c r="M748" s="3">
        <f>tbl_Budget[[#This Row],[Variance]]/tbl_Budget[[#This Row],[Budget]]</f>
        <v>4.9314798089871732E-3</v>
      </c>
      <c r="N748" t="str">
        <f>IF(tbl_Budget[[#This Row],[Variance_%]]&gt;0.05,"Overspend",IF(tbl_Budget[[#This Row],[Variance_%]]&lt;-0.05,"Underspend","On Budget"))</f>
        <v>On Budget</v>
      </c>
    </row>
    <row r="749" spans="1:14" hidden="1">
      <c r="A749" s="1">
        <v>45139</v>
      </c>
      <c r="B749">
        <v>8</v>
      </c>
      <c r="C749" t="s">
        <v>44</v>
      </c>
      <c r="D749" t="s">
        <v>45</v>
      </c>
      <c r="E749">
        <v>2023</v>
      </c>
      <c r="F749" t="s">
        <v>26</v>
      </c>
      <c r="G749" t="s">
        <v>20</v>
      </c>
      <c r="H749" t="s">
        <v>19</v>
      </c>
      <c r="I749" t="s">
        <v>27</v>
      </c>
      <c r="J749">
        <v>15938.46</v>
      </c>
      <c r="K749">
        <v>16097.89</v>
      </c>
      <c r="L749" s="20">
        <f>tbl_Budget[[#This Row],[Actual]]-tbl_Budget[[#This Row],[Budget]]</f>
        <v>159.43000000000029</v>
      </c>
      <c r="M749" s="3">
        <f>tbl_Budget[[#This Row],[Variance]]/tbl_Budget[[#This Row],[Budget]]</f>
        <v>1.0002848455873422E-2</v>
      </c>
      <c r="N749" t="str">
        <f>IF(tbl_Budget[[#This Row],[Variance_%]]&gt;0.05,"Overspend",IF(tbl_Budget[[#This Row],[Variance_%]]&lt;-0.05,"Underspend","On Budget"))</f>
        <v>On Budget</v>
      </c>
    </row>
    <row r="750" spans="1:14">
      <c r="A750" s="1">
        <v>45139</v>
      </c>
      <c r="B750">
        <v>8</v>
      </c>
      <c r="C750" t="s">
        <v>44</v>
      </c>
      <c r="D750" t="s">
        <v>45</v>
      </c>
      <c r="E750">
        <v>2023</v>
      </c>
      <c r="F750" t="s">
        <v>26</v>
      </c>
      <c r="G750" t="s">
        <v>21</v>
      </c>
      <c r="H750" t="s">
        <v>15</v>
      </c>
      <c r="I750" t="s">
        <v>27</v>
      </c>
      <c r="J750">
        <v>8572.08</v>
      </c>
      <c r="K750">
        <v>11952.94</v>
      </c>
      <c r="L750" s="20">
        <f>tbl_Budget[[#This Row],[Actual]]-tbl_Budget[[#This Row],[Budget]]</f>
        <v>3380.8600000000006</v>
      </c>
      <c r="M750" s="3">
        <f>tbl_Budget[[#This Row],[Variance]]/tbl_Budget[[#This Row],[Budget]]</f>
        <v>0.39440369198607578</v>
      </c>
      <c r="N750" t="str">
        <f>IF(tbl_Budget[[#This Row],[Variance_%]]&gt;0.05,"Overspend",IF(tbl_Budget[[#This Row],[Variance_%]]&lt;-0.05,"Underspend","On Budget"))</f>
        <v>Overspend</v>
      </c>
    </row>
    <row r="751" spans="1:14">
      <c r="A751" s="1">
        <v>45139</v>
      </c>
      <c r="B751">
        <v>8</v>
      </c>
      <c r="C751" t="s">
        <v>44</v>
      </c>
      <c r="D751" t="s">
        <v>45</v>
      </c>
      <c r="E751">
        <v>2023</v>
      </c>
      <c r="F751" t="s">
        <v>26</v>
      </c>
      <c r="G751" t="s">
        <v>21</v>
      </c>
      <c r="H751" t="s">
        <v>17</v>
      </c>
      <c r="I751" t="s">
        <v>27</v>
      </c>
      <c r="J751">
        <v>8060.34</v>
      </c>
      <c r="K751">
        <v>11067.44</v>
      </c>
      <c r="L751" s="20">
        <f>tbl_Budget[[#This Row],[Actual]]-tbl_Budget[[#This Row],[Budget]]</f>
        <v>3007.1000000000004</v>
      </c>
      <c r="M751" s="3">
        <f>tbl_Budget[[#This Row],[Variance]]/tbl_Budget[[#This Row],[Budget]]</f>
        <v>0.37307359242910354</v>
      </c>
      <c r="N751" t="str">
        <f>IF(tbl_Budget[[#This Row],[Variance_%]]&gt;0.05,"Overspend",IF(tbl_Budget[[#This Row],[Variance_%]]&lt;-0.05,"Underspend","On Budget"))</f>
        <v>Overspend</v>
      </c>
    </row>
    <row r="752" spans="1:14">
      <c r="A752" s="1">
        <v>45139</v>
      </c>
      <c r="B752">
        <v>8</v>
      </c>
      <c r="C752" t="s">
        <v>44</v>
      </c>
      <c r="D752" t="s">
        <v>45</v>
      </c>
      <c r="E752">
        <v>2023</v>
      </c>
      <c r="F752" t="s">
        <v>26</v>
      </c>
      <c r="G752" t="s">
        <v>21</v>
      </c>
      <c r="H752" t="s">
        <v>18</v>
      </c>
      <c r="I752" t="s">
        <v>27</v>
      </c>
      <c r="J752">
        <v>8157.96</v>
      </c>
      <c r="K752">
        <v>10772.98</v>
      </c>
      <c r="L752" s="20">
        <f>tbl_Budget[[#This Row],[Actual]]-tbl_Budget[[#This Row],[Budget]]</f>
        <v>2615.0199999999995</v>
      </c>
      <c r="M752" s="3">
        <f>tbl_Budget[[#This Row],[Variance]]/tbl_Budget[[#This Row],[Budget]]</f>
        <v>0.32054827432348276</v>
      </c>
      <c r="N752" t="str">
        <f>IF(tbl_Budget[[#This Row],[Variance_%]]&gt;0.05,"Overspend",IF(tbl_Budget[[#This Row],[Variance_%]]&lt;-0.05,"Underspend","On Budget"))</f>
        <v>Overspend</v>
      </c>
    </row>
    <row r="753" spans="1:14">
      <c r="A753" s="1">
        <v>45139</v>
      </c>
      <c r="B753">
        <v>8</v>
      </c>
      <c r="C753" t="s">
        <v>44</v>
      </c>
      <c r="D753" t="s">
        <v>45</v>
      </c>
      <c r="E753">
        <v>2023</v>
      </c>
      <c r="F753" t="s">
        <v>26</v>
      </c>
      <c r="G753" t="s">
        <v>21</v>
      </c>
      <c r="H753" t="s">
        <v>19</v>
      </c>
      <c r="I753" t="s">
        <v>27</v>
      </c>
      <c r="J753">
        <v>8615.42</v>
      </c>
      <c r="K753">
        <v>11817.15</v>
      </c>
      <c r="L753" s="20">
        <f>tbl_Budget[[#This Row],[Actual]]-tbl_Budget[[#This Row],[Budget]]</f>
        <v>3201.7299999999996</v>
      </c>
      <c r="M753" s="3">
        <f>tbl_Budget[[#This Row],[Variance]]/tbl_Budget[[#This Row],[Budget]]</f>
        <v>0.37162784867133575</v>
      </c>
      <c r="N753" t="str">
        <f>IF(tbl_Budget[[#This Row],[Variance_%]]&gt;0.05,"Overspend",IF(tbl_Budget[[#This Row],[Variance_%]]&lt;-0.05,"Underspend","On Budget"))</f>
        <v>Overspend</v>
      </c>
    </row>
    <row r="754" spans="1:14" hidden="1">
      <c r="A754" s="1">
        <v>45139</v>
      </c>
      <c r="B754">
        <v>8</v>
      </c>
      <c r="C754" t="s">
        <v>44</v>
      </c>
      <c r="D754" t="s">
        <v>45</v>
      </c>
      <c r="E754">
        <v>2023</v>
      </c>
      <c r="F754" t="s">
        <v>26</v>
      </c>
      <c r="G754" t="s">
        <v>22</v>
      </c>
      <c r="H754" t="s">
        <v>15</v>
      </c>
      <c r="I754" t="s">
        <v>27</v>
      </c>
      <c r="J754">
        <v>6448.58</v>
      </c>
      <c r="K754">
        <v>6428.35</v>
      </c>
      <c r="L754" s="20">
        <f>tbl_Budget[[#This Row],[Actual]]-tbl_Budget[[#This Row],[Budget]]</f>
        <v>-20.229999999999563</v>
      </c>
      <c r="M754" s="3">
        <f>tbl_Budget[[#This Row],[Variance]]/tbl_Budget[[#This Row],[Budget]]</f>
        <v>-3.1371247623507136E-3</v>
      </c>
      <c r="N754" t="str">
        <f>IF(tbl_Budget[[#This Row],[Variance_%]]&gt;0.05,"Overspend",IF(tbl_Budget[[#This Row],[Variance_%]]&lt;-0.05,"Underspend","On Budget"))</f>
        <v>On Budget</v>
      </c>
    </row>
    <row r="755" spans="1:14" hidden="1">
      <c r="A755" s="1">
        <v>45139</v>
      </c>
      <c r="B755">
        <v>8</v>
      </c>
      <c r="C755" t="s">
        <v>44</v>
      </c>
      <c r="D755" t="s">
        <v>45</v>
      </c>
      <c r="E755">
        <v>2023</v>
      </c>
      <c r="F755" t="s">
        <v>26</v>
      </c>
      <c r="G755" t="s">
        <v>22</v>
      </c>
      <c r="H755" t="s">
        <v>17</v>
      </c>
      <c r="I755" t="s">
        <v>27</v>
      </c>
      <c r="J755">
        <v>6326.13</v>
      </c>
      <c r="K755">
        <v>6343.58</v>
      </c>
      <c r="L755" s="20">
        <f>tbl_Budget[[#This Row],[Actual]]-tbl_Budget[[#This Row],[Budget]]</f>
        <v>17.449999999999818</v>
      </c>
      <c r="M755" s="3">
        <f>tbl_Budget[[#This Row],[Variance]]/tbl_Budget[[#This Row],[Budget]]</f>
        <v>2.7584004754881448E-3</v>
      </c>
      <c r="N755" t="str">
        <f>IF(tbl_Budget[[#This Row],[Variance_%]]&gt;0.05,"Overspend",IF(tbl_Budget[[#This Row],[Variance_%]]&lt;-0.05,"Underspend","On Budget"))</f>
        <v>On Budget</v>
      </c>
    </row>
    <row r="756" spans="1:14" hidden="1">
      <c r="A756" s="1">
        <v>45139</v>
      </c>
      <c r="B756">
        <v>8</v>
      </c>
      <c r="C756" t="s">
        <v>44</v>
      </c>
      <c r="D756" t="s">
        <v>45</v>
      </c>
      <c r="E756">
        <v>2023</v>
      </c>
      <c r="F756" t="s">
        <v>26</v>
      </c>
      <c r="G756" t="s">
        <v>22</v>
      </c>
      <c r="H756" t="s">
        <v>18</v>
      </c>
      <c r="I756" t="s">
        <v>27</v>
      </c>
      <c r="J756">
        <v>6298.76</v>
      </c>
      <c r="K756">
        <v>6152.72</v>
      </c>
      <c r="L756" s="20">
        <f>tbl_Budget[[#This Row],[Actual]]-tbl_Budget[[#This Row],[Budget]]</f>
        <v>-146.03999999999996</v>
      </c>
      <c r="M756" s="3">
        <f>tbl_Budget[[#This Row],[Variance]]/tbl_Budget[[#This Row],[Budget]]</f>
        <v>-2.3185515879315922E-2</v>
      </c>
      <c r="N756" t="str">
        <f>IF(tbl_Budget[[#This Row],[Variance_%]]&gt;0.05,"Overspend",IF(tbl_Budget[[#This Row],[Variance_%]]&lt;-0.05,"Underspend","On Budget"))</f>
        <v>On Budget</v>
      </c>
    </row>
    <row r="757" spans="1:14" hidden="1">
      <c r="A757" s="1">
        <v>45139</v>
      </c>
      <c r="B757">
        <v>8</v>
      </c>
      <c r="C757" t="s">
        <v>44</v>
      </c>
      <c r="D757" t="s">
        <v>45</v>
      </c>
      <c r="E757">
        <v>2023</v>
      </c>
      <c r="F757" t="s">
        <v>26</v>
      </c>
      <c r="G757" t="s">
        <v>22</v>
      </c>
      <c r="H757" t="s">
        <v>19</v>
      </c>
      <c r="I757" t="s">
        <v>27</v>
      </c>
      <c r="J757">
        <v>6634.91</v>
      </c>
      <c r="K757">
        <v>6467.35</v>
      </c>
      <c r="L757" s="20">
        <f>tbl_Budget[[#This Row],[Actual]]-tbl_Budget[[#This Row],[Budget]]</f>
        <v>-167.55999999999949</v>
      </c>
      <c r="M757" s="3">
        <f>tbl_Budget[[#This Row],[Variance]]/tbl_Budget[[#This Row],[Budget]]</f>
        <v>-2.525429885258421E-2</v>
      </c>
      <c r="N757" t="str">
        <f>IF(tbl_Budget[[#This Row],[Variance_%]]&gt;0.05,"Overspend",IF(tbl_Budget[[#This Row],[Variance_%]]&lt;-0.05,"Underspend","On Budget"))</f>
        <v>On Budget</v>
      </c>
    </row>
    <row r="758" spans="1:14" hidden="1">
      <c r="A758" s="1">
        <v>45139</v>
      </c>
      <c r="B758">
        <v>8</v>
      </c>
      <c r="C758" t="s">
        <v>44</v>
      </c>
      <c r="D758" t="s">
        <v>45</v>
      </c>
      <c r="E758">
        <v>2023</v>
      </c>
      <c r="F758" t="s">
        <v>26</v>
      </c>
      <c r="G758" t="s">
        <v>23</v>
      </c>
      <c r="H758" t="s">
        <v>15</v>
      </c>
      <c r="I758" t="s">
        <v>27</v>
      </c>
      <c r="J758">
        <v>5780.34</v>
      </c>
      <c r="K758">
        <v>5865.97</v>
      </c>
      <c r="L758" s="20">
        <f>tbl_Budget[[#This Row],[Actual]]-tbl_Budget[[#This Row],[Budget]]</f>
        <v>85.630000000000109</v>
      </c>
      <c r="M758" s="3">
        <f>tbl_Budget[[#This Row],[Variance]]/tbl_Budget[[#This Row],[Budget]]</f>
        <v>1.4814007480528845E-2</v>
      </c>
      <c r="N758" t="str">
        <f>IF(tbl_Budget[[#This Row],[Variance_%]]&gt;0.05,"Overspend",IF(tbl_Budget[[#This Row],[Variance_%]]&lt;-0.05,"Underspend","On Budget"))</f>
        <v>On Budget</v>
      </c>
    </row>
    <row r="759" spans="1:14" hidden="1">
      <c r="A759" s="1">
        <v>45139</v>
      </c>
      <c r="B759">
        <v>8</v>
      </c>
      <c r="C759" t="s">
        <v>44</v>
      </c>
      <c r="D759" t="s">
        <v>45</v>
      </c>
      <c r="E759">
        <v>2023</v>
      </c>
      <c r="F759" t="s">
        <v>26</v>
      </c>
      <c r="G759" t="s">
        <v>23</v>
      </c>
      <c r="H759" t="s">
        <v>17</v>
      </c>
      <c r="I759" t="s">
        <v>27</v>
      </c>
      <c r="J759">
        <v>5351.02</v>
      </c>
      <c r="K759">
        <v>5311.82</v>
      </c>
      <c r="L759" s="20">
        <f>tbl_Budget[[#This Row],[Actual]]-tbl_Budget[[#This Row],[Budget]]</f>
        <v>-39.200000000000728</v>
      </c>
      <c r="M759" s="3">
        <f>tbl_Budget[[#This Row],[Variance]]/tbl_Budget[[#This Row],[Budget]]</f>
        <v>-7.3257061270562852E-3</v>
      </c>
      <c r="N759" t="str">
        <f>IF(tbl_Budget[[#This Row],[Variance_%]]&gt;0.05,"Overspend",IF(tbl_Budget[[#This Row],[Variance_%]]&lt;-0.05,"Underspend","On Budget"))</f>
        <v>On Budget</v>
      </c>
    </row>
    <row r="760" spans="1:14" hidden="1">
      <c r="A760" s="1">
        <v>45139</v>
      </c>
      <c r="B760">
        <v>8</v>
      </c>
      <c r="C760" t="s">
        <v>44</v>
      </c>
      <c r="D760" t="s">
        <v>45</v>
      </c>
      <c r="E760">
        <v>2023</v>
      </c>
      <c r="F760" t="s">
        <v>26</v>
      </c>
      <c r="G760" t="s">
        <v>23</v>
      </c>
      <c r="H760" t="s">
        <v>18</v>
      </c>
      <c r="I760" t="s">
        <v>27</v>
      </c>
      <c r="J760">
        <v>5471.92</v>
      </c>
      <c r="K760">
        <v>5460.01</v>
      </c>
      <c r="L760" s="20">
        <f>tbl_Budget[[#This Row],[Actual]]-tbl_Budget[[#This Row],[Budget]]</f>
        <v>-11.909999999999854</v>
      </c>
      <c r="M760" s="3">
        <f>tbl_Budget[[#This Row],[Variance]]/tbl_Budget[[#This Row],[Budget]]</f>
        <v>-2.1765669088729101E-3</v>
      </c>
      <c r="N760" t="str">
        <f>IF(tbl_Budget[[#This Row],[Variance_%]]&gt;0.05,"Overspend",IF(tbl_Budget[[#This Row],[Variance_%]]&lt;-0.05,"Underspend","On Budget"))</f>
        <v>On Budget</v>
      </c>
    </row>
    <row r="761" spans="1:14" hidden="1">
      <c r="A761" s="1">
        <v>45139</v>
      </c>
      <c r="B761">
        <v>8</v>
      </c>
      <c r="C761" t="s">
        <v>44</v>
      </c>
      <c r="D761" t="s">
        <v>45</v>
      </c>
      <c r="E761">
        <v>2023</v>
      </c>
      <c r="F761" t="s">
        <v>26</v>
      </c>
      <c r="G761" t="s">
        <v>23</v>
      </c>
      <c r="H761" t="s">
        <v>19</v>
      </c>
      <c r="I761" t="s">
        <v>27</v>
      </c>
      <c r="J761">
        <v>5987.01</v>
      </c>
      <c r="K761">
        <v>6112.89</v>
      </c>
      <c r="L761" s="20">
        <f>tbl_Budget[[#This Row],[Actual]]-tbl_Budget[[#This Row],[Budget]]</f>
        <v>125.88000000000011</v>
      </c>
      <c r="M761" s="3">
        <f>tbl_Budget[[#This Row],[Variance]]/tbl_Budget[[#This Row],[Budget]]</f>
        <v>2.1025520251344177E-2</v>
      </c>
      <c r="N761" t="str">
        <f>IF(tbl_Budget[[#This Row],[Variance_%]]&gt;0.05,"Overspend",IF(tbl_Budget[[#This Row],[Variance_%]]&lt;-0.05,"Underspend","On Budget"))</f>
        <v>On Budget</v>
      </c>
    </row>
    <row r="762" spans="1:14" hidden="1">
      <c r="A762" s="1">
        <v>45139</v>
      </c>
      <c r="B762">
        <v>8</v>
      </c>
      <c r="C762" t="s">
        <v>44</v>
      </c>
      <c r="D762" t="s">
        <v>45</v>
      </c>
      <c r="E762">
        <v>2023</v>
      </c>
      <c r="F762" t="s">
        <v>28</v>
      </c>
      <c r="G762" t="s">
        <v>14</v>
      </c>
      <c r="H762" t="s">
        <v>15</v>
      </c>
      <c r="I762" t="s">
        <v>29</v>
      </c>
      <c r="J762">
        <v>53163.85</v>
      </c>
      <c r="K762">
        <v>48650.85</v>
      </c>
      <c r="L762" s="20">
        <f>tbl_Budget[[#This Row],[Actual]]-tbl_Budget[[#This Row],[Budget]]</f>
        <v>-4513</v>
      </c>
      <c r="M762" s="3">
        <f>tbl_Budget[[#This Row],[Variance]]/tbl_Budget[[#This Row],[Budget]]</f>
        <v>-8.4888509767445358E-2</v>
      </c>
      <c r="N762" t="str">
        <f>IF(tbl_Budget[[#This Row],[Variance_%]]&gt;0.05,"Overspend",IF(tbl_Budget[[#This Row],[Variance_%]]&lt;-0.05,"Underspend","On Budget"))</f>
        <v>Underspend</v>
      </c>
    </row>
    <row r="763" spans="1:14" hidden="1">
      <c r="A763" s="1">
        <v>45139</v>
      </c>
      <c r="B763">
        <v>8</v>
      </c>
      <c r="C763" t="s">
        <v>44</v>
      </c>
      <c r="D763" t="s">
        <v>45</v>
      </c>
      <c r="E763">
        <v>2023</v>
      </c>
      <c r="F763" t="s">
        <v>28</v>
      </c>
      <c r="G763" t="s">
        <v>14</v>
      </c>
      <c r="H763" t="s">
        <v>17</v>
      </c>
      <c r="I763" t="s">
        <v>29</v>
      </c>
      <c r="J763">
        <v>50285.99</v>
      </c>
      <c r="K763">
        <v>46297.760000000002</v>
      </c>
      <c r="L763" s="20">
        <f>tbl_Budget[[#This Row],[Actual]]-tbl_Budget[[#This Row],[Budget]]</f>
        <v>-3988.2299999999959</v>
      </c>
      <c r="M763" s="3">
        <f>tbl_Budget[[#This Row],[Variance]]/tbl_Budget[[#This Row],[Budget]]</f>
        <v>-7.9310957187081255E-2</v>
      </c>
      <c r="N763" t="str">
        <f>IF(tbl_Budget[[#This Row],[Variance_%]]&gt;0.05,"Overspend",IF(tbl_Budget[[#This Row],[Variance_%]]&lt;-0.05,"Underspend","On Budget"))</f>
        <v>Underspend</v>
      </c>
    </row>
    <row r="764" spans="1:14" hidden="1">
      <c r="A764" s="1">
        <v>45139</v>
      </c>
      <c r="B764">
        <v>8</v>
      </c>
      <c r="C764" t="s">
        <v>44</v>
      </c>
      <c r="D764" t="s">
        <v>45</v>
      </c>
      <c r="E764">
        <v>2023</v>
      </c>
      <c r="F764" t="s">
        <v>28</v>
      </c>
      <c r="G764" t="s">
        <v>14</v>
      </c>
      <c r="H764" t="s">
        <v>18</v>
      </c>
      <c r="I764" t="s">
        <v>29</v>
      </c>
      <c r="J764">
        <v>51963.43</v>
      </c>
      <c r="K764">
        <v>59413.39</v>
      </c>
      <c r="L764" s="20">
        <f>tbl_Budget[[#This Row],[Actual]]-tbl_Budget[[#This Row],[Budget]]</f>
        <v>7449.9599999999991</v>
      </c>
      <c r="M764" s="3">
        <f>tbl_Budget[[#This Row],[Variance]]/tbl_Budget[[#This Row],[Budget]]</f>
        <v>0.14336928874787516</v>
      </c>
      <c r="N764" t="str">
        <f>IF(tbl_Budget[[#This Row],[Variance_%]]&gt;0.05,"Overspend",IF(tbl_Budget[[#This Row],[Variance_%]]&lt;-0.05,"Underspend","On Budget"))</f>
        <v>Overspend</v>
      </c>
    </row>
    <row r="765" spans="1:14" hidden="1">
      <c r="A765" s="1">
        <v>45139</v>
      </c>
      <c r="B765">
        <v>8</v>
      </c>
      <c r="C765" t="s">
        <v>44</v>
      </c>
      <c r="D765" t="s">
        <v>45</v>
      </c>
      <c r="E765">
        <v>2023</v>
      </c>
      <c r="F765" t="s">
        <v>28</v>
      </c>
      <c r="G765" t="s">
        <v>14</v>
      </c>
      <c r="H765" t="s">
        <v>19</v>
      </c>
      <c r="I765" t="s">
        <v>29</v>
      </c>
      <c r="J765">
        <v>54168.34</v>
      </c>
      <c r="K765">
        <v>53125.33</v>
      </c>
      <c r="L765" s="20">
        <f>tbl_Budget[[#This Row],[Actual]]-tbl_Budget[[#This Row],[Budget]]</f>
        <v>-1043.0099999999948</v>
      </c>
      <c r="M765" s="3">
        <f>tbl_Budget[[#This Row],[Variance]]/tbl_Budget[[#This Row],[Budget]]</f>
        <v>-1.9254974400175359E-2</v>
      </c>
      <c r="N765" t="str">
        <f>IF(tbl_Budget[[#This Row],[Variance_%]]&gt;0.05,"Overspend",IF(tbl_Budget[[#This Row],[Variance_%]]&lt;-0.05,"Underspend","On Budget"))</f>
        <v>On Budget</v>
      </c>
    </row>
    <row r="766" spans="1:14" hidden="1">
      <c r="A766" s="1">
        <v>45139</v>
      </c>
      <c r="B766">
        <v>8</v>
      </c>
      <c r="C766" t="s">
        <v>44</v>
      </c>
      <c r="D766" t="s">
        <v>45</v>
      </c>
      <c r="E766">
        <v>2023</v>
      </c>
      <c r="F766" t="s">
        <v>28</v>
      </c>
      <c r="G766" t="s">
        <v>20</v>
      </c>
      <c r="H766" t="s">
        <v>15</v>
      </c>
      <c r="I766" t="s">
        <v>29</v>
      </c>
      <c r="J766">
        <v>20103.669999999998</v>
      </c>
      <c r="K766">
        <v>23494.9</v>
      </c>
      <c r="L766" s="20">
        <f>tbl_Budget[[#This Row],[Actual]]-tbl_Budget[[#This Row],[Budget]]</f>
        <v>3391.2300000000032</v>
      </c>
      <c r="M766" s="3">
        <f>tbl_Budget[[#This Row],[Variance]]/tbl_Budget[[#This Row],[Budget]]</f>
        <v>0.16868711036343134</v>
      </c>
      <c r="N766" t="str">
        <f>IF(tbl_Budget[[#This Row],[Variance_%]]&gt;0.05,"Overspend",IF(tbl_Budget[[#This Row],[Variance_%]]&lt;-0.05,"Underspend","On Budget"))</f>
        <v>Overspend</v>
      </c>
    </row>
    <row r="767" spans="1:14" hidden="1">
      <c r="A767" s="1">
        <v>45139</v>
      </c>
      <c r="B767">
        <v>8</v>
      </c>
      <c r="C767" t="s">
        <v>44</v>
      </c>
      <c r="D767" t="s">
        <v>45</v>
      </c>
      <c r="E767">
        <v>2023</v>
      </c>
      <c r="F767" t="s">
        <v>28</v>
      </c>
      <c r="G767" t="s">
        <v>20</v>
      </c>
      <c r="H767" t="s">
        <v>17</v>
      </c>
      <c r="I767" t="s">
        <v>29</v>
      </c>
      <c r="J767">
        <v>19052.54</v>
      </c>
      <c r="K767">
        <v>19881.77</v>
      </c>
      <c r="L767" s="20">
        <f>tbl_Budget[[#This Row],[Actual]]-tbl_Budget[[#This Row],[Budget]]</f>
        <v>829.22999999999956</v>
      </c>
      <c r="M767" s="3">
        <f>tbl_Budget[[#This Row],[Variance]]/tbl_Budget[[#This Row],[Budget]]</f>
        <v>4.3523330747501358E-2</v>
      </c>
      <c r="N767" t="str">
        <f>IF(tbl_Budget[[#This Row],[Variance_%]]&gt;0.05,"Overspend",IF(tbl_Budget[[#This Row],[Variance_%]]&lt;-0.05,"Underspend","On Budget"))</f>
        <v>On Budget</v>
      </c>
    </row>
    <row r="768" spans="1:14" hidden="1">
      <c r="A768" s="1">
        <v>45139</v>
      </c>
      <c r="B768">
        <v>8</v>
      </c>
      <c r="C768" t="s">
        <v>44</v>
      </c>
      <c r="D768" t="s">
        <v>45</v>
      </c>
      <c r="E768">
        <v>2023</v>
      </c>
      <c r="F768" t="s">
        <v>28</v>
      </c>
      <c r="G768" t="s">
        <v>20</v>
      </c>
      <c r="H768" t="s">
        <v>18</v>
      </c>
      <c r="I768" t="s">
        <v>29</v>
      </c>
      <c r="J768">
        <v>19895.560000000001</v>
      </c>
      <c r="K768">
        <v>19636.189999999999</v>
      </c>
      <c r="L768" s="20">
        <f>tbl_Budget[[#This Row],[Actual]]-tbl_Budget[[#This Row],[Budget]]</f>
        <v>-259.37000000000262</v>
      </c>
      <c r="M768" s="3">
        <f>tbl_Budget[[#This Row],[Variance]]/tbl_Budget[[#This Row],[Budget]]</f>
        <v>-1.3036577005120871E-2</v>
      </c>
      <c r="N768" t="str">
        <f>IF(tbl_Budget[[#This Row],[Variance_%]]&gt;0.05,"Overspend",IF(tbl_Budget[[#This Row],[Variance_%]]&lt;-0.05,"Underspend","On Budget"))</f>
        <v>On Budget</v>
      </c>
    </row>
    <row r="769" spans="1:14" hidden="1">
      <c r="A769" s="1">
        <v>45139</v>
      </c>
      <c r="B769">
        <v>8</v>
      </c>
      <c r="C769" t="s">
        <v>44</v>
      </c>
      <c r="D769" t="s">
        <v>45</v>
      </c>
      <c r="E769">
        <v>2023</v>
      </c>
      <c r="F769" t="s">
        <v>28</v>
      </c>
      <c r="G769" t="s">
        <v>20</v>
      </c>
      <c r="H769" t="s">
        <v>19</v>
      </c>
      <c r="I769" t="s">
        <v>29</v>
      </c>
      <c r="J769">
        <v>20726.580000000002</v>
      </c>
      <c r="K769">
        <v>20744.61</v>
      </c>
      <c r="L769" s="20">
        <f>tbl_Budget[[#This Row],[Actual]]-tbl_Budget[[#This Row],[Budget]]</f>
        <v>18.029999999998836</v>
      </c>
      <c r="M769" s="3">
        <f>tbl_Budget[[#This Row],[Variance]]/tbl_Budget[[#This Row],[Budget]]</f>
        <v>8.6989749394250442E-4</v>
      </c>
      <c r="N769" t="str">
        <f>IF(tbl_Budget[[#This Row],[Variance_%]]&gt;0.05,"Overspend",IF(tbl_Budget[[#This Row],[Variance_%]]&lt;-0.05,"Underspend","On Budget"))</f>
        <v>On Budget</v>
      </c>
    </row>
    <row r="770" spans="1:14">
      <c r="A770" s="1">
        <v>45139</v>
      </c>
      <c r="B770">
        <v>8</v>
      </c>
      <c r="C770" t="s">
        <v>44</v>
      </c>
      <c r="D770" t="s">
        <v>45</v>
      </c>
      <c r="E770">
        <v>2023</v>
      </c>
      <c r="F770" t="s">
        <v>28</v>
      </c>
      <c r="G770" t="s">
        <v>21</v>
      </c>
      <c r="H770" t="s">
        <v>15</v>
      </c>
      <c r="I770" t="s">
        <v>29</v>
      </c>
      <c r="J770">
        <v>11725.08</v>
      </c>
      <c r="K770">
        <v>15518.53</v>
      </c>
      <c r="L770" s="20">
        <f>tbl_Budget[[#This Row],[Actual]]-tbl_Budget[[#This Row],[Budget]]</f>
        <v>3793.4500000000007</v>
      </c>
      <c r="M770" s="3">
        <f>tbl_Budget[[#This Row],[Variance]]/tbl_Budget[[#This Row],[Budget]]</f>
        <v>0.32353297376222601</v>
      </c>
      <c r="N770" t="str">
        <f>IF(tbl_Budget[[#This Row],[Variance_%]]&gt;0.05,"Overspend",IF(tbl_Budget[[#This Row],[Variance_%]]&lt;-0.05,"Underspend","On Budget"))</f>
        <v>Overspend</v>
      </c>
    </row>
    <row r="771" spans="1:14">
      <c r="A771" s="1">
        <v>45139</v>
      </c>
      <c r="B771">
        <v>8</v>
      </c>
      <c r="C771" t="s">
        <v>44</v>
      </c>
      <c r="D771" t="s">
        <v>45</v>
      </c>
      <c r="E771">
        <v>2023</v>
      </c>
      <c r="F771" t="s">
        <v>28</v>
      </c>
      <c r="G771" t="s">
        <v>21</v>
      </c>
      <c r="H771" t="s">
        <v>17</v>
      </c>
      <c r="I771" t="s">
        <v>29</v>
      </c>
      <c r="J771">
        <v>10698.85</v>
      </c>
      <c r="K771">
        <v>13369.21</v>
      </c>
      <c r="L771" s="20">
        <f>tbl_Budget[[#This Row],[Actual]]-tbl_Budget[[#This Row],[Budget]]</f>
        <v>2670.3599999999988</v>
      </c>
      <c r="M771" s="3">
        <f>tbl_Budget[[#This Row],[Variance]]/tbl_Budget[[#This Row],[Budget]]</f>
        <v>0.2495931805754823</v>
      </c>
      <c r="N771" t="str">
        <f>IF(tbl_Budget[[#This Row],[Variance_%]]&gt;0.05,"Overspend",IF(tbl_Budget[[#This Row],[Variance_%]]&lt;-0.05,"Underspend","On Budget"))</f>
        <v>Overspend</v>
      </c>
    </row>
    <row r="772" spans="1:14">
      <c r="A772" s="1">
        <v>45139</v>
      </c>
      <c r="B772">
        <v>8</v>
      </c>
      <c r="C772" t="s">
        <v>44</v>
      </c>
      <c r="D772" t="s">
        <v>45</v>
      </c>
      <c r="E772">
        <v>2023</v>
      </c>
      <c r="F772" t="s">
        <v>28</v>
      </c>
      <c r="G772" t="s">
        <v>21</v>
      </c>
      <c r="H772" t="s">
        <v>18</v>
      </c>
      <c r="I772" t="s">
        <v>29</v>
      </c>
      <c r="J772">
        <v>11287.02</v>
      </c>
      <c r="K772">
        <v>14402.33</v>
      </c>
      <c r="L772" s="20">
        <f>tbl_Budget[[#This Row],[Actual]]-tbl_Budget[[#This Row],[Budget]]</f>
        <v>3115.3099999999995</v>
      </c>
      <c r="M772" s="3">
        <f>tbl_Budget[[#This Row],[Variance]]/tbl_Budget[[#This Row],[Budget]]</f>
        <v>0.27600819348242489</v>
      </c>
      <c r="N772" t="str">
        <f>IF(tbl_Budget[[#This Row],[Variance_%]]&gt;0.05,"Overspend",IF(tbl_Budget[[#This Row],[Variance_%]]&lt;-0.05,"Underspend","On Budget"))</f>
        <v>Overspend</v>
      </c>
    </row>
    <row r="773" spans="1:14">
      <c r="A773" s="1">
        <v>45139</v>
      </c>
      <c r="B773">
        <v>8</v>
      </c>
      <c r="C773" t="s">
        <v>44</v>
      </c>
      <c r="D773" t="s">
        <v>45</v>
      </c>
      <c r="E773">
        <v>2023</v>
      </c>
      <c r="F773" t="s">
        <v>28</v>
      </c>
      <c r="G773" t="s">
        <v>21</v>
      </c>
      <c r="H773" t="s">
        <v>19</v>
      </c>
      <c r="I773" t="s">
        <v>29</v>
      </c>
      <c r="J773">
        <v>11623.2</v>
      </c>
      <c r="K773">
        <v>13733.15</v>
      </c>
      <c r="L773" s="20">
        <f>tbl_Budget[[#This Row],[Actual]]-tbl_Budget[[#This Row],[Budget]]</f>
        <v>2109.9499999999989</v>
      </c>
      <c r="M773" s="3">
        <f>tbl_Budget[[#This Row],[Variance]]/tbl_Budget[[#This Row],[Budget]]</f>
        <v>0.18152918301328366</v>
      </c>
      <c r="N773" t="str">
        <f>IF(tbl_Budget[[#This Row],[Variance_%]]&gt;0.05,"Overspend",IF(tbl_Budget[[#This Row],[Variance_%]]&lt;-0.05,"Underspend","On Budget"))</f>
        <v>Overspend</v>
      </c>
    </row>
    <row r="774" spans="1:14" hidden="1">
      <c r="A774" s="1">
        <v>45139</v>
      </c>
      <c r="B774">
        <v>8</v>
      </c>
      <c r="C774" t="s">
        <v>44</v>
      </c>
      <c r="D774" t="s">
        <v>45</v>
      </c>
      <c r="E774">
        <v>2023</v>
      </c>
      <c r="F774" t="s">
        <v>28</v>
      </c>
      <c r="G774" t="s">
        <v>22</v>
      </c>
      <c r="H774" t="s">
        <v>15</v>
      </c>
      <c r="I774" t="s">
        <v>29</v>
      </c>
      <c r="J774">
        <v>11853.47</v>
      </c>
      <c r="K774">
        <v>12255.54</v>
      </c>
      <c r="L774" s="20">
        <f>tbl_Budget[[#This Row],[Actual]]-tbl_Budget[[#This Row],[Budget]]</f>
        <v>402.07000000000153</v>
      </c>
      <c r="M774" s="3">
        <f>tbl_Budget[[#This Row],[Variance]]/tbl_Budget[[#This Row],[Budget]]</f>
        <v>3.3920025106572299E-2</v>
      </c>
      <c r="N774" t="str">
        <f>IF(tbl_Budget[[#This Row],[Variance_%]]&gt;0.05,"Overspend",IF(tbl_Budget[[#This Row],[Variance_%]]&lt;-0.05,"Underspend","On Budget"))</f>
        <v>On Budget</v>
      </c>
    </row>
    <row r="775" spans="1:14" hidden="1">
      <c r="A775" s="1">
        <v>45139</v>
      </c>
      <c r="B775">
        <v>8</v>
      </c>
      <c r="C775" t="s">
        <v>44</v>
      </c>
      <c r="D775" t="s">
        <v>45</v>
      </c>
      <c r="E775">
        <v>2023</v>
      </c>
      <c r="F775" t="s">
        <v>28</v>
      </c>
      <c r="G775" t="s">
        <v>22</v>
      </c>
      <c r="H775" t="s">
        <v>17</v>
      </c>
      <c r="I775" t="s">
        <v>29</v>
      </c>
      <c r="J775">
        <v>11663.7</v>
      </c>
      <c r="K775">
        <v>11855.69</v>
      </c>
      <c r="L775" s="20">
        <f>tbl_Budget[[#This Row],[Actual]]-tbl_Budget[[#This Row],[Budget]]</f>
        <v>191.98999999999978</v>
      </c>
      <c r="M775" s="3">
        <f>tbl_Budget[[#This Row],[Variance]]/tbl_Budget[[#This Row],[Budget]]</f>
        <v>1.6460471377007277E-2</v>
      </c>
      <c r="N775" t="str">
        <f>IF(tbl_Budget[[#This Row],[Variance_%]]&gt;0.05,"Overspend",IF(tbl_Budget[[#This Row],[Variance_%]]&lt;-0.05,"Underspend","On Budget"))</f>
        <v>On Budget</v>
      </c>
    </row>
    <row r="776" spans="1:14" hidden="1">
      <c r="A776" s="1">
        <v>45139</v>
      </c>
      <c r="B776">
        <v>8</v>
      </c>
      <c r="C776" t="s">
        <v>44</v>
      </c>
      <c r="D776" t="s">
        <v>45</v>
      </c>
      <c r="E776">
        <v>2023</v>
      </c>
      <c r="F776" t="s">
        <v>28</v>
      </c>
      <c r="G776" t="s">
        <v>22</v>
      </c>
      <c r="H776" t="s">
        <v>18</v>
      </c>
      <c r="I776" t="s">
        <v>29</v>
      </c>
      <c r="J776">
        <v>12037.55</v>
      </c>
      <c r="K776">
        <v>11002.89</v>
      </c>
      <c r="L776" s="20">
        <f>tbl_Budget[[#This Row],[Actual]]-tbl_Budget[[#This Row],[Budget]]</f>
        <v>-1034.6599999999999</v>
      </c>
      <c r="M776" s="3">
        <f>tbl_Budget[[#This Row],[Variance]]/tbl_Budget[[#This Row],[Budget]]</f>
        <v>-8.5952706323130526E-2</v>
      </c>
      <c r="N776" t="str">
        <f>IF(tbl_Budget[[#This Row],[Variance_%]]&gt;0.05,"Overspend",IF(tbl_Budget[[#This Row],[Variance_%]]&lt;-0.05,"Underspend","On Budget"))</f>
        <v>Underspend</v>
      </c>
    </row>
    <row r="777" spans="1:14" hidden="1">
      <c r="A777" s="1">
        <v>45139</v>
      </c>
      <c r="B777">
        <v>8</v>
      </c>
      <c r="C777" t="s">
        <v>44</v>
      </c>
      <c r="D777" t="s">
        <v>45</v>
      </c>
      <c r="E777">
        <v>2023</v>
      </c>
      <c r="F777" t="s">
        <v>28</v>
      </c>
      <c r="G777" t="s">
        <v>22</v>
      </c>
      <c r="H777" t="s">
        <v>19</v>
      </c>
      <c r="I777" t="s">
        <v>29</v>
      </c>
      <c r="J777">
        <v>12176.44</v>
      </c>
      <c r="K777">
        <v>12428.17</v>
      </c>
      <c r="L777" s="20">
        <f>tbl_Budget[[#This Row],[Actual]]-tbl_Budget[[#This Row],[Budget]]</f>
        <v>251.72999999999956</v>
      </c>
      <c r="M777" s="3">
        <f>tbl_Budget[[#This Row],[Variance]]/tbl_Budget[[#This Row],[Budget]]</f>
        <v>2.0673530194375331E-2</v>
      </c>
      <c r="N777" t="str">
        <f>IF(tbl_Budget[[#This Row],[Variance_%]]&gt;0.05,"Overspend",IF(tbl_Budget[[#This Row],[Variance_%]]&lt;-0.05,"Underspend","On Budget"))</f>
        <v>On Budget</v>
      </c>
    </row>
    <row r="778" spans="1:14" hidden="1">
      <c r="A778" s="1">
        <v>45139</v>
      </c>
      <c r="B778">
        <v>8</v>
      </c>
      <c r="C778" t="s">
        <v>44</v>
      </c>
      <c r="D778" t="s">
        <v>45</v>
      </c>
      <c r="E778">
        <v>2023</v>
      </c>
      <c r="F778" t="s">
        <v>28</v>
      </c>
      <c r="G778" t="s">
        <v>23</v>
      </c>
      <c r="H778" t="s">
        <v>15</v>
      </c>
      <c r="I778" t="s">
        <v>29</v>
      </c>
      <c r="J778">
        <v>7723.56</v>
      </c>
      <c r="K778">
        <v>8296.34</v>
      </c>
      <c r="L778" s="20">
        <f>tbl_Budget[[#This Row],[Actual]]-tbl_Budget[[#This Row],[Budget]]</f>
        <v>572.77999999999975</v>
      </c>
      <c r="M778" s="3">
        <f>tbl_Budget[[#This Row],[Variance]]/tbl_Budget[[#This Row],[Budget]]</f>
        <v>7.4160102336228328E-2</v>
      </c>
      <c r="N778" t="str">
        <f>IF(tbl_Budget[[#This Row],[Variance_%]]&gt;0.05,"Overspend",IF(tbl_Budget[[#This Row],[Variance_%]]&lt;-0.05,"Underspend","On Budget"))</f>
        <v>Overspend</v>
      </c>
    </row>
    <row r="779" spans="1:14" hidden="1">
      <c r="A779" s="1">
        <v>45139</v>
      </c>
      <c r="B779">
        <v>8</v>
      </c>
      <c r="C779" t="s">
        <v>44</v>
      </c>
      <c r="D779" t="s">
        <v>45</v>
      </c>
      <c r="E779">
        <v>2023</v>
      </c>
      <c r="F779" t="s">
        <v>28</v>
      </c>
      <c r="G779" t="s">
        <v>23</v>
      </c>
      <c r="H779" t="s">
        <v>17</v>
      </c>
      <c r="I779" t="s">
        <v>29</v>
      </c>
      <c r="J779">
        <v>7240.95</v>
      </c>
      <c r="K779">
        <v>7079.66</v>
      </c>
      <c r="L779" s="20">
        <f>tbl_Budget[[#This Row],[Actual]]-tbl_Budget[[#This Row],[Budget]]</f>
        <v>-161.28999999999996</v>
      </c>
      <c r="M779" s="3">
        <f>tbl_Budget[[#This Row],[Variance]]/tbl_Budget[[#This Row],[Budget]]</f>
        <v>-2.2274701523971298E-2</v>
      </c>
      <c r="N779" t="str">
        <f>IF(tbl_Budget[[#This Row],[Variance_%]]&gt;0.05,"Overspend",IF(tbl_Budget[[#This Row],[Variance_%]]&lt;-0.05,"Underspend","On Budget"))</f>
        <v>On Budget</v>
      </c>
    </row>
    <row r="780" spans="1:14" hidden="1">
      <c r="A780" s="1">
        <v>45139</v>
      </c>
      <c r="B780">
        <v>8</v>
      </c>
      <c r="C780" t="s">
        <v>44</v>
      </c>
      <c r="D780" t="s">
        <v>45</v>
      </c>
      <c r="E780">
        <v>2023</v>
      </c>
      <c r="F780" t="s">
        <v>28</v>
      </c>
      <c r="G780" t="s">
        <v>23</v>
      </c>
      <c r="H780" t="s">
        <v>18</v>
      </c>
      <c r="I780" t="s">
        <v>29</v>
      </c>
      <c r="J780">
        <v>7408.17</v>
      </c>
      <c r="K780">
        <v>7118.18</v>
      </c>
      <c r="L780" s="20">
        <f>tbl_Budget[[#This Row],[Actual]]-tbl_Budget[[#This Row],[Budget]]</f>
        <v>-289.98999999999978</v>
      </c>
      <c r="M780" s="3">
        <f>tbl_Budget[[#This Row],[Variance]]/tbl_Budget[[#This Row],[Budget]]</f>
        <v>-3.9144620061364654E-2</v>
      </c>
      <c r="N780" t="str">
        <f>IF(tbl_Budget[[#This Row],[Variance_%]]&gt;0.05,"Overspend",IF(tbl_Budget[[#This Row],[Variance_%]]&lt;-0.05,"Underspend","On Budget"))</f>
        <v>On Budget</v>
      </c>
    </row>
    <row r="781" spans="1:14" hidden="1">
      <c r="A781" s="1">
        <v>45139</v>
      </c>
      <c r="B781">
        <v>8</v>
      </c>
      <c r="C781" t="s">
        <v>44</v>
      </c>
      <c r="D781" t="s">
        <v>45</v>
      </c>
      <c r="E781">
        <v>2023</v>
      </c>
      <c r="F781" t="s">
        <v>28</v>
      </c>
      <c r="G781" t="s">
        <v>23</v>
      </c>
      <c r="H781" t="s">
        <v>19</v>
      </c>
      <c r="I781" t="s">
        <v>29</v>
      </c>
      <c r="J781">
        <v>7825.99</v>
      </c>
      <c r="K781">
        <v>7591.02</v>
      </c>
      <c r="L781" s="20">
        <f>tbl_Budget[[#This Row],[Actual]]-tbl_Budget[[#This Row],[Budget]]</f>
        <v>-234.96999999999935</v>
      </c>
      <c r="M781" s="3">
        <f>tbl_Budget[[#This Row],[Variance]]/tbl_Budget[[#This Row],[Budget]]</f>
        <v>-3.002431641236436E-2</v>
      </c>
      <c r="N781" t="str">
        <f>IF(tbl_Budget[[#This Row],[Variance_%]]&gt;0.05,"Overspend",IF(tbl_Budget[[#This Row],[Variance_%]]&lt;-0.05,"Underspend","On Budget"))</f>
        <v>On Budget</v>
      </c>
    </row>
    <row r="782" spans="1:14" hidden="1">
      <c r="A782" s="1">
        <v>45139</v>
      </c>
      <c r="B782">
        <v>8</v>
      </c>
      <c r="C782" t="s">
        <v>44</v>
      </c>
      <c r="D782" t="s">
        <v>45</v>
      </c>
      <c r="E782">
        <v>2023</v>
      </c>
      <c r="F782" t="s">
        <v>30</v>
      </c>
      <c r="G782" t="s">
        <v>14</v>
      </c>
      <c r="H782" t="s">
        <v>15</v>
      </c>
      <c r="I782" t="s">
        <v>31</v>
      </c>
      <c r="J782">
        <v>43783.58</v>
      </c>
      <c r="K782">
        <v>43906.74</v>
      </c>
      <c r="L782" s="20">
        <f>tbl_Budget[[#This Row],[Actual]]-tbl_Budget[[#This Row],[Budget]]</f>
        <v>123.15999999999622</v>
      </c>
      <c r="M782" s="3">
        <f>tbl_Budget[[#This Row],[Variance]]/tbl_Budget[[#This Row],[Budget]]</f>
        <v>2.8129266725104756E-3</v>
      </c>
      <c r="N782" t="str">
        <f>IF(tbl_Budget[[#This Row],[Variance_%]]&gt;0.05,"Overspend",IF(tbl_Budget[[#This Row],[Variance_%]]&lt;-0.05,"Underspend","On Budget"))</f>
        <v>On Budget</v>
      </c>
    </row>
    <row r="783" spans="1:14" hidden="1">
      <c r="A783" s="1">
        <v>45139</v>
      </c>
      <c r="B783">
        <v>8</v>
      </c>
      <c r="C783" t="s">
        <v>44</v>
      </c>
      <c r="D783" t="s">
        <v>45</v>
      </c>
      <c r="E783">
        <v>2023</v>
      </c>
      <c r="F783" t="s">
        <v>30</v>
      </c>
      <c r="G783" t="s">
        <v>14</v>
      </c>
      <c r="H783" t="s">
        <v>17</v>
      </c>
      <c r="I783" t="s">
        <v>31</v>
      </c>
      <c r="J783">
        <v>41222.370000000003</v>
      </c>
      <c r="K783">
        <v>42431.62</v>
      </c>
      <c r="L783" s="20">
        <f>tbl_Budget[[#This Row],[Actual]]-tbl_Budget[[#This Row],[Budget]]</f>
        <v>1209.25</v>
      </c>
      <c r="M783" s="3">
        <f>tbl_Budget[[#This Row],[Variance]]/tbl_Budget[[#This Row],[Budget]]</f>
        <v>2.9334800497885005E-2</v>
      </c>
      <c r="N783" t="str">
        <f>IF(tbl_Budget[[#This Row],[Variance_%]]&gt;0.05,"Overspend",IF(tbl_Budget[[#This Row],[Variance_%]]&lt;-0.05,"Underspend","On Budget"))</f>
        <v>On Budget</v>
      </c>
    </row>
    <row r="784" spans="1:14" hidden="1">
      <c r="A784" s="1">
        <v>45139</v>
      </c>
      <c r="B784">
        <v>8</v>
      </c>
      <c r="C784" t="s">
        <v>44</v>
      </c>
      <c r="D784" t="s">
        <v>45</v>
      </c>
      <c r="E784">
        <v>2023</v>
      </c>
      <c r="F784" t="s">
        <v>30</v>
      </c>
      <c r="G784" t="s">
        <v>14</v>
      </c>
      <c r="H784" t="s">
        <v>18</v>
      </c>
      <c r="I784" t="s">
        <v>31</v>
      </c>
      <c r="J784">
        <v>40708.32</v>
      </c>
      <c r="K784">
        <v>38357.480000000003</v>
      </c>
      <c r="L784" s="20">
        <f>tbl_Budget[[#This Row],[Actual]]-tbl_Budget[[#This Row],[Budget]]</f>
        <v>-2350.8399999999965</v>
      </c>
      <c r="M784" s="3">
        <f>tbl_Budget[[#This Row],[Variance]]/tbl_Budget[[#This Row],[Budget]]</f>
        <v>-5.7748391483608177E-2</v>
      </c>
      <c r="N784" t="str">
        <f>IF(tbl_Budget[[#This Row],[Variance_%]]&gt;0.05,"Overspend",IF(tbl_Budget[[#This Row],[Variance_%]]&lt;-0.05,"Underspend","On Budget"))</f>
        <v>Underspend</v>
      </c>
    </row>
    <row r="785" spans="1:14" hidden="1">
      <c r="A785" s="1">
        <v>45139</v>
      </c>
      <c r="B785">
        <v>8</v>
      </c>
      <c r="C785" t="s">
        <v>44</v>
      </c>
      <c r="D785" t="s">
        <v>45</v>
      </c>
      <c r="E785">
        <v>2023</v>
      </c>
      <c r="F785" t="s">
        <v>30</v>
      </c>
      <c r="G785" t="s">
        <v>14</v>
      </c>
      <c r="H785" t="s">
        <v>19</v>
      </c>
      <c r="I785" t="s">
        <v>31</v>
      </c>
      <c r="J785">
        <v>45190.66</v>
      </c>
      <c r="K785">
        <v>46960.9</v>
      </c>
      <c r="L785" s="20">
        <f>tbl_Budget[[#This Row],[Actual]]-tbl_Budget[[#This Row],[Budget]]</f>
        <v>1770.239999999998</v>
      </c>
      <c r="M785" s="3">
        <f>tbl_Budget[[#This Row],[Variance]]/tbl_Budget[[#This Row],[Budget]]</f>
        <v>3.9172696304944382E-2</v>
      </c>
      <c r="N785" t="str">
        <f>IF(tbl_Budget[[#This Row],[Variance_%]]&gt;0.05,"Overspend",IF(tbl_Budget[[#This Row],[Variance_%]]&lt;-0.05,"Underspend","On Budget"))</f>
        <v>On Budget</v>
      </c>
    </row>
    <row r="786" spans="1:14" hidden="1">
      <c r="A786" s="1">
        <v>45139</v>
      </c>
      <c r="B786">
        <v>8</v>
      </c>
      <c r="C786" t="s">
        <v>44</v>
      </c>
      <c r="D786" t="s">
        <v>45</v>
      </c>
      <c r="E786">
        <v>2023</v>
      </c>
      <c r="F786" t="s">
        <v>30</v>
      </c>
      <c r="G786" t="s">
        <v>20</v>
      </c>
      <c r="H786" t="s">
        <v>15</v>
      </c>
      <c r="I786" t="s">
        <v>31</v>
      </c>
      <c r="J786">
        <v>16558.04</v>
      </c>
      <c r="K786">
        <v>15878.33</v>
      </c>
      <c r="L786" s="20">
        <f>tbl_Budget[[#This Row],[Actual]]-tbl_Budget[[#This Row],[Budget]]</f>
        <v>-679.71000000000095</v>
      </c>
      <c r="M786" s="3">
        <f>tbl_Budget[[#This Row],[Variance]]/tbl_Budget[[#This Row],[Budget]]</f>
        <v>-4.1050148447521619E-2</v>
      </c>
      <c r="N786" t="str">
        <f>IF(tbl_Budget[[#This Row],[Variance_%]]&gt;0.05,"Overspend",IF(tbl_Budget[[#This Row],[Variance_%]]&lt;-0.05,"Underspend","On Budget"))</f>
        <v>On Budget</v>
      </c>
    </row>
    <row r="787" spans="1:14" hidden="1">
      <c r="A787" s="1">
        <v>45139</v>
      </c>
      <c r="B787">
        <v>8</v>
      </c>
      <c r="C787" t="s">
        <v>44</v>
      </c>
      <c r="D787" t="s">
        <v>45</v>
      </c>
      <c r="E787">
        <v>2023</v>
      </c>
      <c r="F787" t="s">
        <v>30</v>
      </c>
      <c r="G787" t="s">
        <v>20</v>
      </c>
      <c r="H787" t="s">
        <v>17</v>
      </c>
      <c r="I787" t="s">
        <v>31</v>
      </c>
      <c r="J787">
        <v>15761.71</v>
      </c>
      <c r="K787">
        <v>15387.79</v>
      </c>
      <c r="L787" s="20">
        <f>tbl_Budget[[#This Row],[Actual]]-tbl_Budget[[#This Row],[Budget]]</f>
        <v>-373.91999999999825</v>
      </c>
      <c r="M787" s="3">
        <f>tbl_Budget[[#This Row],[Variance]]/tbl_Budget[[#This Row],[Budget]]</f>
        <v>-2.3723314285061602E-2</v>
      </c>
      <c r="N787" t="str">
        <f>IF(tbl_Budget[[#This Row],[Variance_%]]&gt;0.05,"Overspend",IF(tbl_Budget[[#This Row],[Variance_%]]&lt;-0.05,"Underspend","On Budget"))</f>
        <v>On Budget</v>
      </c>
    </row>
    <row r="788" spans="1:14" hidden="1">
      <c r="A788" s="1">
        <v>45139</v>
      </c>
      <c r="B788">
        <v>8</v>
      </c>
      <c r="C788" t="s">
        <v>44</v>
      </c>
      <c r="D788" t="s">
        <v>45</v>
      </c>
      <c r="E788">
        <v>2023</v>
      </c>
      <c r="F788" t="s">
        <v>30</v>
      </c>
      <c r="G788" t="s">
        <v>20</v>
      </c>
      <c r="H788" t="s">
        <v>18</v>
      </c>
      <c r="I788" t="s">
        <v>31</v>
      </c>
      <c r="J788">
        <v>15930.47</v>
      </c>
      <c r="K788">
        <v>16632.03</v>
      </c>
      <c r="L788" s="20">
        <f>tbl_Budget[[#This Row],[Actual]]-tbl_Budget[[#This Row],[Budget]]</f>
        <v>701.55999999999949</v>
      </c>
      <c r="M788" s="3">
        <f>tbl_Budget[[#This Row],[Variance]]/tbl_Budget[[#This Row],[Budget]]</f>
        <v>4.4038876442440152E-2</v>
      </c>
      <c r="N788" t="str">
        <f>IF(tbl_Budget[[#This Row],[Variance_%]]&gt;0.05,"Overspend",IF(tbl_Budget[[#This Row],[Variance_%]]&lt;-0.05,"Underspend","On Budget"))</f>
        <v>On Budget</v>
      </c>
    </row>
    <row r="789" spans="1:14" hidden="1">
      <c r="A789" s="1">
        <v>45139</v>
      </c>
      <c r="B789">
        <v>8</v>
      </c>
      <c r="C789" t="s">
        <v>44</v>
      </c>
      <c r="D789" t="s">
        <v>45</v>
      </c>
      <c r="E789">
        <v>2023</v>
      </c>
      <c r="F789" t="s">
        <v>30</v>
      </c>
      <c r="G789" t="s">
        <v>20</v>
      </c>
      <c r="H789" t="s">
        <v>19</v>
      </c>
      <c r="I789" t="s">
        <v>31</v>
      </c>
      <c r="J789">
        <v>16633.03</v>
      </c>
      <c r="K789">
        <v>16025.19</v>
      </c>
      <c r="L789" s="20">
        <f>tbl_Budget[[#This Row],[Actual]]-tbl_Budget[[#This Row],[Budget]]</f>
        <v>-607.83999999999833</v>
      </c>
      <c r="M789" s="3">
        <f>tbl_Budget[[#This Row],[Variance]]/tbl_Budget[[#This Row],[Budget]]</f>
        <v>-3.6544153410412797E-2</v>
      </c>
      <c r="N789" t="str">
        <f>IF(tbl_Budget[[#This Row],[Variance_%]]&gt;0.05,"Overspend",IF(tbl_Budget[[#This Row],[Variance_%]]&lt;-0.05,"Underspend","On Budget"))</f>
        <v>On Budget</v>
      </c>
    </row>
    <row r="790" spans="1:14">
      <c r="A790" s="1">
        <v>45139</v>
      </c>
      <c r="B790">
        <v>8</v>
      </c>
      <c r="C790" t="s">
        <v>44</v>
      </c>
      <c r="D790" t="s">
        <v>45</v>
      </c>
      <c r="E790">
        <v>2023</v>
      </c>
      <c r="F790" t="s">
        <v>30</v>
      </c>
      <c r="G790" t="s">
        <v>21</v>
      </c>
      <c r="H790" t="s">
        <v>15</v>
      </c>
      <c r="I790" t="s">
        <v>31</v>
      </c>
      <c r="J790">
        <v>6922.8</v>
      </c>
      <c r="K790">
        <v>9799.65</v>
      </c>
      <c r="L790" s="20">
        <f>tbl_Budget[[#This Row],[Actual]]-tbl_Budget[[#This Row],[Budget]]</f>
        <v>2876.8499999999995</v>
      </c>
      <c r="M790" s="3">
        <f>tbl_Budget[[#This Row],[Variance]]/tbl_Budget[[#This Row],[Budget]]</f>
        <v>0.41556162246489853</v>
      </c>
      <c r="N790" t="str">
        <f>IF(tbl_Budget[[#This Row],[Variance_%]]&gt;0.05,"Overspend",IF(tbl_Budget[[#This Row],[Variance_%]]&lt;-0.05,"Underspend","On Budget"))</f>
        <v>Overspend</v>
      </c>
    </row>
    <row r="791" spans="1:14">
      <c r="A791" s="1">
        <v>45139</v>
      </c>
      <c r="B791">
        <v>8</v>
      </c>
      <c r="C791" t="s">
        <v>44</v>
      </c>
      <c r="D791" t="s">
        <v>45</v>
      </c>
      <c r="E791">
        <v>2023</v>
      </c>
      <c r="F791" t="s">
        <v>30</v>
      </c>
      <c r="G791" t="s">
        <v>21</v>
      </c>
      <c r="H791" t="s">
        <v>17</v>
      </c>
      <c r="I791" t="s">
        <v>31</v>
      </c>
      <c r="J791">
        <v>6669</v>
      </c>
      <c r="K791">
        <v>8835.92</v>
      </c>
      <c r="L791" s="20">
        <f>tbl_Budget[[#This Row],[Actual]]-tbl_Budget[[#This Row],[Budget]]</f>
        <v>2166.92</v>
      </c>
      <c r="M791" s="3">
        <f>tbl_Budget[[#This Row],[Variance]]/tbl_Budget[[#This Row],[Budget]]</f>
        <v>0.32492427650322386</v>
      </c>
      <c r="N791" t="str">
        <f>IF(tbl_Budget[[#This Row],[Variance_%]]&gt;0.05,"Overspend",IF(tbl_Budget[[#This Row],[Variance_%]]&lt;-0.05,"Underspend","On Budget"))</f>
        <v>Overspend</v>
      </c>
    </row>
    <row r="792" spans="1:14">
      <c r="A792" s="1">
        <v>45139</v>
      </c>
      <c r="B792">
        <v>8</v>
      </c>
      <c r="C792" t="s">
        <v>44</v>
      </c>
      <c r="D792" t="s">
        <v>45</v>
      </c>
      <c r="E792">
        <v>2023</v>
      </c>
      <c r="F792" t="s">
        <v>30</v>
      </c>
      <c r="G792" t="s">
        <v>21</v>
      </c>
      <c r="H792" t="s">
        <v>18</v>
      </c>
      <c r="I792" t="s">
        <v>31</v>
      </c>
      <c r="J792">
        <v>6614.25</v>
      </c>
      <c r="K792">
        <v>9423.86</v>
      </c>
      <c r="L792" s="20">
        <f>tbl_Budget[[#This Row],[Actual]]-tbl_Budget[[#This Row],[Budget]]</f>
        <v>2809.6100000000006</v>
      </c>
      <c r="M792" s="3">
        <f>tbl_Budget[[#This Row],[Variance]]/tbl_Budget[[#This Row],[Budget]]</f>
        <v>0.42478134331178902</v>
      </c>
      <c r="N792" t="str">
        <f>IF(tbl_Budget[[#This Row],[Variance_%]]&gt;0.05,"Overspend",IF(tbl_Budget[[#This Row],[Variance_%]]&lt;-0.05,"Underspend","On Budget"))</f>
        <v>Overspend</v>
      </c>
    </row>
    <row r="793" spans="1:14">
      <c r="A793" s="1">
        <v>45139</v>
      </c>
      <c r="B793">
        <v>8</v>
      </c>
      <c r="C793" t="s">
        <v>44</v>
      </c>
      <c r="D793" t="s">
        <v>45</v>
      </c>
      <c r="E793">
        <v>2023</v>
      </c>
      <c r="F793" t="s">
        <v>30</v>
      </c>
      <c r="G793" t="s">
        <v>21</v>
      </c>
      <c r="H793" t="s">
        <v>19</v>
      </c>
      <c r="I793" t="s">
        <v>31</v>
      </c>
      <c r="J793">
        <v>7114.63</v>
      </c>
      <c r="K793">
        <v>9546.64</v>
      </c>
      <c r="L793" s="20">
        <f>tbl_Budget[[#This Row],[Actual]]-tbl_Budget[[#This Row],[Budget]]</f>
        <v>2432.0099999999993</v>
      </c>
      <c r="M793" s="3">
        <f>tbl_Budget[[#This Row],[Variance]]/tbl_Budget[[#This Row],[Budget]]</f>
        <v>0.34183225269620476</v>
      </c>
      <c r="N793" t="str">
        <f>IF(tbl_Budget[[#This Row],[Variance_%]]&gt;0.05,"Overspend",IF(tbl_Budget[[#This Row],[Variance_%]]&lt;-0.05,"Underspend","On Budget"))</f>
        <v>Overspend</v>
      </c>
    </row>
    <row r="794" spans="1:14" hidden="1">
      <c r="A794" s="1">
        <v>45139</v>
      </c>
      <c r="B794">
        <v>8</v>
      </c>
      <c r="C794" t="s">
        <v>44</v>
      </c>
      <c r="D794" t="s">
        <v>45</v>
      </c>
      <c r="E794">
        <v>2023</v>
      </c>
      <c r="F794" t="s">
        <v>30</v>
      </c>
      <c r="G794" t="s">
        <v>22</v>
      </c>
      <c r="H794" t="s">
        <v>15</v>
      </c>
      <c r="I794" t="s">
        <v>31</v>
      </c>
      <c r="J794">
        <v>7025.14</v>
      </c>
      <c r="K794">
        <v>6983.6</v>
      </c>
      <c r="L794" s="20">
        <f>tbl_Budget[[#This Row],[Actual]]-tbl_Budget[[#This Row],[Budget]]</f>
        <v>-41.539999999999964</v>
      </c>
      <c r="M794" s="3">
        <f>tbl_Budget[[#This Row],[Variance]]/tbl_Budget[[#This Row],[Budget]]</f>
        <v>-5.9130494196556879E-3</v>
      </c>
      <c r="N794" t="str">
        <f>IF(tbl_Budget[[#This Row],[Variance_%]]&gt;0.05,"Overspend",IF(tbl_Budget[[#This Row],[Variance_%]]&lt;-0.05,"Underspend","On Budget"))</f>
        <v>On Budget</v>
      </c>
    </row>
    <row r="795" spans="1:14" hidden="1">
      <c r="A795" s="1">
        <v>45139</v>
      </c>
      <c r="B795">
        <v>8</v>
      </c>
      <c r="C795" t="s">
        <v>44</v>
      </c>
      <c r="D795" t="s">
        <v>45</v>
      </c>
      <c r="E795">
        <v>2023</v>
      </c>
      <c r="F795" t="s">
        <v>30</v>
      </c>
      <c r="G795" t="s">
        <v>22</v>
      </c>
      <c r="H795" t="s">
        <v>17</v>
      </c>
      <c r="I795" t="s">
        <v>31</v>
      </c>
      <c r="J795">
        <v>6967.21</v>
      </c>
      <c r="K795">
        <v>6664.63</v>
      </c>
      <c r="L795" s="20">
        <f>tbl_Budget[[#This Row],[Actual]]-tbl_Budget[[#This Row],[Budget]]</f>
        <v>-302.57999999999993</v>
      </c>
      <c r="M795" s="3">
        <f>tbl_Budget[[#This Row],[Variance]]/tbl_Budget[[#This Row],[Budget]]</f>
        <v>-4.3429148827148878E-2</v>
      </c>
      <c r="N795" t="str">
        <f>IF(tbl_Budget[[#This Row],[Variance_%]]&gt;0.05,"Overspend",IF(tbl_Budget[[#This Row],[Variance_%]]&lt;-0.05,"Underspend","On Budget"))</f>
        <v>On Budget</v>
      </c>
    </row>
    <row r="796" spans="1:14" hidden="1">
      <c r="A796" s="1">
        <v>45139</v>
      </c>
      <c r="B796">
        <v>8</v>
      </c>
      <c r="C796" t="s">
        <v>44</v>
      </c>
      <c r="D796" t="s">
        <v>45</v>
      </c>
      <c r="E796">
        <v>2023</v>
      </c>
      <c r="F796" t="s">
        <v>30</v>
      </c>
      <c r="G796" t="s">
        <v>22</v>
      </c>
      <c r="H796" t="s">
        <v>18</v>
      </c>
      <c r="I796" t="s">
        <v>31</v>
      </c>
      <c r="J796">
        <v>7040.32</v>
      </c>
      <c r="K796">
        <v>6810.64</v>
      </c>
      <c r="L796" s="20">
        <f>tbl_Budget[[#This Row],[Actual]]-tbl_Budget[[#This Row],[Budget]]</f>
        <v>-229.67999999999938</v>
      </c>
      <c r="M796" s="3">
        <f>tbl_Budget[[#This Row],[Variance]]/tbl_Budget[[#This Row],[Budget]]</f>
        <v>-3.2623517112858422E-2</v>
      </c>
      <c r="N796" t="str">
        <f>IF(tbl_Budget[[#This Row],[Variance_%]]&gt;0.05,"Overspend",IF(tbl_Budget[[#This Row],[Variance_%]]&lt;-0.05,"Underspend","On Budget"))</f>
        <v>On Budget</v>
      </c>
    </row>
    <row r="797" spans="1:14" hidden="1">
      <c r="A797" s="1">
        <v>45139</v>
      </c>
      <c r="B797">
        <v>8</v>
      </c>
      <c r="C797" t="s">
        <v>44</v>
      </c>
      <c r="D797" t="s">
        <v>45</v>
      </c>
      <c r="E797">
        <v>2023</v>
      </c>
      <c r="F797" t="s">
        <v>30</v>
      </c>
      <c r="G797" t="s">
        <v>22</v>
      </c>
      <c r="H797" t="s">
        <v>19</v>
      </c>
      <c r="I797" t="s">
        <v>31</v>
      </c>
      <c r="J797">
        <v>7515.52</v>
      </c>
      <c r="K797">
        <v>7218.91</v>
      </c>
      <c r="L797" s="20">
        <f>tbl_Budget[[#This Row],[Actual]]-tbl_Budget[[#This Row],[Budget]]</f>
        <v>-296.61000000000058</v>
      </c>
      <c r="M797" s="3">
        <f>tbl_Budget[[#This Row],[Variance]]/tbl_Budget[[#This Row],[Budget]]</f>
        <v>-3.9466331005705603E-2</v>
      </c>
      <c r="N797" t="str">
        <f>IF(tbl_Budget[[#This Row],[Variance_%]]&gt;0.05,"Overspend",IF(tbl_Budget[[#This Row],[Variance_%]]&lt;-0.05,"Underspend","On Budget"))</f>
        <v>On Budget</v>
      </c>
    </row>
    <row r="798" spans="1:14" hidden="1">
      <c r="A798" s="1">
        <v>45139</v>
      </c>
      <c r="B798">
        <v>8</v>
      </c>
      <c r="C798" t="s">
        <v>44</v>
      </c>
      <c r="D798" t="s">
        <v>45</v>
      </c>
      <c r="E798">
        <v>2023</v>
      </c>
      <c r="F798" t="s">
        <v>30</v>
      </c>
      <c r="G798" t="s">
        <v>23</v>
      </c>
      <c r="H798" t="s">
        <v>15</v>
      </c>
      <c r="I798" t="s">
        <v>31</v>
      </c>
      <c r="J798">
        <v>6166.52</v>
      </c>
      <c r="K798">
        <v>6366.73</v>
      </c>
      <c r="L798" s="20">
        <f>tbl_Budget[[#This Row],[Actual]]-tbl_Budget[[#This Row],[Budget]]</f>
        <v>200.20999999999913</v>
      </c>
      <c r="M798" s="3">
        <f>tbl_Budget[[#This Row],[Variance]]/tbl_Budget[[#This Row],[Budget]]</f>
        <v>3.246725868074686E-2</v>
      </c>
      <c r="N798" t="str">
        <f>IF(tbl_Budget[[#This Row],[Variance_%]]&gt;0.05,"Overspend",IF(tbl_Budget[[#This Row],[Variance_%]]&lt;-0.05,"Underspend","On Budget"))</f>
        <v>On Budget</v>
      </c>
    </row>
    <row r="799" spans="1:14" hidden="1">
      <c r="A799" s="1">
        <v>45139</v>
      </c>
      <c r="B799">
        <v>8</v>
      </c>
      <c r="C799" t="s">
        <v>44</v>
      </c>
      <c r="D799" t="s">
        <v>45</v>
      </c>
      <c r="E799">
        <v>2023</v>
      </c>
      <c r="F799" t="s">
        <v>30</v>
      </c>
      <c r="G799" t="s">
        <v>23</v>
      </c>
      <c r="H799" t="s">
        <v>17</v>
      </c>
      <c r="I799" t="s">
        <v>31</v>
      </c>
      <c r="J799">
        <v>5897.46</v>
      </c>
      <c r="K799">
        <v>5927.16</v>
      </c>
      <c r="L799" s="20">
        <f>tbl_Budget[[#This Row],[Actual]]-tbl_Budget[[#This Row],[Budget]]</f>
        <v>29.699999999999818</v>
      </c>
      <c r="M799" s="3">
        <f>tbl_Budget[[#This Row],[Variance]]/tbl_Budget[[#This Row],[Budget]]</f>
        <v>5.0360663743373958E-3</v>
      </c>
      <c r="N799" t="str">
        <f>IF(tbl_Budget[[#This Row],[Variance_%]]&gt;0.05,"Overspend",IF(tbl_Budget[[#This Row],[Variance_%]]&lt;-0.05,"Underspend","On Budget"))</f>
        <v>On Budget</v>
      </c>
    </row>
    <row r="800" spans="1:14" hidden="1">
      <c r="A800" s="1">
        <v>45139</v>
      </c>
      <c r="B800">
        <v>8</v>
      </c>
      <c r="C800" t="s">
        <v>44</v>
      </c>
      <c r="D800" t="s">
        <v>45</v>
      </c>
      <c r="E800">
        <v>2023</v>
      </c>
      <c r="F800" t="s">
        <v>30</v>
      </c>
      <c r="G800" t="s">
        <v>23</v>
      </c>
      <c r="H800" t="s">
        <v>18</v>
      </c>
      <c r="I800" t="s">
        <v>31</v>
      </c>
      <c r="J800">
        <v>6010.31</v>
      </c>
      <c r="K800">
        <v>6295.97</v>
      </c>
      <c r="L800" s="20">
        <f>tbl_Budget[[#This Row],[Actual]]-tbl_Budget[[#This Row],[Budget]]</f>
        <v>285.65999999999985</v>
      </c>
      <c r="M800" s="3">
        <f>tbl_Budget[[#This Row],[Variance]]/tbl_Budget[[#This Row],[Budget]]</f>
        <v>4.752833048544914E-2</v>
      </c>
      <c r="N800" t="str">
        <f>IF(tbl_Budget[[#This Row],[Variance_%]]&gt;0.05,"Overspend",IF(tbl_Budget[[#This Row],[Variance_%]]&lt;-0.05,"Underspend","On Budget"))</f>
        <v>On Budget</v>
      </c>
    </row>
    <row r="801" spans="1:14" hidden="1">
      <c r="A801" s="1">
        <v>45139</v>
      </c>
      <c r="B801">
        <v>8</v>
      </c>
      <c r="C801" t="s">
        <v>44</v>
      </c>
      <c r="D801" t="s">
        <v>45</v>
      </c>
      <c r="E801">
        <v>2023</v>
      </c>
      <c r="F801" t="s">
        <v>30</v>
      </c>
      <c r="G801" t="s">
        <v>23</v>
      </c>
      <c r="H801" t="s">
        <v>19</v>
      </c>
      <c r="I801" t="s">
        <v>31</v>
      </c>
      <c r="J801">
        <v>6418.47</v>
      </c>
      <c r="K801">
        <v>6410.79</v>
      </c>
      <c r="L801" s="20">
        <f>tbl_Budget[[#This Row],[Actual]]-tbl_Budget[[#This Row],[Budget]]</f>
        <v>-7.680000000000291</v>
      </c>
      <c r="M801" s="3">
        <f>tbl_Budget[[#This Row],[Variance]]/tbl_Budget[[#This Row],[Budget]]</f>
        <v>-1.1965468406022449E-3</v>
      </c>
      <c r="N801" t="str">
        <f>IF(tbl_Budget[[#This Row],[Variance_%]]&gt;0.05,"Overspend",IF(tbl_Budget[[#This Row],[Variance_%]]&lt;-0.05,"Underspend","On Budget"))</f>
        <v>On Budget</v>
      </c>
    </row>
    <row r="802" spans="1:14" hidden="1">
      <c r="A802" s="1">
        <v>45170</v>
      </c>
      <c r="B802">
        <v>9</v>
      </c>
      <c r="C802" t="s">
        <v>46</v>
      </c>
      <c r="D802" t="s">
        <v>47</v>
      </c>
      <c r="E802">
        <v>2023</v>
      </c>
      <c r="F802" t="s">
        <v>13</v>
      </c>
      <c r="G802" t="s">
        <v>14</v>
      </c>
      <c r="H802" t="s">
        <v>15</v>
      </c>
      <c r="I802" t="s">
        <v>16</v>
      </c>
      <c r="J802">
        <v>49033.7</v>
      </c>
      <c r="K802">
        <v>54397.81</v>
      </c>
      <c r="L802" s="20">
        <f>tbl_Budget[[#This Row],[Actual]]-tbl_Budget[[#This Row],[Budget]]</f>
        <v>5364.1100000000006</v>
      </c>
      <c r="M802" s="3">
        <f>tbl_Budget[[#This Row],[Variance]]/tbl_Budget[[#This Row],[Budget]]</f>
        <v>0.10939639472444464</v>
      </c>
      <c r="N802" t="str">
        <f>IF(tbl_Budget[[#This Row],[Variance_%]]&gt;0.05,"Overspend",IF(tbl_Budget[[#This Row],[Variance_%]]&lt;-0.05,"Underspend","On Budget"))</f>
        <v>Overspend</v>
      </c>
    </row>
    <row r="803" spans="1:14" hidden="1">
      <c r="A803" s="1">
        <v>45170</v>
      </c>
      <c r="B803">
        <v>9</v>
      </c>
      <c r="C803" t="s">
        <v>46</v>
      </c>
      <c r="D803" t="s">
        <v>47</v>
      </c>
      <c r="E803">
        <v>2023</v>
      </c>
      <c r="F803" t="s">
        <v>13</v>
      </c>
      <c r="G803" t="s">
        <v>14</v>
      </c>
      <c r="H803" t="s">
        <v>17</v>
      </c>
      <c r="I803" t="s">
        <v>16</v>
      </c>
      <c r="J803">
        <v>45407.93</v>
      </c>
      <c r="K803">
        <v>52209.17</v>
      </c>
      <c r="L803" s="20">
        <f>tbl_Budget[[#This Row],[Actual]]-tbl_Budget[[#This Row],[Budget]]</f>
        <v>6801.239999999998</v>
      </c>
      <c r="M803" s="3">
        <f>tbl_Budget[[#This Row],[Variance]]/tbl_Budget[[#This Row],[Budget]]</f>
        <v>0.14978088629012593</v>
      </c>
      <c r="N803" t="str">
        <f>IF(tbl_Budget[[#This Row],[Variance_%]]&gt;0.05,"Overspend",IF(tbl_Budget[[#This Row],[Variance_%]]&lt;-0.05,"Underspend","On Budget"))</f>
        <v>Overspend</v>
      </c>
    </row>
    <row r="804" spans="1:14" hidden="1">
      <c r="A804" s="1">
        <v>45170</v>
      </c>
      <c r="B804">
        <v>9</v>
      </c>
      <c r="C804" t="s">
        <v>46</v>
      </c>
      <c r="D804" t="s">
        <v>47</v>
      </c>
      <c r="E804">
        <v>2023</v>
      </c>
      <c r="F804" t="s">
        <v>13</v>
      </c>
      <c r="G804" t="s">
        <v>14</v>
      </c>
      <c r="H804" t="s">
        <v>18</v>
      </c>
      <c r="I804" t="s">
        <v>16</v>
      </c>
      <c r="J804">
        <v>44974.59</v>
      </c>
      <c r="K804">
        <v>51375.39</v>
      </c>
      <c r="L804" s="20">
        <f>tbl_Budget[[#This Row],[Actual]]-tbl_Budget[[#This Row],[Budget]]</f>
        <v>6400.8000000000029</v>
      </c>
      <c r="M804" s="3">
        <f>tbl_Budget[[#This Row],[Variance]]/tbl_Budget[[#This Row],[Budget]]</f>
        <v>0.14232036356529329</v>
      </c>
      <c r="N804" t="str">
        <f>IF(tbl_Budget[[#This Row],[Variance_%]]&gt;0.05,"Overspend",IF(tbl_Budget[[#This Row],[Variance_%]]&lt;-0.05,"Underspend","On Budget"))</f>
        <v>Overspend</v>
      </c>
    </row>
    <row r="805" spans="1:14" hidden="1">
      <c r="A805" s="1">
        <v>45170</v>
      </c>
      <c r="B805">
        <v>9</v>
      </c>
      <c r="C805" t="s">
        <v>46</v>
      </c>
      <c r="D805" t="s">
        <v>47</v>
      </c>
      <c r="E805">
        <v>2023</v>
      </c>
      <c r="F805" t="s">
        <v>13</v>
      </c>
      <c r="G805" t="s">
        <v>14</v>
      </c>
      <c r="H805" t="s">
        <v>19</v>
      </c>
      <c r="I805" t="s">
        <v>16</v>
      </c>
      <c r="J805">
        <v>49713.83</v>
      </c>
      <c r="K805">
        <v>58208.32</v>
      </c>
      <c r="L805" s="20">
        <f>tbl_Budget[[#This Row],[Actual]]-tbl_Budget[[#This Row],[Budget]]</f>
        <v>8494.489999999998</v>
      </c>
      <c r="M805" s="3">
        <f>tbl_Budget[[#This Row],[Variance]]/tbl_Budget[[#This Row],[Budget]]</f>
        <v>0.17086774444857694</v>
      </c>
      <c r="N805" t="str">
        <f>IF(tbl_Budget[[#This Row],[Variance_%]]&gt;0.05,"Overspend",IF(tbl_Budget[[#This Row],[Variance_%]]&lt;-0.05,"Underspend","On Budget"))</f>
        <v>Overspend</v>
      </c>
    </row>
    <row r="806" spans="1:14" hidden="1">
      <c r="A806" s="1">
        <v>45170</v>
      </c>
      <c r="B806">
        <v>9</v>
      </c>
      <c r="C806" t="s">
        <v>46</v>
      </c>
      <c r="D806" t="s">
        <v>47</v>
      </c>
      <c r="E806">
        <v>2023</v>
      </c>
      <c r="F806" t="s">
        <v>13</v>
      </c>
      <c r="G806" t="s">
        <v>20</v>
      </c>
      <c r="H806" t="s">
        <v>15</v>
      </c>
      <c r="I806" t="s">
        <v>16</v>
      </c>
      <c r="J806">
        <v>18291.95</v>
      </c>
      <c r="K806">
        <v>21620.47</v>
      </c>
      <c r="L806" s="20">
        <f>tbl_Budget[[#This Row],[Actual]]-tbl_Budget[[#This Row],[Budget]]</f>
        <v>3328.5200000000004</v>
      </c>
      <c r="M806" s="3">
        <f>tbl_Budget[[#This Row],[Variance]]/tbl_Budget[[#This Row],[Budget]]</f>
        <v>0.18196638411979041</v>
      </c>
      <c r="N806" t="str">
        <f>IF(tbl_Budget[[#This Row],[Variance_%]]&gt;0.05,"Overspend",IF(tbl_Budget[[#This Row],[Variance_%]]&lt;-0.05,"Underspend","On Budget"))</f>
        <v>Overspend</v>
      </c>
    </row>
    <row r="807" spans="1:14" hidden="1">
      <c r="A807" s="1">
        <v>45170</v>
      </c>
      <c r="B807">
        <v>9</v>
      </c>
      <c r="C807" t="s">
        <v>46</v>
      </c>
      <c r="D807" t="s">
        <v>47</v>
      </c>
      <c r="E807">
        <v>2023</v>
      </c>
      <c r="F807" t="s">
        <v>13</v>
      </c>
      <c r="G807" t="s">
        <v>20</v>
      </c>
      <c r="H807" t="s">
        <v>17</v>
      </c>
      <c r="I807" t="s">
        <v>16</v>
      </c>
      <c r="J807">
        <v>17296.259999999998</v>
      </c>
      <c r="K807">
        <v>19914.259999999998</v>
      </c>
      <c r="L807" s="20">
        <f>tbl_Budget[[#This Row],[Actual]]-tbl_Budget[[#This Row],[Budget]]</f>
        <v>2618</v>
      </c>
      <c r="M807" s="3">
        <f>tbl_Budget[[#This Row],[Variance]]/tbl_Budget[[#This Row],[Budget]]</f>
        <v>0.15136220200205133</v>
      </c>
      <c r="N807" t="str">
        <f>IF(tbl_Budget[[#This Row],[Variance_%]]&gt;0.05,"Overspend",IF(tbl_Budget[[#This Row],[Variance_%]]&lt;-0.05,"Underspend","On Budget"))</f>
        <v>Overspend</v>
      </c>
    </row>
    <row r="808" spans="1:14" hidden="1">
      <c r="A808" s="1">
        <v>45170</v>
      </c>
      <c r="B808">
        <v>9</v>
      </c>
      <c r="C808" t="s">
        <v>46</v>
      </c>
      <c r="D808" t="s">
        <v>47</v>
      </c>
      <c r="E808">
        <v>2023</v>
      </c>
      <c r="F808" t="s">
        <v>13</v>
      </c>
      <c r="G808" t="s">
        <v>20</v>
      </c>
      <c r="H808" t="s">
        <v>18</v>
      </c>
      <c r="I808" t="s">
        <v>16</v>
      </c>
      <c r="J808">
        <v>17369.939999999999</v>
      </c>
      <c r="K808">
        <v>20172.39</v>
      </c>
      <c r="L808" s="20">
        <f>tbl_Budget[[#This Row],[Actual]]-tbl_Budget[[#This Row],[Budget]]</f>
        <v>2802.4500000000007</v>
      </c>
      <c r="M808" s="3">
        <f>tbl_Budget[[#This Row],[Variance]]/tbl_Budget[[#This Row],[Budget]]</f>
        <v>0.16133907198297753</v>
      </c>
      <c r="N808" t="str">
        <f>IF(tbl_Budget[[#This Row],[Variance_%]]&gt;0.05,"Overspend",IF(tbl_Budget[[#This Row],[Variance_%]]&lt;-0.05,"Underspend","On Budget"))</f>
        <v>Overspend</v>
      </c>
    </row>
    <row r="809" spans="1:14" hidden="1">
      <c r="A809" s="1">
        <v>45170</v>
      </c>
      <c r="B809">
        <v>9</v>
      </c>
      <c r="C809" t="s">
        <v>46</v>
      </c>
      <c r="D809" t="s">
        <v>47</v>
      </c>
      <c r="E809">
        <v>2023</v>
      </c>
      <c r="F809" t="s">
        <v>13</v>
      </c>
      <c r="G809" t="s">
        <v>20</v>
      </c>
      <c r="H809" t="s">
        <v>19</v>
      </c>
      <c r="I809" t="s">
        <v>16</v>
      </c>
      <c r="J809">
        <v>19044.71</v>
      </c>
      <c r="K809">
        <v>21160.34</v>
      </c>
      <c r="L809" s="20">
        <f>tbl_Budget[[#This Row],[Actual]]-tbl_Budget[[#This Row],[Budget]]</f>
        <v>2115.630000000001</v>
      </c>
      <c r="M809" s="3">
        <f>tbl_Budget[[#This Row],[Variance]]/tbl_Budget[[#This Row],[Budget]]</f>
        <v>0.11108754084467556</v>
      </c>
      <c r="N809" t="str">
        <f>IF(tbl_Budget[[#This Row],[Variance_%]]&gt;0.05,"Overspend",IF(tbl_Budget[[#This Row],[Variance_%]]&lt;-0.05,"Underspend","On Budget"))</f>
        <v>Overspend</v>
      </c>
    </row>
    <row r="810" spans="1:14">
      <c r="A810" s="1">
        <v>45170</v>
      </c>
      <c r="B810">
        <v>9</v>
      </c>
      <c r="C810" t="s">
        <v>46</v>
      </c>
      <c r="D810" t="s">
        <v>47</v>
      </c>
      <c r="E810">
        <v>2023</v>
      </c>
      <c r="F810" t="s">
        <v>13</v>
      </c>
      <c r="G810" t="s">
        <v>21</v>
      </c>
      <c r="H810" t="s">
        <v>15</v>
      </c>
      <c r="I810" t="s">
        <v>16</v>
      </c>
      <c r="J810">
        <v>10032.23</v>
      </c>
      <c r="K810">
        <v>15640.79</v>
      </c>
      <c r="L810" s="20">
        <f>tbl_Budget[[#This Row],[Actual]]-tbl_Budget[[#This Row],[Budget]]</f>
        <v>5608.5600000000013</v>
      </c>
      <c r="M810" s="3">
        <f>tbl_Budget[[#This Row],[Variance]]/tbl_Budget[[#This Row],[Budget]]</f>
        <v>0.55905416841519795</v>
      </c>
      <c r="N810" t="str">
        <f>IF(tbl_Budget[[#This Row],[Variance_%]]&gt;0.05,"Overspend",IF(tbl_Budget[[#This Row],[Variance_%]]&lt;-0.05,"Underspend","On Budget"))</f>
        <v>Overspend</v>
      </c>
    </row>
    <row r="811" spans="1:14">
      <c r="A811" s="1">
        <v>45170</v>
      </c>
      <c r="B811">
        <v>9</v>
      </c>
      <c r="C811" t="s">
        <v>46</v>
      </c>
      <c r="D811" t="s">
        <v>47</v>
      </c>
      <c r="E811">
        <v>2023</v>
      </c>
      <c r="F811" t="s">
        <v>13</v>
      </c>
      <c r="G811" t="s">
        <v>21</v>
      </c>
      <c r="H811" t="s">
        <v>17</v>
      </c>
      <c r="I811" t="s">
        <v>16</v>
      </c>
      <c r="J811">
        <v>9760.51</v>
      </c>
      <c r="K811">
        <v>14535.85</v>
      </c>
      <c r="L811" s="20">
        <f>tbl_Budget[[#This Row],[Actual]]-tbl_Budget[[#This Row],[Budget]]</f>
        <v>4775.34</v>
      </c>
      <c r="M811" s="3">
        <f>tbl_Budget[[#This Row],[Variance]]/tbl_Budget[[#This Row],[Budget]]</f>
        <v>0.48925107397051998</v>
      </c>
      <c r="N811" t="str">
        <f>IF(tbl_Budget[[#This Row],[Variance_%]]&gt;0.05,"Overspend",IF(tbl_Budget[[#This Row],[Variance_%]]&lt;-0.05,"Underspend","On Budget"))</f>
        <v>Overspend</v>
      </c>
    </row>
    <row r="812" spans="1:14">
      <c r="A812" s="1">
        <v>45170</v>
      </c>
      <c r="B812">
        <v>9</v>
      </c>
      <c r="C812" t="s">
        <v>46</v>
      </c>
      <c r="D812" t="s">
        <v>47</v>
      </c>
      <c r="E812">
        <v>2023</v>
      </c>
      <c r="F812" t="s">
        <v>13</v>
      </c>
      <c r="G812" t="s">
        <v>21</v>
      </c>
      <c r="H812" t="s">
        <v>18</v>
      </c>
      <c r="I812" t="s">
        <v>16</v>
      </c>
      <c r="J812">
        <v>10038.129999999999</v>
      </c>
      <c r="K812">
        <v>14810.36</v>
      </c>
      <c r="L812" s="20">
        <f>tbl_Budget[[#This Row],[Actual]]-tbl_Budget[[#This Row],[Budget]]</f>
        <v>4772.2300000000014</v>
      </c>
      <c r="M812" s="3">
        <f>tbl_Budget[[#This Row],[Variance]]/tbl_Budget[[#This Row],[Budget]]</f>
        <v>0.47541026067604242</v>
      </c>
      <c r="N812" t="str">
        <f>IF(tbl_Budget[[#This Row],[Variance_%]]&gt;0.05,"Overspend",IF(tbl_Budget[[#This Row],[Variance_%]]&lt;-0.05,"Underspend","On Budget"))</f>
        <v>Overspend</v>
      </c>
    </row>
    <row r="813" spans="1:14">
      <c r="A813" s="1">
        <v>45170</v>
      </c>
      <c r="B813">
        <v>9</v>
      </c>
      <c r="C813" t="s">
        <v>46</v>
      </c>
      <c r="D813" t="s">
        <v>47</v>
      </c>
      <c r="E813">
        <v>2023</v>
      </c>
      <c r="F813" t="s">
        <v>13</v>
      </c>
      <c r="G813" t="s">
        <v>21</v>
      </c>
      <c r="H813" t="s">
        <v>19</v>
      </c>
      <c r="I813" t="s">
        <v>16</v>
      </c>
      <c r="J813">
        <v>10371.77</v>
      </c>
      <c r="K813">
        <v>15242.15</v>
      </c>
      <c r="L813" s="20">
        <f>tbl_Budget[[#This Row],[Actual]]-tbl_Budget[[#This Row],[Budget]]</f>
        <v>4870.3799999999992</v>
      </c>
      <c r="M813" s="3">
        <f>tbl_Budget[[#This Row],[Variance]]/tbl_Budget[[#This Row],[Budget]]</f>
        <v>0.46958040912978199</v>
      </c>
      <c r="N813" t="str">
        <f>IF(tbl_Budget[[#This Row],[Variance_%]]&gt;0.05,"Overspend",IF(tbl_Budget[[#This Row],[Variance_%]]&lt;-0.05,"Underspend","On Budget"))</f>
        <v>Overspend</v>
      </c>
    </row>
    <row r="814" spans="1:14" hidden="1">
      <c r="A814" s="1">
        <v>45170</v>
      </c>
      <c r="B814">
        <v>9</v>
      </c>
      <c r="C814" t="s">
        <v>46</v>
      </c>
      <c r="D814" t="s">
        <v>47</v>
      </c>
      <c r="E814">
        <v>2023</v>
      </c>
      <c r="F814" t="s">
        <v>13</v>
      </c>
      <c r="G814" t="s">
        <v>22</v>
      </c>
      <c r="H814" t="s">
        <v>15</v>
      </c>
      <c r="I814" t="s">
        <v>16</v>
      </c>
      <c r="J814">
        <v>7937.79</v>
      </c>
      <c r="K814">
        <v>8847.66</v>
      </c>
      <c r="L814" s="20">
        <f>tbl_Budget[[#This Row],[Actual]]-tbl_Budget[[#This Row],[Budget]]</f>
        <v>909.86999999999989</v>
      </c>
      <c r="M814" s="3">
        <f>tbl_Budget[[#This Row],[Variance]]/tbl_Budget[[#This Row],[Budget]]</f>
        <v>0.11462510346078693</v>
      </c>
      <c r="N814" t="str">
        <f>IF(tbl_Budget[[#This Row],[Variance_%]]&gt;0.05,"Overspend",IF(tbl_Budget[[#This Row],[Variance_%]]&lt;-0.05,"Underspend","On Budget"))</f>
        <v>Overspend</v>
      </c>
    </row>
    <row r="815" spans="1:14" hidden="1">
      <c r="A815" s="1">
        <v>45170</v>
      </c>
      <c r="B815">
        <v>9</v>
      </c>
      <c r="C815" t="s">
        <v>46</v>
      </c>
      <c r="D815" t="s">
        <v>47</v>
      </c>
      <c r="E815">
        <v>2023</v>
      </c>
      <c r="F815" t="s">
        <v>13</v>
      </c>
      <c r="G815" t="s">
        <v>22</v>
      </c>
      <c r="H815" t="s">
        <v>17</v>
      </c>
      <c r="I815" t="s">
        <v>16</v>
      </c>
      <c r="J815">
        <v>7476.87</v>
      </c>
      <c r="K815">
        <v>8813.86</v>
      </c>
      <c r="L815" s="20">
        <f>tbl_Budget[[#This Row],[Actual]]-tbl_Budget[[#This Row],[Budget]]</f>
        <v>1336.9900000000007</v>
      </c>
      <c r="M815" s="3">
        <f>tbl_Budget[[#This Row],[Variance]]/tbl_Budget[[#This Row],[Budget]]</f>
        <v>0.17881680435797342</v>
      </c>
      <c r="N815" t="str">
        <f>IF(tbl_Budget[[#This Row],[Variance_%]]&gt;0.05,"Overspend",IF(tbl_Budget[[#This Row],[Variance_%]]&lt;-0.05,"Underspend","On Budget"))</f>
        <v>Overspend</v>
      </c>
    </row>
    <row r="816" spans="1:14" hidden="1">
      <c r="A816" s="1">
        <v>45170</v>
      </c>
      <c r="B816">
        <v>9</v>
      </c>
      <c r="C816" t="s">
        <v>46</v>
      </c>
      <c r="D816" t="s">
        <v>47</v>
      </c>
      <c r="E816">
        <v>2023</v>
      </c>
      <c r="F816" t="s">
        <v>13</v>
      </c>
      <c r="G816" t="s">
        <v>22</v>
      </c>
      <c r="H816" t="s">
        <v>18</v>
      </c>
      <c r="I816" t="s">
        <v>16</v>
      </c>
      <c r="J816">
        <v>7830.17</v>
      </c>
      <c r="K816">
        <v>9169.7800000000007</v>
      </c>
      <c r="L816" s="20">
        <f>tbl_Budget[[#This Row],[Actual]]-tbl_Budget[[#This Row],[Budget]]</f>
        <v>1339.6100000000006</v>
      </c>
      <c r="M816" s="3">
        <f>tbl_Budget[[#This Row],[Variance]]/tbl_Budget[[#This Row],[Budget]]</f>
        <v>0.17108313101758973</v>
      </c>
      <c r="N816" t="str">
        <f>IF(tbl_Budget[[#This Row],[Variance_%]]&gt;0.05,"Overspend",IF(tbl_Budget[[#This Row],[Variance_%]]&lt;-0.05,"Underspend","On Budget"))</f>
        <v>Overspend</v>
      </c>
    </row>
    <row r="817" spans="1:14" hidden="1">
      <c r="A817" s="1">
        <v>45170</v>
      </c>
      <c r="B817">
        <v>9</v>
      </c>
      <c r="C817" t="s">
        <v>46</v>
      </c>
      <c r="D817" t="s">
        <v>47</v>
      </c>
      <c r="E817">
        <v>2023</v>
      </c>
      <c r="F817" t="s">
        <v>13</v>
      </c>
      <c r="G817" t="s">
        <v>22</v>
      </c>
      <c r="H817" t="s">
        <v>19</v>
      </c>
      <c r="I817" t="s">
        <v>16</v>
      </c>
      <c r="J817">
        <v>8297.25</v>
      </c>
      <c r="K817">
        <v>9903.34</v>
      </c>
      <c r="L817" s="20">
        <f>tbl_Budget[[#This Row],[Actual]]-tbl_Budget[[#This Row],[Budget]]</f>
        <v>1606.0900000000001</v>
      </c>
      <c r="M817" s="3">
        <f>tbl_Budget[[#This Row],[Variance]]/tbl_Budget[[#This Row],[Budget]]</f>
        <v>0.19356895356895359</v>
      </c>
      <c r="N817" t="str">
        <f>IF(tbl_Budget[[#This Row],[Variance_%]]&gt;0.05,"Overspend",IF(tbl_Budget[[#This Row],[Variance_%]]&lt;-0.05,"Underspend","On Budget"))</f>
        <v>Overspend</v>
      </c>
    </row>
    <row r="818" spans="1:14" hidden="1">
      <c r="A818" s="1">
        <v>45170</v>
      </c>
      <c r="B818">
        <v>9</v>
      </c>
      <c r="C818" t="s">
        <v>46</v>
      </c>
      <c r="D818" t="s">
        <v>47</v>
      </c>
      <c r="E818">
        <v>2023</v>
      </c>
      <c r="F818" t="s">
        <v>13</v>
      </c>
      <c r="G818" t="s">
        <v>23</v>
      </c>
      <c r="H818" t="s">
        <v>15</v>
      </c>
      <c r="I818" t="s">
        <v>16</v>
      </c>
      <c r="J818">
        <v>7942.14</v>
      </c>
      <c r="K818">
        <v>9542.32</v>
      </c>
      <c r="L818" s="20">
        <f>tbl_Budget[[#This Row],[Actual]]-tbl_Budget[[#This Row],[Budget]]</f>
        <v>1600.1799999999994</v>
      </c>
      <c r="M818" s="3">
        <f>tbl_Budget[[#This Row],[Variance]]/tbl_Budget[[#This Row],[Budget]]</f>
        <v>0.20147970194431214</v>
      </c>
      <c r="N818" t="str">
        <f>IF(tbl_Budget[[#This Row],[Variance_%]]&gt;0.05,"Overspend",IF(tbl_Budget[[#This Row],[Variance_%]]&lt;-0.05,"Underspend","On Budget"))</f>
        <v>Overspend</v>
      </c>
    </row>
    <row r="819" spans="1:14" hidden="1">
      <c r="A819" s="1">
        <v>45170</v>
      </c>
      <c r="B819">
        <v>9</v>
      </c>
      <c r="C819" t="s">
        <v>46</v>
      </c>
      <c r="D819" t="s">
        <v>47</v>
      </c>
      <c r="E819">
        <v>2023</v>
      </c>
      <c r="F819" t="s">
        <v>13</v>
      </c>
      <c r="G819" t="s">
        <v>23</v>
      </c>
      <c r="H819" t="s">
        <v>17</v>
      </c>
      <c r="I819" t="s">
        <v>16</v>
      </c>
      <c r="J819">
        <v>7776.16</v>
      </c>
      <c r="K819">
        <v>8931.43</v>
      </c>
      <c r="L819" s="20">
        <f>tbl_Budget[[#This Row],[Actual]]-tbl_Budget[[#This Row],[Budget]]</f>
        <v>1155.2700000000004</v>
      </c>
      <c r="M819" s="3">
        <f>tbl_Budget[[#This Row],[Variance]]/tbl_Budget[[#This Row],[Budget]]</f>
        <v>0.14856561593382858</v>
      </c>
      <c r="N819" t="str">
        <f>IF(tbl_Budget[[#This Row],[Variance_%]]&gt;0.05,"Overspend",IF(tbl_Budget[[#This Row],[Variance_%]]&lt;-0.05,"Underspend","On Budget"))</f>
        <v>Overspend</v>
      </c>
    </row>
    <row r="820" spans="1:14" hidden="1">
      <c r="A820" s="1">
        <v>45170</v>
      </c>
      <c r="B820">
        <v>9</v>
      </c>
      <c r="C820" t="s">
        <v>46</v>
      </c>
      <c r="D820" t="s">
        <v>47</v>
      </c>
      <c r="E820">
        <v>2023</v>
      </c>
      <c r="F820" t="s">
        <v>13</v>
      </c>
      <c r="G820" t="s">
        <v>23</v>
      </c>
      <c r="H820" t="s">
        <v>18</v>
      </c>
      <c r="I820" t="s">
        <v>16</v>
      </c>
      <c r="J820">
        <v>8076.21</v>
      </c>
      <c r="K820">
        <v>9199.94</v>
      </c>
      <c r="L820" s="20">
        <f>tbl_Budget[[#This Row],[Actual]]-tbl_Budget[[#This Row],[Budget]]</f>
        <v>1123.7300000000005</v>
      </c>
      <c r="M820" s="3">
        <f>tbl_Budget[[#This Row],[Variance]]/tbl_Budget[[#This Row],[Budget]]</f>
        <v>0.13914076033188841</v>
      </c>
      <c r="N820" t="str">
        <f>IF(tbl_Budget[[#This Row],[Variance_%]]&gt;0.05,"Overspend",IF(tbl_Budget[[#This Row],[Variance_%]]&lt;-0.05,"Underspend","On Budget"))</f>
        <v>Overspend</v>
      </c>
    </row>
    <row r="821" spans="1:14" hidden="1">
      <c r="A821" s="1">
        <v>45170</v>
      </c>
      <c r="B821">
        <v>9</v>
      </c>
      <c r="C821" t="s">
        <v>46</v>
      </c>
      <c r="D821" t="s">
        <v>47</v>
      </c>
      <c r="E821">
        <v>2023</v>
      </c>
      <c r="F821" t="s">
        <v>13</v>
      </c>
      <c r="G821" t="s">
        <v>23</v>
      </c>
      <c r="H821" t="s">
        <v>19</v>
      </c>
      <c r="I821" t="s">
        <v>16</v>
      </c>
      <c r="J821">
        <v>8572.14</v>
      </c>
      <c r="K821">
        <v>10311.57</v>
      </c>
      <c r="L821" s="20">
        <f>tbl_Budget[[#This Row],[Actual]]-tbl_Budget[[#This Row],[Budget]]</f>
        <v>1739.4300000000003</v>
      </c>
      <c r="M821" s="3">
        <f>tbl_Budget[[#This Row],[Variance]]/tbl_Budget[[#This Row],[Budget]]</f>
        <v>0.20291665791739291</v>
      </c>
      <c r="N821" t="str">
        <f>IF(tbl_Budget[[#This Row],[Variance_%]]&gt;0.05,"Overspend",IF(tbl_Budget[[#This Row],[Variance_%]]&lt;-0.05,"Underspend","On Budget"))</f>
        <v>Overspend</v>
      </c>
    </row>
    <row r="822" spans="1:14" hidden="1">
      <c r="A822" s="1">
        <v>45170</v>
      </c>
      <c r="B822">
        <v>9</v>
      </c>
      <c r="C822" t="s">
        <v>46</v>
      </c>
      <c r="D822" t="s">
        <v>47</v>
      </c>
      <c r="E822">
        <v>2023</v>
      </c>
      <c r="F822" t="s">
        <v>24</v>
      </c>
      <c r="G822" t="s">
        <v>14</v>
      </c>
      <c r="H822" t="s">
        <v>15</v>
      </c>
      <c r="I822" t="s">
        <v>25</v>
      </c>
      <c r="J822">
        <v>49492.06</v>
      </c>
      <c r="K822">
        <v>42571.87</v>
      </c>
      <c r="L822" s="20">
        <f>tbl_Budget[[#This Row],[Actual]]-tbl_Budget[[#This Row],[Budget]]</f>
        <v>-6920.1899999999951</v>
      </c>
      <c r="M822" s="3">
        <f>tbl_Budget[[#This Row],[Variance]]/tbl_Budget[[#This Row],[Budget]]</f>
        <v>-0.13982424655591211</v>
      </c>
      <c r="N822" t="str">
        <f>IF(tbl_Budget[[#This Row],[Variance_%]]&gt;0.05,"Overspend",IF(tbl_Budget[[#This Row],[Variance_%]]&lt;-0.05,"Underspend","On Budget"))</f>
        <v>Underspend</v>
      </c>
    </row>
    <row r="823" spans="1:14" hidden="1">
      <c r="A823" s="1">
        <v>45170</v>
      </c>
      <c r="B823">
        <v>9</v>
      </c>
      <c r="C823" t="s">
        <v>46</v>
      </c>
      <c r="D823" t="s">
        <v>47</v>
      </c>
      <c r="E823">
        <v>2023</v>
      </c>
      <c r="F823" t="s">
        <v>24</v>
      </c>
      <c r="G823" t="s">
        <v>14</v>
      </c>
      <c r="H823" t="s">
        <v>17</v>
      </c>
      <c r="I823" t="s">
        <v>25</v>
      </c>
      <c r="J823">
        <v>48979.16</v>
      </c>
      <c r="K823">
        <v>43058.36</v>
      </c>
      <c r="L823" s="20">
        <f>tbl_Budget[[#This Row],[Actual]]-tbl_Budget[[#This Row],[Budget]]</f>
        <v>-5920.8000000000029</v>
      </c>
      <c r="M823" s="3">
        <f>tbl_Budget[[#This Row],[Variance]]/tbl_Budget[[#This Row],[Budget]]</f>
        <v>-0.12088406579451347</v>
      </c>
      <c r="N823" t="str">
        <f>IF(tbl_Budget[[#This Row],[Variance_%]]&gt;0.05,"Overspend",IF(tbl_Budget[[#This Row],[Variance_%]]&lt;-0.05,"Underspend","On Budget"))</f>
        <v>Underspend</v>
      </c>
    </row>
    <row r="824" spans="1:14" hidden="1">
      <c r="A824" s="1">
        <v>45170</v>
      </c>
      <c r="B824">
        <v>9</v>
      </c>
      <c r="C824" t="s">
        <v>46</v>
      </c>
      <c r="D824" t="s">
        <v>47</v>
      </c>
      <c r="E824">
        <v>2023</v>
      </c>
      <c r="F824" t="s">
        <v>24</v>
      </c>
      <c r="G824" t="s">
        <v>14</v>
      </c>
      <c r="H824" t="s">
        <v>18</v>
      </c>
      <c r="I824" t="s">
        <v>25</v>
      </c>
      <c r="J824">
        <v>48592.31</v>
      </c>
      <c r="K824">
        <v>42001.21</v>
      </c>
      <c r="L824" s="20">
        <f>tbl_Budget[[#This Row],[Actual]]-tbl_Budget[[#This Row],[Budget]]</f>
        <v>-6591.0999999999985</v>
      </c>
      <c r="M824" s="3">
        <f>tbl_Budget[[#This Row],[Variance]]/tbl_Budget[[#This Row],[Budget]]</f>
        <v>-0.1356408040696151</v>
      </c>
      <c r="N824" t="str">
        <f>IF(tbl_Budget[[#This Row],[Variance_%]]&gt;0.05,"Overspend",IF(tbl_Budget[[#This Row],[Variance_%]]&lt;-0.05,"Underspend","On Budget"))</f>
        <v>Underspend</v>
      </c>
    </row>
    <row r="825" spans="1:14" hidden="1">
      <c r="A825" s="1">
        <v>45170</v>
      </c>
      <c r="B825">
        <v>9</v>
      </c>
      <c r="C825" t="s">
        <v>46</v>
      </c>
      <c r="D825" t="s">
        <v>47</v>
      </c>
      <c r="E825">
        <v>2023</v>
      </c>
      <c r="F825" t="s">
        <v>24</v>
      </c>
      <c r="G825" t="s">
        <v>14</v>
      </c>
      <c r="H825" t="s">
        <v>19</v>
      </c>
      <c r="I825" t="s">
        <v>25</v>
      </c>
      <c r="J825">
        <v>50849.9</v>
      </c>
      <c r="K825">
        <v>44109.13</v>
      </c>
      <c r="L825" s="20">
        <f>tbl_Budget[[#This Row],[Actual]]-tbl_Budget[[#This Row],[Budget]]</f>
        <v>-6740.7700000000041</v>
      </c>
      <c r="M825" s="3">
        <f>tbl_Budget[[#This Row],[Variance]]/tbl_Budget[[#This Row],[Budget]]</f>
        <v>-0.13256210926668496</v>
      </c>
      <c r="N825" t="str">
        <f>IF(tbl_Budget[[#This Row],[Variance_%]]&gt;0.05,"Overspend",IF(tbl_Budget[[#This Row],[Variance_%]]&lt;-0.05,"Underspend","On Budget"))</f>
        <v>Underspend</v>
      </c>
    </row>
    <row r="826" spans="1:14" hidden="1">
      <c r="A826" s="1">
        <v>45170</v>
      </c>
      <c r="B826">
        <v>9</v>
      </c>
      <c r="C826" t="s">
        <v>46</v>
      </c>
      <c r="D826" t="s">
        <v>47</v>
      </c>
      <c r="E826">
        <v>2023</v>
      </c>
      <c r="F826" t="s">
        <v>24</v>
      </c>
      <c r="G826" t="s">
        <v>20</v>
      </c>
      <c r="H826" t="s">
        <v>15</v>
      </c>
      <c r="I826" t="s">
        <v>25</v>
      </c>
      <c r="J826">
        <v>27120.07</v>
      </c>
      <c r="K826">
        <v>23382.18</v>
      </c>
      <c r="L826" s="20">
        <f>tbl_Budget[[#This Row],[Actual]]-tbl_Budget[[#This Row],[Budget]]</f>
        <v>-3737.8899999999994</v>
      </c>
      <c r="M826" s="3">
        <f>tbl_Budget[[#This Row],[Variance]]/tbl_Budget[[#This Row],[Budget]]</f>
        <v>-0.13782744661057289</v>
      </c>
      <c r="N826" t="str">
        <f>IF(tbl_Budget[[#This Row],[Variance_%]]&gt;0.05,"Overspend",IF(tbl_Budget[[#This Row],[Variance_%]]&lt;-0.05,"Underspend","On Budget"))</f>
        <v>Underspend</v>
      </c>
    </row>
    <row r="827" spans="1:14" hidden="1">
      <c r="A827" s="1">
        <v>45170</v>
      </c>
      <c r="B827">
        <v>9</v>
      </c>
      <c r="C827" t="s">
        <v>46</v>
      </c>
      <c r="D827" t="s">
        <v>47</v>
      </c>
      <c r="E827">
        <v>2023</v>
      </c>
      <c r="F827" t="s">
        <v>24</v>
      </c>
      <c r="G827" t="s">
        <v>20</v>
      </c>
      <c r="H827" t="s">
        <v>17</v>
      </c>
      <c r="I827" t="s">
        <v>25</v>
      </c>
      <c r="J827">
        <v>25913.18</v>
      </c>
      <c r="K827">
        <v>22265.82</v>
      </c>
      <c r="L827" s="20">
        <f>tbl_Budget[[#This Row],[Actual]]-tbl_Budget[[#This Row],[Budget]]</f>
        <v>-3647.3600000000006</v>
      </c>
      <c r="M827" s="3">
        <f>tbl_Budget[[#This Row],[Variance]]/tbl_Budget[[#This Row],[Budget]]</f>
        <v>-0.14075308395187316</v>
      </c>
      <c r="N827" t="str">
        <f>IF(tbl_Budget[[#This Row],[Variance_%]]&gt;0.05,"Overspend",IF(tbl_Budget[[#This Row],[Variance_%]]&lt;-0.05,"Underspend","On Budget"))</f>
        <v>Underspend</v>
      </c>
    </row>
    <row r="828" spans="1:14" hidden="1">
      <c r="A828" s="1">
        <v>45170</v>
      </c>
      <c r="B828">
        <v>9</v>
      </c>
      <c r="C828" t="s">
        <v>46</v>
      </c>
      <c r="D828" t="s">
        <v>47</v>
      </c>
      <c r="E828">
        <v>2023</v>
      </c>
      <c r="F828" t="s">
        <v>24</v>
      </c>
      <c r="G828" t="s">
        <v>20</v>
      </c>
      <c r="H828" t="s">
        <v>18</v>
      </c>
      <c r="I828" t="s">
        <v>25</v>
      </c>
      <c r="J828">
        <v>26688.92</v>
      </c>
      <c r="K828">
        <v>23715.07</v>
      </c>
      <c r="L828" s="20">
        <f>tbl_Budget[[#This Row],[Actual]]-tbl_Budget[[#This Row],[Budget]]</f>
        <v>-2973.8499999999985</v>
      </c>
      <c r="M828" s="3">
        <f>tbl_Budget[[#This Row],[Variance]]/tbl_Budget[[#This Row],[Budget]]</f>
        <v>-0.11142638967781382</v>
      </c>
      <c r="N828" t="str">
        <f>IF(tbl_Budget[[#This Row],[Variance_%]]&gt;0.05,"Overspend",IF(tbl_Budget[[#This Row],[Variance_%]]&lt;-0.05,"Underspend","On Budget"))</f>
        <v>Underspend</v>
      </c>
    </row>
    <row r="829" spans="1:14" hidden="1">
      <c r="A829" s="1">
        <v>45170</v>
      </c>
      <c r="B829">
        <v>9</v>
      </c>
      <c r="C829" t="s">
        <v>46</v>
      </c>
      <c r="D829" t="s">
        <v>47</v>
      </c>
      <c r="E829">
        <v>2023</v>
      </c>
      <c r="F829" t="s">
        <v>24</v>
      </c>
      <c r="G829" t="s">
        <v>20</v>
      </c>
      <c r="H829" t="s">
        <v>19</v>
      </c>
      <c r="I829" t="s">
        <v>25</v>
      </c>
      <c r="J829">
        <v>28182.19</v>
      </c>
      <c r="K829">
        <v>25445.18</v>
      </c>
      <c r="L829" s="20">
        <f>tbl_Budget[[#This Row],[Actual]]-tbl_Budget[[#This Row],[Budget]]</f>
        <v>-2737.0099999999984</v>
      </c>
      <c r="M829" s="3">
        <f>tbl_Budget[[#This Row],[Variance]]/tbl_Budget[[#This Row],[Budget]]</f>
        <v>-9.711842834073571E-2</v>
      </c>
      <c r="N829" t="str">
        <f>IF(tbl_Budget[[#This Row],[Variance_%]]&gt;0.05,"Overspend",IF(tbl_Budget[[#This Row],[Variance_%]]&lt;-0.05,"Underspend","On Budget"))</f>
        <v>Underspend</v>
      </c>
    </row>
    <row r="830" spans="1:14">
      <c r="A830" s="1">
        <v>45170</v>
      </c>
      <c r="B830">
        <v>9</v>
      </c>
      <c r="C830" t="s">
        <v>46</v>
      </c>
      <c r="D830" t="s">
        <v>47</v>
      </c>
      <c r="E830">
        <v>2023</v>
      </c>
      <c r="F830" t="s">
        <v>24</v>
      </c>
      <c r="G830" t="s">
        <v>21</v>
      </c>
      <c r="H830" t="s">
        <v>15</v>
      </c>
      <c r="I830" t="s">
        <v>25</v>
      </c>
      <c r="J830">
        <v>10961.38</v>
      </c>
      <c r="K830">
        <v>13669.29</v>
      </c>
      <c r="L830" s="20">
        <f>tbl_Budget[[#This Row],[Actual]]-tbl_Budget[[#This Row],[Budget]]</f>
        <v>2707.9100000000017</v>
      </c>
      <c r="M830" s="3">
        <f>tbl_Budget[[#This Row],[Variance]]/tbl_Budget[[#This Row],[Budget]]</f>
        <v>0.24704097476777576</v>
      </c>
      <c r="N830" t="str">
        <f>IF(tbl_Budget[[#This Row],[Variance_%]]&gt;0.05,"Overspend",IF(tbl_Budget[[#This Row],[Variance_%]]&lt;-0.05,"Underspend","On Budget"))</f>
        <v>Overspend</v>
      </c>
    </row>
    <row r="831" spans="1:14">
      <c r="A831" s="1">
        <v>45170</v>
      </c>
      <c r="B831">
        <v>9</v>
      </c>
      <c r="C831" t="s">
        <v>46</v>
      </c>
      <c r="D831" t="s">
        <v>47</v>
      </c>
      <c r="E831">
        <v>2023</v>
      </c>
      <c r="F831" t="s">
        <v>24</v>
      </c>
      <c r="G831" t="s">
        <v>21</v>
      </c>
      <c r="H831" t="s">
        <v>17</v>
      </c>
      <c r="I831" t="s">
        <v>25</v>
      </c>
      <c r="J831">
        <v>10344.23</v>
      </c>
      <c r="K831">
        <v>12917.54</v>
      </c>
      <c r="L831" s="20">
        <f>tbl_Budget[[#This Row],[Actual]]-tbl_Budget[[#This Row],[Budget]]</f>
        <v>2573.3100000000013</v>
      </c>
      <c r="M831" s="3">
        <f>tbl_Budget[[#This Row],[Variance]]/tbl_Budget[[#This Row],[Budget]]</f>
        <v>0.24876767047909815</v>
      </c>
      <c r="N831" t="str">
        <f>IF(tbl_Budget[[#This Row],[Variance_%]]&gt;0.05,"Overspend",IF(tbl_Budget[[#This Row],[Variance_%]]&lt;-0.05,"Underspend","On Budget"))</f>
        <v>Overspend</v>
      </c>
    </row>
    <row r="832" spans="1:14">
      <c r="A832" s="1">
        <v>45170</v>
      </c>
      <c r="B832">
        <v>9</v>
      </c>
      <c r="C832" t="s">
        <v>46</v>
      </c>
      <c r="D832" t="s">
        <v>47</v>
      </c>
      <c r="E832">
        <v>2023</v>
      </c>
      <c r="F832" t="s">
        <v>24</v>
      </c>
      <c r="G832" t="s">
        <v>21</v>
      </c>
      <c r="H832" t="s">
        <v>18</v>
      </c>
      <c r="I832" t="s">
        <v>25</v>
      </c>
      <c r="J832">
        <v>10612.3</v>
      </c>
      <c r="K832">
        <v>12419.91</v>
      </c>
      <c r="L832" s="20">
        <f>tbl_Budget[[#This Row],[Actual]]-tbl_Budget[[#This Row],[Budget]]</f>
        <v>1807.6100000000006</v>
      </c>
      <c r="M832" s="3">
        <f>tbl_Budget[[#This Row],[Variance]]/tbl_Budget[[#This Row],[Budget]]</f>
        <v>0.17033159635517284</v>
      </c>
      <c r="N832" t="str">
        <f>IF(tbl_Budget[[#This Row],[Variance_%]]&gt;0.05,"Overspend",IF(tbl_Budget[[#This Row],[Variance_%]]&lt;-0.05,"Underspend","On Budget"))</f>
        <v>Overspend</v>
      </c>
    </row>
    <row r="833" spans="1:14">
      <c r="A833" s="1">
        <v>45170</v>
      </c>
      <c r="B833">
        <v>9</v>
      </c>
      <c r="C833" t="s">
        <v>46</v>
      </c>
      <c r="D833" t="s">
        <v>47</v>
      </c>
      <c r="E833">
        <v>2023</v>
      </c>
      <c r="F833" t="s">
        <v>24</v>
      </c>
      <c r="G833" t="s">
        <v>21</v>
      </c>
      <c r="H833" t="s">
        <v>19</v>
      </c>
      <c r="I833" t="s">
        <v>25</v>
      </c>
      <c r="J833">
        <v>11171.4</v>
      </c>
      <c r="K833">
        <v>13403.31</v>
      </c>
      <c r="L833" s="20">
        <f>tbl_Budget[[#This Row],[Actual]]-tbl_Budget[[#This Row],[Budget]]</f>
        <v>2231.91</v>
      </c>
      <c r="M833" s="3">
        <f>tbl_Budget[[#This Row],[Variance]]/tbl_Budget[[#This Row],[Budget]]</f>
        <v>0.19978785111982383</v>
      </c>
      <c r="N833" t="str">
        <f>IF(tbl_Budget[[#This Row],[Variance_%]]&gt;0.05,"Overspend",IF(tbl_Budget[[#This Row],[Variance_%]]&lt;-0.05,"Underspend","On Budget"))</f>
        <v>Overspend</v>
      </c>
    </row>
    <row r="834" spans="1:14" hidden="1">
      <c r="A834" s="1">
        <v>45170</v>
      </c>
      <c r="B834">
        <v>9</v>
      </c>
      <c r="C834" t="s">
        <v>46</v>
      </c>
      <c r="D834" t="s">
        <v>47</v>
      </c>
      <c r="E834">
        <v>2023</v>
      </c>
      <c r="F834" t="s">
        <v>24</v>
      </c>
      <c r="G834" t="s">
        <v>22</v>
      </c>
      <c r="H834" t="s">
        <v>15</v>
      </c>
      <c r="I834" t="s">
        <v>25</v>
      </c>
      <c r="J834">
        <v>8374.26</v>
      </c>
      <c r="K834">
        <v>7343.63</v>
      </c>
      <c r="L834" s="20">
        <f>tbl_Budget[[#This Row],[Actual]]-tbl_Budget[[#This Row],[Budget]]</f>
        <v>-1030.6300000000001</v>
      </c>
      <c r="M834" s="3">
        <f>tbl_Budget[[#This Row],[Variance]]/tbl_Budget[[#This Row],[Budget]]</f>
        <v>-0.12307117285587026</v>
      </c>
      <c r="N834" t="str">
        <f>IF(tbl_Budget[[#This Row],[Variance_%]]&gt;0.05,"Overspend",IF(tbl_Budget[[#This Row],[Variance_%]]&lt;-0.05,"Underspend","On Budget"))</f>
        <v>Underspend</v>
      </c>
    </row>
    <row r="835" spans="1:14" hidden="1">
      <c r="A835" s="1">
        <v>45170</v>
      </c>
      <c r="B835">
        <v>9</v>
      </c>
      <c r="C835" t="s">
        <v>46</v>
      </c>
      <c r="D835" t="s">
        <v>47</v>
      </c>
      <c r="E835">
        <v>2023</v>
      </c>
      <c r="F835" t="s">
        <v>24</v>
      </c>
      <c r="G835" t="s">
        <v>22</v>
      </c>
      <c r="H835" t="s">
        <v>17</v>
      </c>
      <c r="I835" t="s">
        <v>25</v>
      </c>
      <c r="J835">
        <v>7798.49</v>
      </c>
      <c r="K835">
        <v>6725.53</v>
      </c>
      <c r="L835" s="20">
        <f>tbl_Budget[[#This Row],[Actual]]-tbl_Budget[[#This Row],[Budget]]</f>
        <v>-1072.96</v>
      </c>
      <c r="M835" s="3">
        <f>tbl_Budget[[#This Row],[Variance]]/tbl_Budget[[#This Row],[Budget]]</f>
        <v>-0.13758560952184334</v>
      </c>
      <c r="N835" t="str">
        <f>IF(tbl_Budget[[#This Row],[Variance_%]]&gt;0.05,"Overspend",IF(tbl_Budget[[#This Row],[Variance_%]]&lt;-0.05,"Underspend","On Budget"))</f>
        <v>Underspend</v>
      </c>
    </row>
    <row r="836" spans="1:14" hidden="1">
      <c r="A836" s="1">
        <v>45170</v>
      </c>
      <c r="B836">
        <v>9</v>
      </c>
      <c r="C836" t="s">
        <v>46</v>
      </c>
      <c r="D836" t="s">
        <v>47</v>
      </c>
      <c r="E836">
        <v>2023</v>
      </c>
      <c r="F836" t="s">
        <v>24</v>
      </c>
      <c r="G836" t="s">
        <v>22</v>
      </c>
      <c r="H836" t="s">
        <v>18</v>
      </c>
      <c r="I836" t="s">
        <v>25</v>
      </c>
      <c r="J836">
        <v>8138.02</v>
      </c>
      <c r="K836">
        <v>7140.94</v>
      </c>
      <c r="L836" s="20">
        <f>tbl_Budget[[#This Row],[Actual]]-tbl_Budget[[#This Row],[Budget]]</f>
        <v>-997.08000000000084</v>
      </c>
      <c r="M836" s="3">
        <f>tbl_Budget[[#This Row],[Variance]]/tbl_Budget[[#This Row],[Budget]]</f>
        <v>-0.12252120294617128</v>
      </c>
      <c r="N836" t="str">
        <f>IF(tbl_Budget[[#This Row],[Variance_%]]&gt;0.05,"Overspend",IF(tbl_Budget[[#This Row],[Variance_%]]&lt;-0.05,"Underspend","On Budget"))</f>
        <v>Underspend</v>
      </c>
    </row>
    <row r="837" spans="1:14" hidden="1">
      <c r="A837" s="1">
        <v>45170</v>
      </c>
      <c r="B837">
        <v>9</v>
      </c>
      <c r="C837" t="s">
        <v>46</v>
      </c>
      <c r="D837" t="s">
        <v>47</v>
      </c>
      <c r="E837">
        <v>2023</v>
      </c>
      <c r="F837" t="s">
        <v>24</v>
      </c>
      <c r="G837" t="s">
        <v>22</v>
      </c>
      <c r="H837" t="s">
        <v>19</v>
      </c>
      <c r="I837" t="s">
        <v>25</v>
      </c>
      <c r="J837">
        <v>8919.6200000000008</v>
      </c>
      <c r="K837">
        <v>7738.6</v>
      </c>
      <c r="L837" s="20">
        <f>tbl_Budget[[#This Row],[Actual]]-tbl_Budget[[#This Row],[Budget]]</f>
        <v>-1181.0200000000004</v>
      </c>
      <c r="M837" s="3">
        <f>tbl_Budget[[#This Row],[Variance]]/tbl_Budget[[#This Row],[Budget]]</f>
        <v>-0.1324069859478319</v>
      </c>
      <c r="N837" t="str">
        <f>IF(tbl_Budget[[#This Row],[Variance_%]]&gt;0.05,"Overspend",IF(tbl_Budget[[#This Row],[Variance_%]]&lt;-0.05,"Underspend","On Budget"))</f>
        <v>Underspend</v>
      </c>
    </row>
    <row r="838" spans="1:14" hidden="1">
      <c r="A838" s="1">
        <v>45170</v>
      </c>
      <c r="B838">
        <v>9</v>
      </c>
      <c r="C838" t="s">
        <v>46</v>
      </c>
      <c r="D838" t="s">
        <v>47</v>
      </c>
      <c r="E838">
        <v>2023</v>
      </c>
      <c r="F838" t="s">
        <v>24</v>
      </c>
      <c r="G838" t="s">
        <v>23</v>
      </c>
      <c r="H838" t="s">
        <v>15</v>
      </c>
      <c r="I838" t="s">
        <v>25</v>
      </c>
      <c r="J838">
        <v>6961.88</v>
      </c>
      <c r="K838">
        <v>6004.57</v>
      </c>
      <c r="L838" s="20">
        <f>tbl_Budget[[#This Row],[Actual]]-tbl_Budget[[#This Row],[Budget]]</f>
        <v>-957.3100000000004</v>
      </c>
      <c r="M838" s="3">
        <f>tbl_Budget[[#This Row],[Variance]]/tbl_Budget[[#This Row],[Budget]]</f>
        <v>-0.13750739742713181</v>
      </c>
      <c r="N838" t="str">
        <f>IF(tbl_Budget[[#This Row],[Variance_%]]&gt;0.05,"Overspend",IF(tbl_Budget[[#This Row],[Variance_%]]&lt;-0.05,"Underspend","On Budget"))</f>
        <v>Underspend</v>
      </c>
    </row>
    <row r="839" spans="1:14" hidden="1">
      <c r="A839" s="1">
        <v>45170</v>
      </c>
      <c r="B839">
        <v>9</v>
      </c>
      <c r="C839" t="s">
        <v>46</v>
      </c>
      <c r="D839" t="s">
        <v>47</v>
      </c>
      <c r="E839">
        <v>2023</v>
      </c>
      <c r="F839" t="s">
        <v>24</v>
      </c>
      <c r="G839" t="s">
        <v>23</v>
      </c>
      <c r="H839" t="s">
        <v>17</v>
      </c>
      <c r="I839" t="s">
        <v>25</v>
      </c>
      <c r="J839">
        <v>6626.36</v>
      </c>
      <c r="K839">
        <v>5857.87</v>
      </c>
      <c r="L839" s="20">
        <f>tbl_Budget[[#This Row],[Actual]]-tbl_Budget[[#This Row],[Budget]]</f>
        <v>-768.48999999999978</v>
      </c>
      <c r="M839" s="3">
        <f>tbl_Budget[[#This Row],[Variance]]/tbl_Budget[[#This Row],[Budget]]</f>
        <v>-0.11597468293301297</v>
      </c>
      <c r="N839" t="str">
        <f>IF(tbl_Budget[[#This Row],[Variance_%]]&gt;0.05,"Overspend",IF(tbl_Budget[[#This Row],[Variance_%]]&lt;-0.05,"Underspend","On Budget"))</f>
        <v>Underspend</v>
      </c>
    </row>
    <row r="840" spans="1:14" hidden="1">
      <c r="A840" s="1">
        <v>45170</v>
      </c>
      <c r="B840">
        <v>9</v>
      </c>
      <c r="C840" t="s">
        <v>46</v>
      </c>
      <c r="D840" t="s">
        <v>47</v>
      </c>
      <c r="E840">
        <v>2023</v>
      </c>
      <c r="F840" t="s">
        <v>24</v>
      </c>
      <c r="G840" t="s">
        <v>23</v>
      </c>
      <c r="H840" t="s">
        <v>18</v>
      </c>
      <c r="I840" t="s">
        <v>25</v>
      </c>
      <c r="J840">
        <v>7060.37</v>
      </c>
      <c r="K840">
        <v>6196.53</v>
      </c>
      <c r="L840" s="20">
        <f>tbl_Budget[[#This Row],[Actual]]-tbl_Budget[[#This Row],[Budget]]</f>
        <v>-863.84000000000015</v>
      </c>
      <c r="M840" s="3">
        <f>tbl_Budget[[#This Row],[Variance]]/tbl_Budget[[#This Row],[Budget]]</f>
        <v>-0.12235052837174258</v>
      </c>
      <c r="N840" t="str">
        <f>IF(tbl_Budget[[#This Row],[Variance_%]]&gt;0.05,"Overspend",IF(tbl_Budget[[#This Row],[Variance_%]]&lt;-0.05,"Underspend","On Budget"))</f>
        <v>Underspend</v>
      </c>
    </row>
    <row r="841" spans="1:14" hidden="1">
      <c r="A841" s="1">
        <v>45170</v>
      </c>
      <c r="B841">
        <v>9</v>
      </c>
      <c r="C841" t="s">
        <v>46</v>
      </c>
      <c r="D841" t="s">
        <v>47</v>
      </c>
      <c r="E841">
        <v>2023</v>
      </c>
      <c r="F841" t="s">
        <v>24</v>
      </c>
      <c r="G841" t="s">
        <v>23</v>
      </c>
      <c r="H841" t="s">
        <v>19</v>
      </c>
      <c r="I841" t="s">
        <v>25</v>
      </c>
      <c r="J841">
        <v>7397.96</v>
      </c>
      <c r="K841">
        <v>6253.09</v>
      </c>
      <c r="L841" s="20">
        <f>tbl_Budget[[#This Row],[Actual]]-tbl_Budget[[#This Row],[Budget]]</f>
        <v>-1144.8699999999999</v>
      </c>
      <c r="M841" s="3">
        <f>tbl_Budget[[#This Row],[Variance]]/tbl_Budget[[#This Row],[Budget]]</f>
        <v>-0.15475482430291593</v>
      </c>
      <c r="N841" t="str">
        <f>IF(tbl_Budget[[#This Row],[Variance_%]]&gt;0.05,"Overspend",IF(tbl_Budget[[#This Row],[Variance_%]]&lt;-0.05,"Underspend","On Budget"))</f>
        <v>Underspend</v>
      </c>
    </row>
    <row r="842" spans="1:14" hidden="1">
      <c r="A842" s="1">
        <v>45170</v>
      </c>
      <c r="B842">
        <v>9</v>
      </c>
      <c r="C842" t="s">
        <v>46</v>
      </c>
      <c r="D842" t="s">
        <v>47</v>
      </c>
      <c r="E842">
        <v>2023</v>
      </c>
      <c r="F842" t="s">
        <v>26</v>
      </c>
      <c r="G842" t="s">
        <v>14</v>
      </c>
      <c r="H842" t="s">
        <v>15</v>
      </c>
      <c r="I842" t="s">
        <v>27</v>
      </c>
      <c r="J842">
        <v>44210.400000000001</v>
      </c>
      <c r="K842">
        <v>45084.06</v>
      </c>
      <c r="L842" s="20">
        <f>tbl_Budget[[#This Row],[Actual]]-tbl_Budget[[#This Row],[Budget]]</f>
        <v>873.65999999999622</v>
      </c>
      <c r="M842" s="3">
        <f>tbl_Budget[[#This Row],[Variance]]/tbl_Budget[[#This Row],[Budget]]</f>
        <v>1.9761413604038783E-2</v>
      </c>
      <c r="N842" t="str">
        <f>IF(tbl_Budget[[#This Row],[Variance_%]]&gt;0.05,"Overspend",IF(tbl_Budget[[#This Row],[Variance_%]]&lt;-0.05,"Underspend","On Budget"))</f>
        <v>On Budget</v>
      </c>
    </row>
    <row r="843" spans="1:14" hidden="1">
      <c r="A843" s="1">
        <v>45170</v>
      </c>
      <c r="B843">
        <v>9</v>
      </c>
      <c r="C843" t="s">
        <v>46</v>
      </c>
      <c r="D843" t="s">
        <v>47</v>
      </c>
      <c r="E843">
        <v>2023</v>
      </c>
      <c r="F843" t="s">
        <v>26</v>
      </c>
      <c r="G843" t="s">
        <v>14</v>
      </c>
      <c r="H843" t="s">
        <v>17</v>
      </c>
      <c r="I843" t="s">
        <v>27</v>
      </c>
      <c r="J843">
        <v>41820.67</v>
      </c>
      <c r="K843">
        <v>42727.95</v>
      </c>
      <c r="L843" s="20">
        <f>tbl_Budget[[#This Row],[Actual]]-tbl_Budget[[#This Row],[Budget]]</f>
        <v>907.27999999999884</v>
      </c>
      <c r="M843" s="3">
        <f>tbl_Budget[[#This Row],[Variance]]/tbl_Budget[[#This Row],[Budget]]</f>
        <v>2.1694535262108398E-2</v>
      </c>
      <c r="N843" t="str">
        <f>IF(tbl_Budget[[#This Row],[Variance_%]]&gt;0.05,"Overspend",IF(tbl_Budget[[#This Row],[Variance_%]]&lt;-0.05,"Underspend","On Budget"))</f>
        <v>On Budget</v>
      </c>
    </row>
    <row r="844" spans="1:14" hidden="1">
      <c r="A844" s="1">
        <v>45170</v>
      </c>
      <c r="B844">
        <v>9</v>
      </c>
      <c r="C844" t="s">
        <v>46</v>
      </c>
      <c r="D844" t="s">
        <v>47</v>
      </c>
      <c r="E844">
        <v>2023</v>
      </c>
      <c r="F844" t="s">
        <v>26</v>
      </c>
      <c r="G844" t="s">
        <v>14</v>
      </c>
      <c r="H844" t="s">
        <v>18</v>
      </c>
      <c r="I844" t="s">
        <v>27</v>
      </c>
      <c r="J844">
        <v>42642.57</v>
      </c>
      <c r="K844">
        <v>43118.37</v>
      </c>
      <c r="L844" s="20">
        <f>tbl_Budget[[#This Row],[Actual]]-tbl_Budget[[#This Row],[Budget]]</f>
        <v>475.80000000000291</v>
      </c>
      <c r="M844" s="3">
        <f>tbl_Budget[[#This Row],[Variance]]/tbl_Budget[[#This Row],[Budget]]</f>
        <v>1.1157864078079791E-2</v>
      </c>
      <c r="N844" t="str">
        <f>IF(tbl_Budget[[#This Row],[Variance_%]]&gt;0.05,"Overspend",IF(tbl_Budget[[#This Row],[Variance_%]]&lt;-0.05,"Underspend","On Budget"))</f>
        <v>On Budget</v>
      </c>
    </row>
    <row r="845" spans="1:14" hidden="1">
      <c r="A845" s="1">
        <v>45170</v>
      </c>
      <c r="B845">
        <v>9</v>
      </c>
      <c r="C845" t="s">
        <v>46</v>
      </c>
      <c r="D845" t="s">
        <v>47</v>
      </c>
      <c r="E845">
        <v>2023</v>
      </c>
      <c r="F845" t="s">
        <v>26</v>
      </c>
      <c r="G845" t="s">
        <v>14</v>
      </c>
      <c r="H845" t="s">
        <v>19</v>
      </c>
      <c r="I845" t="s">
        <v>27</v>
      </c>
      <c r="J845">
        <v>46484.2</v>
      </c>
      <c r="K845">
        <v>45817.98</v>
      </c>
      <c r="L845" s="20">
        <f>tbl_Budget[[#This Row],[Actual]]-tbl_Budget[[#This Row],[Budget]]</f>
        <v>-666.21999999999389</v>
      </c>
      <c r="M845" s="3">
        <f>tbl_Budget[[#This Row],[Variance]]/tbl_Budget[[#This Row],[Budget]]</f>
        <v>-1.4332181687541013E-2</v>
      </c>
      <c r="N845" t="str">
        <f>IF(tbl_Budget[[#This Row],[Variance_%]]&gt;0.05,"Overspend",IF(tbl_Budget[[#This Row],[Variance_%]]&lt;-0.05,"Underspend","On Budget"))</f>
        <v>On Budget</v>
      </c>
    </row>
    <row r="846" spans="1:14" hidden="1">
      <c r="A846" s="1">
        <v>45170</v>
      </c>
      <c r="B846">
        <v>9</v>
      </c>
      <c r="C846" t="s">
        <v>46</v>
      </c>
      <c r="D846" t="s">
        <v>47</v>
      </c>
      <c r="E846">
        <v>2023</v>
      </c>
      <c r="F846" t="s">
        <v>26</v>
      </c>
      <c r="G846" t="s">
        <v>20</v>
      </c>
      <c r="H846" t="s">
        <v>15</v>
      </c>
      <c r="I846" t="s">
        <v>27</v>
      </c>
      <c r="J846">
        <v>14475.28</v>
      </c>
      <c r="K846">
        <v>14642.27</v>
      </c>
      <c r="L846" s="20">
        <f>tbl_Budget[[#This Row],[Actual]]-tbl_Budget[[#This Row],[Budget]]</f>
        <v>166.98999999999978</v>
      </c>
      <c r="M846" s="3">
        <f>tbl_Budget[[#This Row],[Variance]]/tbl_Budget[[#This Row],[Budget]]</f>
        <v>1.1536218988510051E-2</v>
      </c>
      <c r="N846" t="str">
        <f>IF(tbl_Budget[[#This Row],[Variance_%]]&gt;0.05,"Overspend",IF(tbl_Budget[[#This Row],[Variance_%]]&lt;-0.05,"Underspend","On Budget"))</f>
        <v>On Budget</v>
      </c>
    </row>
    <row r="847" spans="1:14" hidden="1">
      <c r="A847" s="1">
        <v>45170</v>
      </c>
      <c r="B847">
        <v>9</v>
      </c>
      <c r="C847" t="s">
        <v>46</v>
      </c>
      <c r="D847" t="s">
        <v>47</v>
      </c>
      <c r="E847">
        <v>2023</v>
      </c>
      <c r="F847" t="s">
        <v>26</v>
      </c>
      <c r="G847" t="s">
        <v>20</v>
      </c>
      <c r="H847" t="s">
        <v>17</v>
      </c>
      <c r="I847" t="s">
        <v>27</v>
      </c>
      <c r="J847">
        <v>13916.01</v>
      </c>
      <c r="K847">
        <v>13487</v>
      </c>
      <c r="L847" s="20">
        <f>tbl_Budget[[#This Row],[Actual]]-tbl_Budget[[#This Row],[Budget]]</f>
        <v>-429.01000000000022</v>
      </c>
      <c r="M847" s="3">
        <f>tbl_Budget[[#This Row],[Variance]]/tbl_Budget[[#This Row],[Budget]]</f>
        <v>-3.0828520531387963E-2</v>
      </c>
      <c r="N847" t="str">
        <f>IF(tbl_Budget[[#This Row],[Variance_%]]&gt;0.05,"Overspend",IF(tbl_Budget[[#This Row],[Variance_%]]&lt;-0.05,"Underspend","On Budget"))</f>
        <v>On Budget</v>
      </c>
    </row>
    <row r="848" spans="1:14" hidden="1">
      <c r="A848" s="1">
        <v>45170</v>
      </c>
      <c r="B848">
        <v>9</v>
      </c>
      <c r="C848" t="s">
        <v>46</v>
      </c>
      <c r="D848" t="s">
        <v>47</v>
      </c>
      <c r="E848">
        <v>2023</v>
      </c>
      <c r="F848" t="s">
        <v>26</v>
      </c>
      <c r="G848" t="s">
        <v>20</v>
      </c>
      <c r="H848" t="s">
        <v>18</v>
      </c>
      <c r="I848" t="s">
        <v>27</v>
      </c>
      <c r="J848">
        <v>14321.28</v>
      </c>
      <c r="K848">
        <v>14020.55</v>
      </c>
      <c r="L848" s="20">
        <f>tbl_Budget[[#This Row],[Actual]]-tbl_Budget[[#This Row],[Budget]]</f>
        <v>-300.73000000000138</v>
      </c>
      <c r="M848" s="3">
        <f>tbl_Budget[[#This Row],[Variance]]/tbl_Budget[[#This Row],[Budget]]</f>
        <v>-2.0998821334405959E-2</v>
      </c>
      <c r="N848" t="str">
        <f>IF(tbl_Budget[[#This Row],[Variance_%]]&gt;0.05,"Overspend",IF(tbl_Budget[[#This Row],[Variance_%]]&lt;-0.05,"Underspend","On Budget"))</f>
        <v>On Budget</v>
      </c>
    </row>
    <row r="849" spans="1:14" hidden="1">
      <c r="A849" s="1">
        <v>45170</v>
      </c>
      <c r="B849">
        <v>9</v>
      </c>
      <c r="C849" t="s">
        <v>46</v>
      </c>
      <c r="D849" t="s">
        <v>47</v>
      </c>
      <c r="E849">
        <v>2023</v>
      </c>
      <c r="F849" t="s">
        <v>26</v>
      </c>
      <c r="G849" t="s">
        <v>20</v>
      </c>
      <c r="H849" t="s">
        <v>19</v>
      </c>
      <c r="I849" t="s">
        <v>27</v>
      </c>
      <c r="J849">
        <v>15386.93</v>
      </c>
      <c r="K849">
        <v>15756.96</v>
      </c>
      <c r="L849" s="20">
        <f>tbl_Budget[[#This Row],[Actual]]-tbl_Budget[[#This Row],[Budget]]</f>
        <v>370.02999999999884</v>
      </c>
      <c r="M849" s="3">
        <f>tbl_Budget[[#This Row],[Variance]]/tbl_Budget[[#This Row],[Budget]]</f>
        <v>2.4048331928461286E-2</v>
      </c>
      <c r="N849" t="str">
        <f>IF(tbl_Budget[[#This Row],[Variance_%]]&gt;0.05,"Overspend",IF(tbl_Budget[[#This Row],[Variance_%]]&lt;-0.05,"Underspend","On Budget"))</f>
        <v>On Budget</v>
      </c>
    </row>
    <row r="850" spans="1:14">
      <c r="A850" s="1">
        <v>45170</v>
      </c>
      <c r="B850">
        <v>9</v>
      </c>
      <c r="C850" t="s">
        <v>46</v>
      </c>
      <c r="D850" t="s">
        <v>47</v>
      </c>
      <c r="E850">
        <v>2023</v>
      </c>
      <c r="F850" t="s">
        <v>26</v>
      </c>
      <c r="G850" t="s">
        <v>21</v>
      </c>
      <c r="H850" t="s">
        <v>15</v>
      </c>
      <c r="I850" t="s">
        <v>27</v>
      </c>
      <c r="J850">
        <v>8457.4</v>
      </c>
      <c r="K850">
        <v>11145.23</v>
      </c>
      <c r="L850" s="20">
        <f>tbl_Budget[[#This Row],[Actual]]-tbl_Budget[[#This Row],[Budget]]</f>
        <v>2687.83</v>
      </c>
      <c r="M850" s="3">
        <f>tbl_Budget[[#This Row],[Variance]]/tbl_Budget[[#This Row],[Budget]]</f>
        <v>0.31780807340317357</v>
      </c>
      <c r="N850" t="str">
        <f>IF(tbl_Budget[[#This Row],[Variance_%]]&gt;0.05,"Overspend",IF(tbl_Budget[[#This Row],[Variance_%]]&lt;-0.05,"Underspend","On Budget"))</f>
        <v>Overspend</v>
      </c>
    </row>
    <row r="851" spans="1:14">
      <c r="A851" s="1">
        <v>45170</v>
      </c>
      <c r="B851">
        <v>9</v>
      </c>
      <c r="C851" t="s">
        <v>46</v>
      </c>
      <c r="D851" t="s">
        <v>47</v>
      </c>
      <c r="E851">
        <v>2023</v>
      </c>
      <c r="F851" t="s">
        <v>26</v>
      </c>
      <c r="G851" t="s">
        <v>21</v>
      </c>
      <c r="H851" t="s">
        <v>17</v>
      </c>
      <c r="I851" t="s">
        <v>27</v>
      </c>
      <c r="J851">
        <v>7777.09</v>
      </c>
      <c r="K851">
        <v>10897.09</v>
      </c>
      <c r="L851" s="20">
        <f>tbl_Budget[[#This Row],[Actual]]-tbl_Budget[[#This Row],[Budget]]</f>
        <v>3120</v>
      </c>
      <c r="M851" s="3">
        <f>tbl_Budget[[#This Row],[Variance]]/tbl_Budget[[#This Row],[Budget]]</f>
        <v>0.40117833276971204</v>
      </c>
      <c r="N851" t="str">
        <f>IF(tbl_Budget[[#This Row],[Variance_%]]&gt;0.05,"Overspend",IF(tbl_Budget[[#This Row],[Variance_%]]&lt;-0.05,"Underspend","On Budget"))</f>
        <v>Overspend</v>
      </c>
    </row>
    <row r="852" spans="1:14">
      <c r="A852" s="1">
        <v>45170</v>
      </c>
      <c r="B852">
        <v>9</v>
      </c>
      <c r="C852" t="s">
        <v>46</v>
      </c>
      <c r="D852" t="s">
        <v>47</v>
      </c>
      <c r="E852">
        <v>2023</v>
      </c>
      <c r="F852" t="s">
        <v>26</v>
      </c>
      <c r="G852" t="s">
        <v>21</v>
      </c>
      <c r="H852" t="s">
        <v>18</v>
      </c>
      <c r="I852" t="s">
        <v>27</v>
      </c>
      <c r="J852">
        <v>8093.24</v>
      </c>
      <c r="K852">
        <v>11027.77</v>
      </c>
      <c r="L852" s="20">
        <f>tbl_Budget[[#This Row],[Actual]]-tbl_Budget[[#This Row],[Budget]]</f>
        <v>2934.5300000000007</v>
      </c>
      <c r="M852" s="3">
        <f>tbl_Budget[[#This Row],[Variance]]/tbl_Budget[[#This Row],[Budget]]</f>
        <v>0.36259026051371279</v>
      </c>
      <c r="N852" t="str">
        <f>IF(tbl_Budget[[#This Row],[Variance_%]]&gt;0.05,"Overspend",IF(tbl_Budget[[#This Row],[Variance_%]]&lt;-0.05,"Underspend","On Budget"))</f>
        <v>Overspend</v>
      </c>
    </row>
    <row r="853" spans="1:14">
      <c r="A853" s="1">
        <v>45170</v>
      </c>
      <c r="B853">
        <v>9</v>
      </c>
      <c r="C853" t="s">
        <v>46</v>
      </c>
      <c r="D853" t="s">
        <v>47</v>
      </c>
      <c r="E853">
        <v>2023</v>
      </c>
      <c r="F853" t="s">
        <v>26</v>
      </c>
      <c r="G853" t="s">
        <v>21</v>
      </c>
      <c r="H853" t="s">
        <v>19</v>
      </c>
      <c r="I853" t="s">
        <v>27</v>
      </c>
      <c r="J853">
        <v>8461.4599999999991</v>
      </c>
      <c r="K853">
        <v>11278.29</v>
      </c>
      <c r="L853" s="20">
        <f>tbl_Budget[[#This Row],[Actual]]-tbl_Budget[[#This Row],[Budget]]</f>
        <v>2816.8300000000017</v>
      </c>
      <c r="M853" s="3">
        <f>tbl_Budget[[#This Row],[Variance]]/tbl_Budget[[#This Row],[Budget]]</f>
        <v>0.33290117781092177</v>
      </c>
      <c r="N853" t="str">
        <f>IF(tbl_Budget[[#This Row],[Variance_%]]&gt;0.05,"Overspend",IF(tbl_Budget[[#This Row],[Variance_%]]&lt;-0.05,"Underspend","On Budget"))</f>
        <v>Overspend</v>
      </c>
    </row>
    <row r="854" spans="1:14" hidden="1">
      <c r="A854" s="1">
        <v>45170</v>
      </c>
      <c r="B854">
        <v>9</v>
      </c>
      <c r="C854" t="s">
        <v>46</v>
      </c>
      <c r="D854" t="s">
        <v>47</v>
      </c>
      <c r="E854">
        <v>2023</v>
      </c>
      <c r="F854" t="s">
        <v>26</v>
      </c>
      <c r="G854" t="s">
        <v>22</v>
      </c>
      <c r="H854" t="s">
        <v>15</v>
      </c>
      <c r="I854" t="s">
        <v>27</v>
      </c>
      <c r="J854">
        <v>6583.25</v>
      </c>
      <c r="K854">
        <v>6574.94</v>
      </c>
      <c r="L854" s="20">
        <f>tbl_Budget[[#This Row],[Actual]]-tbl_Budget[[#This Row],[Budget]]</f>
        <v>-8.3100000000004002</v>
      </c>
      <c r="M854" s="3">
        <f>tbl_Budget[[#This Row],[Variance]]/tbl_Budget[[#This Row],[Budget]]</f>
        <v>-1.2622944594235979E-3</v>
      </c>
      <c r="N854" t="str">
        <f>IF(tbl_Budget[[#This Row],[Variance_%]]&gt;0.05,"Overspend",IF(tbl_Budget[[#This Row],[Variance_%]]&lt;-0.05,"Underspend","On Budget"))</f>
        <v>On Budget</v>
      </c>
    </row>
    <row r="855" spans="1:14" hidden="1">
      <c r="A855" s="1">
        <v>45170</v>
      </c>
      <c r="B855">
        <v>9</v>
      </c>
      <c r="C855" t="s">
        <v>46</v>
      </c>
      <c r="D855" t="s">
        <v>47</v>
      </c>
      <c r="E855">
        <v>2023</v>
      </c>
      <c r="F855" t="s">
        <v>26</v>
      </c>
      <c r="G855" t="s">
        <v>22</v>
      </c>
      <c r="H855" t="s">
        <v>17</v>
      </c>
      <c r="I855" t="s">
        <v>27</v>
      </c>
      <c r="J855">
        <v>6320.69</v>
      </c>
      <c r="K855">
        <v>6352.46</v>
      </c>
      <c r="L855" s="20">
        <f>tbl_Budget[[#This Row],[Actual]]-tbl_Budget[[#This Row],[Budget]]</f>
        <v>31.770000000000437</v>
      </c>
      <c r="M855" s="3">
        <f>tbl_Budget[[#This Row],[Variance]]/tbl_Budget[[#This Row],[Budget]]</f>
        <v>5.0263499712848497E-3</v>
      </c>
      <c r="N855" t="str">
        <f>IF(tbl_Budget[[#This Row],[Variance_%]]&gt;0.05,"Overspend",IF(tbl_Budget[[#This Row],[Variance_%]]&lt;-0.05,"Underspend","On Budget"))</f>
        <v>On Budget</v>
      </c>
    </row>
    <row r="856" spans="1:14" hidden="1">
      <c r="A856" s="1">
        <v>45170</v>
      </c>
      <c r="B856">
        <v>9</v>
      </c>
      <c r="C856" t="s">
        <v>46</v>
      </c>
      <c r="D856" t="s">
        <v>47</v>
      </c>
      <c r="E856">
        <v>2023</v>
      </c>
      <c r="F856" t="s">
        <v>26</v>
      </c>
      <c r="G856" t="s">
        <v>22</v>
      </c>
      <c r="H856" t="s">
        <v>18</v>
      </c>
      <c r="I856" t="s">
        <v>27</v>
      </c>
      <c r="J856">
        <v>6241.56</v>
      </c>
      <c r="K856">
        <v>6201.66</v>
      </c>
      <c r="L856" s="20">
        <f>tbl_Budget[[#This Row],[Actual]]-tbl_Budget[[#This Row],[Budget]]</f>
        <v>-39.900000000000546</v>
      </c>
      <c r="M856" s="3">
        <f>tbl_Budget[[#This Row],[Variance]]/tbl_Budget[[#This Row],[Budget]]</f>
        <v>-6.3926326110780871E-3</v>
      </c>
      <c r="N856" t="str">
        <f>IF(tbl_Budget[[#This Row],[Variance_%]]&gt;0.05,"Overspend",IF(tbl_Budget[[#This Row],[Variance_%]]&lt;-0.05,"Underspend","On Budget"))</f>
        <v>On Budget</v>
      </c>
    </row>
    <row r="857" spans="1:14" hidden="1">
      <c r="A857" s="1">
        <v>45170</v>
      </c>
      <c r="B857">
        <v>9</v>
      </c>
      <c r="C857" t="s">
        <v>46</v>
      </c>
      <c r="D857" t="s">
        <v>47</v>
      </c>
      <c r="E857">
        <v>2023</v>
      </c>
      <c r="F857" t="s">
        <v>26</v>
      </c>
      <c r="G857" t="s">
        <v>22</v>
      </c>
      <c r="H857" t="s">
        <v>19</v>
      </c>
      <c r="I857" t="s">
        <v>27</v>
      </c>
      <c r="J857">
        <v>6918.07</v>
      </c>
      <c r="K857">
        <v>7108.89</v>
      </c>
      <c r="L857" s="20">
        <f>tbl_Budget[[#This Row],[Actual]]-tbl_Budget[[#This Row],[Budget]]</f>
        <v>190.82000000000062</v>
      </c>
      <c r="M857" s="3">
        <f>tbl_Budget[[#This Row],[Variance]]/tbl_Budget[[#This Row],[Budget]]</f>
        <v>2.7582837409855728E-2</v>
      </c>
      <c r="N857" t="str">
        <f>IF(tbl_Budget[[#This Row],[Variance_%]]&gt;0.05,"Overspend",IF(tbl_Budget[[#This Row],[Variance_%]]&lt;-0.05,"Underspend","On Budget"))</f>
        <v>On Budget</v>
      </c>
    </row>
    <row r="858" spans="1:14" hidden="1">
      <c r="A858" s="1">
        <v>45170</v>
      </c>
      <c r="B858">
        <v>9</v>
      </c>
      <c r="C858" t="s">
        <v>46</v>
      </c>
      <c r="D858" t="s">
        <v>47</v>
      </c>
      <c r="E858">
        <v>2023</v>
      </c>
      <c r="F858" t="s">
        <v>26</v>
      </c>
      <c r="G858" t="s">
        <v>23</v>
      </c>
      <c r="H858" t="s">
        <v>15</v>
      </c>
      <c r="I858" t="s">
        <v>27</v>
      </c>
      <c r="J858">
        <v>5713.66</v>
      </c>
      <c r="K858">
        <v>5839.32</v>
      </c>
      <c r="L858" s="20">
        <f>tbl_Budget[[#This Row],[Actual]]-tbl_Budget[[#This Row],[Budget]]</f>
        <v>125.65999999999985</v>
      </c>
      <c r="M858" s="3">
        <f>tbl_Budget[[#This Row],[Variance]]/tbl_Budget[[#This Row],[Budget]]</f>
        <v>2.1992908223450444E-2</v>
      </c>
      <c r="N858" t="str">
        <f>IF(tbl_Budget[[#This Row],[Variance_%]]&gt;0.05,"Overspend",IF(tbl_Budget[[#This Row],[Variance_%]]&lt;-0.05,"Underspend","On Budget"))</f>
        <v>On Budget</v>
      </c>
    </row>
    <row r="859" spans="1:14" hidden="1">
      <c r="A859" s="1">
        <v>45170</v>
      </c>
      <c r="B859">
        <v>9</v>
      </c>
      <c r="C859" t="s">
        <v>46</v>
      </c>
      <c r="D859" t="s">
        <v>47</v>
      </c>
      <c r="E859">
        <v>2023</v>
      </c>
      <c r="F859" t="s">
        <v>26</v>
      </c>
      <c r="G859" t="s">
        <v>23</v>
      </c>
      <c r="H859" t="s">
        <v>17</v>
      </c>
      <c r="I859" t="s">
        <v>27</v>
      </c>
      <c r="J859">
        <v>5453.64</v>
      </c>
      <c r="K859">
        <v>5468.45</v>
      </c>
      <c r="L859" s="20">
        <f>tbl_Budget[[#This Row],[Actual]]-tbl_Budget[[#This Row],[Budget]]</f>
        <v>14.809999999999491</v>
      </c>
      <c r="M859" s="3">
        <f>tbl_Budget[[#This Row],[Variance]]/tbl_Budget[[#This Row],[Budget]]</f>
        <v>2.7156174591647943E-3</v>
      </c>
      <c r="N859" t="str">
        <f>IF(tbl_Budget[[#This Row],[Variance_%]]&gt;0.05,"Overspend",IF(tbl_Budget[[#This Row],[Variance_%]]&lt;-0.05,"Underspend","On Budget"))</f>
        <v>On Budget</v>
      </c>
    </row>
    <row r="860" spans="1:14" hidden="1">
      <c r="A860" s="1">
        <v>45170</v>
      </c>
      <c r="B860">
        <v>9</v>
      </c>
      <c r="C860" t="s">
        <v>46</v>
      </c>
      <c r="D860" t="s">
        <v>47</v>
      </c>
      <c r="E860">
        <v>2023</v>
      </c>
      <c r="F860" t="s">
        <v>26</v>
      </c>
      <c r="G860" t="s">
        <v>23</v>
      </c>
      <c r="H860" t="s">
        <v>18</v>
      </c>
      <c r="I860" t="s">
        <v>27</v>
      </c>
      <c r="J860">
        <v>5444.04</v>
      </c>
      <c r="K860">
        <v>5369.82</v>
      </c>
      <c r="L860" s="20">
        <f>tbl_Budget[[#This Row],[Actual]]-tbl_Budget[[#This Row],[Budget]]</f>
        <v>-74.220000000000255</v>
      </c>
      <c r="M860" s="3">
        <f>tbl_Budget[[#This Row],[Variance]]/tbl_Budget[[#This Row],[Budget]]</f>
        <v>-1.3633257654242116E-2</v>
      </c>
      <c r="N860" t="str">
        <f>IF(tbl_Budget[[#This Row],[Variance_%]]&gt;0.05,"Overspend",IF(tbl_Budget[[#This Row],[Variance_%]]&lt;-0.05,"Underspend","On Budget"))</f>
        <v>On Budget</v>
      </c>
    </row>
    <row r="861" spans="1:14" hidden="1">
      <c r="A861" s="1">
        <v>45170</v>
      </c>
      <c r="B861">
        <v>9</v>
      </c>
      <c r="C861" t="s">
        <v>46</v>
      </c>
      <c r="D861" t="s">
        <v>47</v>
      </c>
      <c r="E861">
        <v>2023</v>
      </c>
      <c r="F861" t="s">
        <v>26</v>
      </c>
      <c r="G861" t="s">
        <v>23</v>
      </c>
      <c r="H861" t="s">
        <v>19</v>
      </c>
      <c r="I861" t="s">
        <v>27</v>
      </c>
      <c r="J861">
        <v>5714.01</v>
      </c>
      <c r="K861">
        <v>5570.47</v>
      </c>
      <c r="L861" s="20">
        <f>tbl_Budget[[#This Row],[Actual]]-tbl_Budget[[#This Row],[Budget]]</f>
        <v>-143.53999999999996</v>
      </c>
      <c r="M861" s="3">
        <f>tbl_Budget[[#This Row],[Variance]]/tbl_Budget[[#This Row],[Budget]]</f>
        <v>-2.5120712074357579E-2</v>
      </c>
      <c r="N861" t="str">
        <f>IF(tbl_Budget[[#This Row],[Variance_%]]&gt;0.05,"Overspend",IF(tbl_Budget[[#This Row],[Variance_%]]&lt;-0.05,"Underspend","On Budget"))</f>
        <v>On Budget</v>
      </c>
    </row>
    <row r="862" spans="1:14" hidden="1">
      <c r="A862" s="1">
        <v>45170</v>
      </c>
      <c r="B862">
        <v>9</v>
      </c>
      <c r="C862" t="s">
        <v>46</v>
      </c>
      <c r="D862" t="s">
        <v>47</v>
      </c>
      <c r="E862">
        <v>2023</v>
      </c>
      <c r="F862" t="s">
        <v>28</v>
      </c>
      <c r="G862" t="s">
        <v>14</v>
      </c>
      <c r="H862" t="s">
        <v>15</v>
      </c>
      <c r="I862" t="s">
        <v>29</v>
      </c>
      <c r="J862">
        <v>54374.7</v>
      </c>
      <c r="K862">
        <v>57751.040000000001</v>
      </c>
      <c r="L862" s="20">
        <f>tbl_Budget[[#This Row],[Actual]]-tbl_Budget[[#This Row],[Budget]]</f>
        <v>3376.3400000000038</v>
      </c>
      <c r="M862" s="3">
        <f>tbl_Budget[[#This Row],[Variance]]/tbl_Budget[[#This Row],[Budget]]</f>
        <v>6.2093951782722555E-2</v>
      </c>
      <c r="N862" t="str">
        <f>IF(tbl_Budget[[#This Row],[Variance_%]]&gt;0.05,"Overspend",IF(tbl_Budget[[#This Row],[Variance_%]]&lt;-0.05,"Underspend","On Budget"))</f>
        <v>Overspend</v>
      </c>
    </row>
    <row r="863" spans="1:14" hidden="1">
      <c r="A863" s="1">
        <v>45170</v>
      </c>
      <c r="B863">
        <v>9</v>
      </c>
      <c r="C863" t="s">
        <v>46</v>
      </c>
      <c r="D863" t="s">
        <v>47</v>
      </c>
      <c r="E863">
        <v>2023</v>
      </c>
      <c r="F863" t="s">
        <v>28</v>
      </c>
      <c r="G863" t="s">
        <v>14</v>
      </c>
      <c r="H863" t="s">
        <v>17</v>
      </c>
      <c r="I863" t="s">
        <v>29</v>
      </c>
      <c r="J863">
        <v>50342.239999999998</v>
      </c>
      <c r="K863">
        <v>50480.38</v>
      </c>
      <c r="L863" s="20">
        <f>tbl_Budget[[#This Row],[Actual]]-tbl_Budget[[#This Row],[Budget]]</f>
        <v>138.13999999999942</v>
      </c>
      <c r="M863" s="3">
        <f>tbl_Budget[[#This Row],[Variance]]/tbl_Budget[[#This Row],[Budget]]</f>
        <v>2.7440177473231115E-3</v>
      </c>
      <c r="N863" t="str">
        <f>IF(tbl_Budget[[#This Row],[Variance_%]]&gt;0.05,"Overspend",IF(tbl_Budget[[#This Row],[Variance_%]]&lt;-0.05,"Underspend","On Budget"))</f>
        <v>On Budget</v>
      </c>
    </row>
    <row r="864" spans="1:14" hidden="1">
      <c r="A864" s="1">
        <v>45170</v>
      </c>
      <c r="B864">
        <v>9</v>
      </c>
      <c r="C864" t="s">
        <v>46</v>
      </c>
      <c r="D864" t="s">
        <v>47</v>
      </c>
      <c r="E864">
        <v>2023</v>
      </c>
      <c r="F864" t="s">
        <v>28</v>
      </c>
      <c r="G864" t="s">
        <v>14</v>
      </c>
      <c r="H864" t="s">
        <v>18</v>
      </c>
      <c r="I864" t="s">
        <v>29</v>
      </c>
      <c r="J864">
        <v>52590.3</v>
      </c>
      <c r="K864">
        <v>48776.639999999999</v>
      </c>
      <c r="L864" s="20">
        <f>tbl_Budget[[#This Row],[Actual]]-tbl_Budget[[#This Row],[Budget]]</f>
        <v>-3813.6600000000035</v>
      </c>
      <c r="M864" s="3">
        <f>tbl_Budget[[#This Row],[Variance]]/tbl_Budget[[#This Row],[Budget]]</f>
        <v>-7.2516414623989653E-2</v>
      </c>
      <c r="N864" t="str">
        <f>IF(tbl_Budget[[#This Row],[Variance_%]]&gt;0.05,"Overspend",IF(tbl_Budget[[#This Row],[Variance_%]]&lt;-0.05,"Underspend","On Budget"))</f>
        <v>Underspend</v>
      </c>
    </row>
    <row r="865" spans="1:14" hidden="1">
      <c r="A865" s="1">
        <v>45170</v>
      </c>
      <c r="B865">
        <v>9</v>
      </c>
      <c r="C865" t="s">
        <v>46</v>
      </c>
      <c r="D865" t="s">
        <v>47</v>
      </c>
      <c r="E865">
        <v>2023</v>
      </c>
      <c r="F865" t="s">
        <v>28</v>
      </c>
      <c r="G865" t="s">
        <v>14</v>
      </c>
      <c r="H865" t="s">
        <v>19</v>
      </c>
      <c r="I865" t="s">
        <v>29</v>
      </c>
      <c r="J865">
        <v>56063.12</v>
      </c>
      <c r="K865">
        <v>58952.37</v>
      </c>
      <c r="L865" s="20">
        <f>tbl_Budget[[#This Row],[Actual]]-tbl_Budget[[#This Row],[Budget]]</f>
        <v>2889.25</v>
      </c>
      <c r="M865" s="3">
        <f>tbl_Budget[[#This Row],[Variance]]/tbl_Budget[[#This Row],[Budget]]</f>
        <v>5.1535661946748593E-2</v>
      </c>
      <c r="N865" t="str">
        <f>IF(tbl_Budget[[#This Row],[Variance_%]]&gt;0.05,"Overspend",IF(tbl_Budget[[#This Row],[Variance_%]]&lt;-0.05,"Underspend","On Budget"))</f>
        <v>Overspend</v>
      </c>
    </row>
    <row r="866" spans="1:14" hidden="1">
      <c r="A866" s="1">
        <v>45170</v>
      </c>
      <c r="B866">
        <v>9</v>
      </c>
      <c r="C866" t="s">
        <v>46</v>
      </c>
      <c r="D866" t="s">
        <v>47</v>
      </c>
      <c r="E866">
        <v>2023</v>
      </c>
      <c r="F866" t="s">
        <v>28</v>
      </c>
      <c r="G866" t="s">
        <v>20</v>
      </c>
      <c r="H866" t="s">
        <v>15</v>
      </c>
      <c r="I866" t="s">
        <v>29</v>
      </c>
      <c r="J866">
        <v>19989.41</v>
      </c>
      <c r="K866">
        <v>22935.01</v>
      </c>
      <c r="L866" s="20">
        <f>tbl_Budget[[#This Row],[Actual]]-tbl_Budget[[#This Row],[Budget]]</f>
        <v>2945.5999999999985</v>
      </c>
      <c r="M866" s="3">
        <f>tbl_Budget[[#This Row],[Variance]]/tbl_Budget[[#This Row],[Budget]]</f>
        <v>0.14735802607480653</v>
      </c>
      <c r="N866" t="str">
        <f>IF(tbl_Budget[[#This Row],[Variance_%]]&gt;0.05,"Overspend",IF(tbl_Budget[[#This Row],[Variance_%]]&lt;-0.05,"Underspend","On Budget"))</f>
        <v>Overspend</v>
      </c>
    </row>
    <row r="867" spans="1:14" hidden="1">
      <c r="A867" s="1">
        <v>45170</v>
      </c>
      <c r="B867">
        <v>9</v>
      </c>
      <c r="C867" t="s">
        <v>46</v>
      </c>
      <c r="D867" t="s">
        <v>47</v>
      </c>
      <c r="E867">
        <v>2023</v>
      </c>
      <c r="F867" t="s">
        <v>28</v>
      </c>
      <c r="G867" t="s">
        <v>20</v>
      </c>
      <c r="H867" t="s">
        <v>17</v>
      </c>
      <c r="I867" t="s">
        <v>29</v>
      </c>
      <c r="J867">
        <v>19605.759999999998</v>
      </c>
      <c r="K867">
        <v>21176.1</v>
      </c>
      <c r="L867" s="20">
        <f>tbl_Budget[[#This Row],[Actual]]-tbl_Budget[[#This Row],[Budget]]</f>
        <v>1570.3400000000001</v>
      </c>
      <c r="M867" s="3">
        <f>tbl_Budget[[#This Row],[Variance]]/tbl_Budget[[#This Row],[Budget]]</f>
        <v>8.0095849383038473E-2</v>
      </c>
      <c r="N867" t="str">
        <f>IF(tbl_Budget[[#This Row],[Variance_%]]&gt;0.05,"Overspend",IF(tbl_Budget[[#This Row],[Variance_%]]&lt;-0.05,"Underspend","On Budget"))</f>
        <v>Overspend</v>
      </c>
    </row>
    <row r="868" spans="1:14" hidden="1">
      <c r="A868" s="1">
        <v>45170</v>
      </c>
      <c r="B868">
        <v>9</v>
      </c>
      <c r="C868" t="s">
        <v>46</v>
      </c>
      <c r="D868" t="s">
        <v>47</v>
      </c>
      <c r="E868">
        <v>2023</v>
      </c>
      <c r="F868" t="s">
        <v>28</v>
      </c>
      <c r="G868" t="s">
        <v>20</v>
      </c>
      <c r="H868" t="s">
        <v>18</v>
      </c>
      <c r="I868" t="s">
        <v>29</v>
      </c>
      <c r="J868">
        <v>20235.060000000001</v>
      </c>
      <c r="K868">
        <v>20249.14</v>
      </c>
      <c r="L868" s="20">
        <f>tbl_Budget[[#This Row],[Actual]]-tbl_Budget[[#This Row],[Budget]]</f>
        <v>14.079999999998108</v>
      </c>
      <c r="M868" s="3">
        <f>tbl_Budget[[#This Row],[Variance]]/tbl_Budget[[#This Row],[Budget]]</f>
        <v>6.9582200398704563E-4</v>
      </c>
      <c r="N868" t="str">
        <f>IF(tbl_Budget[[#This Row],[Variance_%]]&gt;0.05,"Overspend",IF(tbl_Budget[[#This Row],[Variance_%]]&lt;-0.05,"Underspend","On Budget"))</f>
        <v>On Budget</v>
      </c>
    </row>
    <row r="869" spans="1:14" hidden="1">
      <c r="A869" s="1">
        <v>45170</v>
      </c>
      <c r="B869">
        <v>9</v>
      </c>
      <c r="C869" t="s">
        <v>46</v>
      </c>
      <c r="D869" t="s">
        <v>47</v>
      </c>
      <c r="E869">
        <v>2023</v>
      </c>
      <c r="F869" t="s">
        <v>28</v>
      </c>
      <c r="G869" t="s">
        <v>20</v>
      </c>
      <c r="H869" t="s">
        <v>19</v>
      </c>
      <c r="I869" t="s">
        <v>29</v>
      </c>
      <c r="J869">
        <v>21337.94</v>
      </c>
      <c r="K869">
        <v>21625.99</v>
      </c>
      <c r="L869" s="20">
        <f>tbl_Budget[[#This Row],[Actual]]-tbl_Budget[[#This Row],[Budget]]</f>
        <v>288.05000000000291</v>
      </c>
      <c r="M869" s="3">
        <f>tbl_Budget[[#This Row],[Variance]]/tbl_Budget[[#This Row],[Budget]]</f>
        <v>1.3499428717111536E-2</v>
      </c>
      <c r="N869" t="str">
        <f>IF(tbl_Budget[[#This Row],[Variance_%]]&gt;0.05,"Overspend",IF(tbl_Budget[[#This Row],[Variance_%]]&lt;-0.05,"Underspend","On Budget"))</f>
        <v>On Budget</v>
      </c>
    </row>
    <row r="870" spans="1:14">
      <c r="A870" s="1">
        <v>45170</v>
      </c>
      <c r="B870">
        <v>9</v>
      </c>
      <c r="C870" t="s">
        <v>46</v>
      </c>
      <c r="D870" t="s">
        <v>47</v>
      </c>
      <c r="E870">
        <v>2023</v>
      </c>
      <c r="F870" t="s">
        <v>28</v>
      </c>
      <c r="G870" t="s">
        <v>21</v>
      </c>
      <c r="H870" t="s">
        <v>15</v>
      </c>
      <c r="I870" t="s">
        <v>29</v>
      </c>
      <c r="J870">
        <v>11314.67</v>
      </c>
      <c r="K870">
        <v>15208.4</v>
      </c>
      <c r="L870" s="20">
        <f>tbl_Budget[[#This Row],[Actual]]-tbl_Budget[[#This Row],[Budget]]</f>
        <v>3893.7299999999996</v>
      </c>
      <c r="M870" s="3">
        <f>tbl_Budget[[#This Row],[Variance]]/tbl_Budget[[#This Row],[Budget]]</f>
        <v>0.34413111473865343</v>
      </c>
      <c r="N870" t="str">
        <f>IF(tbl_Budget[[#This Row],[Variance_%]]&gt;0.05,"Overspend",IF(tbl_Budget[[#This Row],[Variance_%]]&lt;-0.05,"Underspend","On Budget"))</f>
        <v>Overspend</v>
      </c>
    </row>
    <row r="871" spans="1:14">
      <c r="A871" s="1">
        <v>45170</v>
      </c>
      <c r="B871">
        <v>9</v>
      </c>
      <c r="C871" t="s">
        <v>46</v>
      </c>
      <c r="D871" t="s">
        <v>47</v>
      </c>
      <c r="E871">
        <v>2023</v>
      </c>
      <c r="F871" t="s">
        <v>28</v>
      </c>
      <c r="G871" t="s">
        <v>21</v>
      </c>
      <c r="H871" t="s">
        <v>17</v>
      </c>
      <c r="I871" t="s">
        <v>29</v>
      </c>
      <c r="J871">
        <v>11055.51</v>
      </c>
      <c r="K871">
        <v>14588.49</v>
      </c>
      <c r="L871" s="20">
        <f>tbl_Budget[[#This Row],[Actual]]-tbl_Budget[[#This Row],[Budget]]</f>
        <v>3532.9799999999996</v>
      </c>
      <c r="M871" s="3">
        <f>tbl_Budget[[#This Row],[Variance]]/tbl_Budget[[#This Row],[Budget]]</f>
        <v>0.31956734696092715</v>
      </c>
      <c r="N871" t="str">
        <f>IF(tbl_Budget[[#This Row],[Variance_%]]&gt;0.05,"Overspend",IF(tbl_Budget[[#This Row],[Variance_%]]&lt;-0.05,"Underspend","On Budget"))</f>
        <v>Overspend</v>
      </c>
    </row>
    <row r="872" spans="1:14">
      <c r="A872" s="1">
        <v>45170</v>
      </c>
      <c r="B872">
        <v>9</v>
      </c>
      <c r="C872" t="s">
        <v>46</v>
      </c>
      <c r="D872" t="s">
        <v>47</v>
      </c>
      <c r="E872">
        <v>2023</v>
      </c>
      <c r="F872" t="s">
        <v>28</v>
      </c>
      <c r="G872" t="s">
        <v>21</v>
      </c>
      <c r="H872" t="s">
        <v>18</v>
      </c>
      <c r="I872" t="s">
        <v>29</v>
      </c>
      <c r="J872">
        <v>11049.58</v>
      </c>
      <c r="K872">
        <v>16512.689999999999</v>
      </c>
      <c r="L872" s="20">
        <f>tbl_Budget[[#This Row],[Actual]]-tbl_Budget[[#This Row],[Budget]]</f>
        <v>5463.1099999999988</v>
      </c>
      <c r="M872" s="3">
        <f>tbl_Budget[[#This Row],[Variance]]/tbl_Budget[[#This Row],[Budget]]</f>
        <v>0.49441788737671466</v>
      </c>
      <c r="N872" t="str">
        <f>IF(tbl_Budget[[#This Row],[Variance_%]]&gt;0.05,"Overspend",IF(tbl_Budget[[#This Row],[Variance_%]]&lt;-0.05,"Underspend","On Budget"))</f>
        <v>Overspend</v>
      </c>
    </row>
    <row r="873" spans="1:14">
      <c r="A873" s="1">
        <v>45170</v>
      </c>
      <c r="B873">
        <v>9</v>
      </c>
      <c r="C873" t="s">
        <v>46</v>
      </c>
      <c r="D873" t="s">
        <v>47</v>
      </c>
      <c r="E873">
        <v>2023</v>
      </c>
      <c r="F873" t="s">
        <v>28</v>
      </c>
      <c r="G873" t="s">
        <v>21</v>
      </c>
      <c r="H873" t="s">
        <v>19</v>
      </c>
      <c r="I873" t="s">
        <v>29</v>
      </c>
      <c r="J873">
        <v>11882.11</v>
      </c>
      <c r="K873">
        <v>16272.67</v>
      </c>
      <c r="L873" s="20">
        <f>tbl_Budget[[#This Row],[Actual]]-tbl_Budget[[#This Row],[Budget]]</f>
        <v>4390.5599999999995</v>
      </c>
      <c r="M873" s="3">
        <f>tbl_Budget[[#This Row],[Variance]]/tbl_Budget[[#This Row],[Budget]]</f>
        <v>0.36951012909323339</v>
      </c>
      <c r="N873" t="str">
        <f>IF(tbl_Budget[[#This Row],[Variance_%]]&gt;0.05,"Overspend",IF(tbl_Budget[[#This Row],[Variance_%]]&lt;-0.05,"Underspend","On Budget"))</f>
        <v>Overspend</v>
      </c>
    </row>
    <row r="874" spans="1:14" hidden="1">
      <c r="A874" s="1">
        <v>45170</v>
      </c>
      <c r="B874">
        <v>9</v>
      </c>
      <c r="C874" t="s">
        <v>46</v>
      </c>
      <c r="D874" t="s">
        <v>47</v>
      </c>
      <c r="E874">
        <v>2023</v>
      </c>
      <c r="F874" t="s">
        <v>28</v>
      </c>
      <c r="G874" t="s">
        <v>22</v>
      </c>
      <c r="H874" t="s">
        <v>15</v>
      </c>
      <c r="I874" t="s">
        <v>29</v>
      </c>
      <c r="J874">
        <v>11883.43</v>
      </c>
      <c r="K874">
        <v>12033.87</v>
      </c>
      <c r="L874" s="20">
        <f>tbl_Budget[[#This Row],[Actual]]-tbl_Budget[[#This Row],[Budget]]</f>
        <v>150.44000000000051</v>
      </c>
      <c r="M874" s="3">
        <f>tbl_Budget[[#This Row],[Variance]]/tbl_Budget[[#This Row],[Budget]]</f>
        <v>1.2659644563901206E-2</v>
      </c>
      <c r="N874" t="str">
        <f>IF(tbl_Budget[[#This Row],[Variance_%]]&gt;0.05,"Overspend",IF(tbl_Budget[[#This Row],[Variance_%]]&lt;-0.05,"Underspend","On Budget"))</f>
        <v>On Budget</v>
      </c>
    </row>
    <row r="875" spans="1:14" hidden="1">
      <c r="A875" s="1">
        <v>45170</v>
      </c>
      <c r="B875">
        <v>9</v>
      </c>
      <c r="C875" t="s">
        <v>46</v>
      </c>
      <c r="D875" t="s">
        <v>47</v>
      </c>
      <c r="E875">
        <v>2023</v>
      </c>
      <c r="F875" t="s">
        <v>28</v>
      </c>
      <c r="G875" t="s">
        <v>22</v>
      </c>
      <c r="H875" t="s">
        <v>17</v>
      </c>
      <c r="I875" t="s">
        <v>29</v>
      </c>
      <c r="J875">
        <v>11376.41</v>
      </c>
      <c r="K875">
        <v>11575.65</v>
      </c>
      <c r="L875" s="20">
        <f>tbl_Budget[[#This Row],[Actual]]-tbl_Budget[[#This Row],[Budget]]</f>
        <v>199.23999999999978</v>
      </c>
      <c r="M875" s="3">
        <f>tbl_Budget[[#This Row],[Variance]]/tbl_Budget[[#This Row],[Budget]]</f>
        <v>1.751343349967167E-2</v>
      </c>
      <c r="N875" t="str">
        <f>IF(tbl_Budget[[#This Row],[Variance_%]]&gt;0.05,"Overspend",IF(tbl_Budget[[#This Row],[Variance_%]]&lt;-0.05,"Underspend","On Budget"))</f>
        <v>On Budget</v>
      </c>
    </row>
    <row r="876" spans="1:14" hidden="1">
      <c r="A876" s="1">
        <v>45170</v>
      </c>
      <c r="B876">
        <v>9</v>
      </c>
      <c r="C876" t="s">
        <v>46</v>
      </c>
      <c r="D876" t="s">
        <v>47</v>
      </c>
      <c r="E876">
        <v>2023</v>
      </c>
      <c r="F876" t="s">
        <v>28</v>
      </c>
      <c r="G876" t="s">
        <v>22</v>
      </c>
      <c r="H876" t="s">
        <v>18</v>
      </c>
      <c r="I876" t="s">
        <v>29</v>
      </c>
      <c r="J876">
        <v>11778.99</v>
      </c>
      <c r="K876">
        <v>11485.31</v>
      </c>
      <c r="L876" s="20">
        <f>tbl_Budget[[#This Row],[Actual]]-tbl_Budget[[#This Row],[Budget]]</f>
        <v>-293.68000000000029</v>
      </c>
      <c r="M876" s="3">
        <f>tbl_Budget[[#This Row],[Variance]]/tbl_Budget[[#This Row],[Budget]]</f>
        <v>-2.49325281709213E-2</v>
      </c>
      <c r="N876" t="str">
        <f>IF(tbl_Budget[[#This Row],[Variance_%]]&gt;0.05,"Overspend",IF(tbl_Budget[[#This Row],[Variance_%]]&lt;-0.05,"Underspend","On Budget"))</f>
        <v>On Budget</v>
      </c>
    </row>
    <row r="877" spans="1:14" hidden="1">
      <c r="A877" s="1">
        <v>45170</v>
      </c>
      <c r="B877">
        <v>9</v>
      </c>
      <c r="C877" t="s">
        <v>46</v>
      </c>
      <c r="D877" t="s">
        <v>47</v>
      </c>
      <c r="E877">
        <v>2023</v>
      </c>
      <c r="F877" t="s">
        <v>28</v>
      </c>
      <c r="G877" t="s">
        <v>22</v>
      </c>
      <c r="H877" t="s">
        <v>19</v>
      </c>
      <c r="I877" t="s">
        <v>29</v>
      </c>
      <c r="J877">
        <v>12684</v>
      </c>
      <c r="K877">
        <v>11550.32</v>
      </c>
      <c r="L877" s="20">
        <f>tbl_Budget[[#This Row],[Actual]]-tbl_Budget[[#This Row],[Budget]]</f>
        <v>-1133.6800000000003</v>
      </c>
      <c r="M877" s="3">
        <f>tbl_Budget[[#This Row],[Variance]]/tbl_Budget[[#This Row],[Budget]]</f>
        <v>-8.9378744875433638E-2</v>
      </c>
      <c r="N877" t="str">
        <f>IF(tbl_Budget[[#This Row],[Variance_%]]&gt;0.05,"Overspend",IF(tbl_Budget[[#This Row],[Variance_%]]&lt;-0.05,"Underspend","On Budget"))</f>
        <v>Underspend</v>
      </c>
    </row>
    <row r="878" spans="1:14" hidden="1">
      <c r="A878" s="1">
        <v>45170</v>
      </c>
      <c r="B878">
        <v>9</v>
      </c>
      <c r="C878" t="s">
        <v>46</v>
      </c>
      <c r="D878" t="s">
        <v>47</v>
      </c>
      <c r="E878">
        <v>2023</v>
      </c>
      <c r="F878" t="s">
        <v>28</v>
      </c>
      <c r="G878" t="s">
        <v>23</v>
      </c>
      <c r="H878" t="s">
        <v>15</v>
      </c>
      <c r="I878" t="s">
        <v>29</v>
      </c>
      <c r="J878">
        <v>7493.41</v>
      </c>
      <c r="K878">
        <v>8173.86</v>
      </c>
      <c r="L878" s="20">
        <f>tbl_Budget[[#This Row],[Actual]]-tbl_Budget[[#This Row],[Budget]]</f>
        <v>680.44999999999982</v>
      </c>
      <c r="M878" s="3">
        <f>tbl_Budget[[#This Row],[Variance]]/tbl_Budget[[#This Row],[Budget]]</f>
        <v>9.0806455272032335E-2</v>
      </c>
      <c r="N878" t="str">
        <f>IF(tbl_Budget[[#This Row],[Variance_%]]&gt;0.05,"Overspend",IF(tbl_Budget[[#This Row],[Variance_%]]&lt;-0.05,"Underspend","On Budget"))</f>
        <v>Overspend</v>
      </c>
    </row>
    <row r="879" spans="1:14" hidden="1">
      <c r="A879" s="1">
        <v>45170</v>
      </c>
      <c r="B879">
        <v>9</v>
      </c>
      <c r="C879" t="s">
        <v>46</v>
      </c>
      <c r="D879" t="s">
        <v>47</v>
      </c>
      <c r="E879">
        <v>2023</v>
      </c>
      <c r="F879" t="s">
        <v>28</v>
      </c>
      <c r="G879" t="s">
        <v>23</v>
      </c>
      <c r="H879" t="s">
        <v>17</v>
      </c>
      <c r="I879" t="s">
        <v>29</v>
      </c>
      <c r="J879">
        <v>7296.97</v>
      </c>
      <c r="K879">
        <v>6872.65</v>
      </c>
      <c r="L879" s="20">
        <f>tbl_Budget[[#This Row],[Actual]]-tbl_Budget[[#This Row],[Budget]]</f>
        <v>-424.32000000000062</v>
      </c>
      <c r="M879" s="3">
        <f>tbl_Budget[[#This Row],[Variance]]/tbl_Budget[[#This Row],[Budget]]</f>
        <v>-5.8150163698082985E-2</v>
      </c>
      <c r="N879" t="str">
        <f>IF(tbl_Budget[[#This Row],[Variance_%]]&gt;0.05,"Overspend",IF(tbl_Budget[[#This Row],[Variance_%]]&lt;-0.05,"Underspend","On Budget"))</f>
        <v>Underspend</v>
      </c>
    </row>
    <row r="880" spans="1:14" hidden="1">
      <c r="A880" s="1">
        <v>45170</v>
      </c>
      <c r="B880">
        <v>9</v>
      </c>
      <c r="C880" t="s">
        <v>46</v>
      </c>
      <c r="D880" t="s">
        <v>47</v>
      </c>
      <c r="E880">
        <v>2023</v>
      </c>
      <c r="F880" t="s">
        <v>28</v>
      </c>
      <c r="G880" t="s">
        <v>23</v>
      </c>
      <c r="H880" t="s">
        <v>18</v>
      </c>
      <c r="I880" t="s">
        <v>29</v>
      </c>
      <c r="J880">
        <v>7568.49</v>
      </c>
      <c r="K880">
        <v>7488.25</v>
      </c>
      <c r="L880" s="20">
        <f>tbl_Budget[[#This Row],[Actual]]-tbl_Budget[[#This Row],[Budget]]</f>
        <v>-80.239999999999782</v>
      </c>
      <c r="M880" s="3">
        <f>tbl_Budget[[#This Row],[Variance]]/tbl_Budget[[#This Row],[Budget]]</f>
        <v>-1.0601850567286181E-2</v>
      </c>
      <c r="N880" t="str">
        <f>IF(tbl_Budget[[#This Row],[Variance_%]]&gt;0.05,"Overspend",IF(tbl_Budget[[#This Row],[Variance_%]]&lt;-0.05,"Underspend","On Budget"))</f>
        <v>On Budget</v>
      </c>
    </row>
    <row r="881" spans="1:14" hidden="1">
      <c r="A881" s="1">
        <v>45170</v>
      </c>
      <c r="B881">
        <v>9</v>
      </c>
      <c r="C881" t="s">
        <v>46</v>
      </c>
      <c r="D881" t="s">
        <v>47</v>
      </c>
      <c r="E881">
        <v>2023</v>
      </c>
      <c r="F881" t="s">
        <v>28</v>
      </c>
      <c r="G881" t="s">
        <v>23</v>
      </c>
      <c r="H881" t="s">
        <v>19</v>
      </c>
      <c r="I881" t="s">
        <v>29</v>
      </c>
      <c r="J881">
        <v>8116.41</v>
      </c>
      <c r="K881">
        <v>9190.49</v>
      </c>
      <c r="L881" s="20">
        <f>tbl_Budget[[#This Row],[Actual]]-tbl_Budget[[#This Row],[Budget]]</f>
        <v>1074.08</v>
      </c>
      <c r="M881" s="3">
        <f>tbl_Budget[[#This Row],[Variance]]/tbl_Budget[[#This Row],[Budget]]</f>
        <v>0.13233436950572974</v>
      </c>
      <c r="N881" t="str">
        <f>IF(tbl_Budget[[#This Row],[Variance_%]]&gt;0.05,"Overspend",IF(tbl_Budget[[#This Row],[Variance_%]]&lt;-0.05,"Underspend","On Budget"))</f>
        <v>Overspend</v>
      </c>
    </row>
    <row r="882" spans="1:14" hidden="1">
      <c r="A882" s="1">
        <v>45170</v>
      </c>
      <c r="B882">
        <v>9</v>
      </c>
      <c r="C882" t="s">
        <v>46</v>
      </c>
      <c r="D882" t="s">
        <v>47</v>
      </c>
      <c r="E882">
        <v>2023</v>
      </c>
      <c r="F882" t="s">
        <v>30</v>
      </c>
      <c r="G882" t="s">
        <v>14</v>
      </c>
      <c r="H882" t="s">
        <v>15</v>
      </c>
      <c r="I882" t="s">
        <v>31</v>
      </c>
      <c r="J882">
        <v>43326.05</v>
      </c>
      <c r="K882">
        <v>41210.910000000003</v>
      </c>
      <c r="L882" s="20">
        <f>tbl_Budget[[#This Row],[Actual]]-tbl_Budget[[#This Row],[Budget]]</f>
        <v>-2115.1399999999994</v>
      </c>
      <c r="M882" s="3">
        <f>tbl_Budget[[#This Row],[Variance]]/tbl_Budget[[#This Row],[Budget]]</f>
        <v>-4.881912844581953E-2</v>
      </c>
      <c r="N882" t="str">
        <f>IF(tbl_Budget[[#This Row],[Variance_%]]&gt;0.05,"Overspend",IF(tbl_Budget[[#This Row],[Variance_%]]&lt;-0.05,"Underspend","On Budget"))</f>
        <v>On Budget</v>
      </c>
    </row>
    <row r="883" spans="1:14" hidden="1">
      <c r="A883" s="1">
        <v>45170</v>
      </c>
      <c r="B883">
        <v>9</v>
      </c>
      <c r="C883" t="s">
        <v>46</v>
      </c>
      <c r="D883" t="s">
        <v>47</v>
      </c>
      <c r="E883">
        <v>2023</v>
      </c>
      <c r="F883" t="s">
        <v>30</v>
      </c>
      <c r="G883" t="s">
        <v>14</v>
      </c>
      <c r="H883" t="s">
        <v>17</v>
      </c>
      <c r="I883" t="s">
        <v>31</v>
      </c>
      <c r="J883">
        <v>41346.79</v>
      </c>
      <c r="K883">
        <v>42154.81</v>
      </c>
      <c r="L883" s="20">
        <f>tbl_Budget[[#This Row],[Actual]]-tbl_Budget[[#This Row],[Budget]]</f>
        <v>808.0199999999968</v>
      </c>
      <c r="M883" s="3">
        <f>tbl_Budget[[#This Row],[Variance]]/tbl_Budget[[#This Row],[Budget]]</f>
        <v>1.9542508620378915E-2</v>
      </c>
      <c r="N883" t="str">
        <f>IF(tbl_Budget[[#This Row],[Variance_%]]&gt;0.05,"Overspend",IF(tbl_Budget[[#This Row],[Variance_%]]&lt;-0.05,"Underspend","On Budget"))</f>
        <v>On Budget</v>
      </c>
    </row>
    <row r="884" spans="1:14" hidden="1">
      <c r="A884" s="1">
        <v>45170</v>
      </c>
      <c r="B884">
        <v>9</v>
      </c>
      <c r="C884" t="s">
        <v>46</v>
      </c>
      <c r="D884" t="s">
        <v>47</v>
      </c>
      <c r="E884">
        <v>2023</v>
      </c>
      <c r="F884" t="s">
        <v>30</v>
      </c>
      <c r="G884" t="s">
        <v>14</v>
      </c>
      <c r="H884" t="s">
        <v>18</v>
      </c>
      <c r="I884" t="s">
        <v>31</v>
      </c>
      <c r="J884">
        <v>40994.85</v>
      </c>
      <c r="K884">
        <v>42452.29</v>
      </c>
      <c r="L884" s="20">
        <f>tbl_Budget[[#This Row],[Actual]]-tbl_Budget[[#This Row],[Budget]]</f>
        <v>1457.4400000000023</v>
      </c>
      <c r="M884" s="3">
        <f>tbl_Budget[[#This Row],[Variance]]/tbl_Budget[[#This Row],[Budget]]</f>
        <v>3.5551782723927575E-2</v>
      </c>
      <c r="N884" t="str">
        <f>IF(tbl_Budget[[#This Row],[Variance_%]]&gt;0.05,"Overspend",IF(tbl_Budget[[#This Row],[Variance_%]]&lt;-0.05,"Underspend","On Budget"))</f>
        <v>On Budget</v>
      </c>
    </row>
    <row r="885" spans="1:14" hidden="1">
      <c r="A885" s="1">
        <v>45170</v>
      </c>
      <c r="B885">
        <v>9</v>
      </c>
      <c r="C885" t="s">
        <v>46</v>
      </c>
      <c r="D885" t="s">
        <v>47</v>
      </c>
      <c r="E885">
        <v>2023</v>
      </c>
      <c r="F885" t="s">
        <v>30</v>
      </c>
      <c r="G885" t="s">
        <v>14</v>
      </c>
      <c r="H885" t="s">
        <v>19</v>
      </c>
      <c r="I885" t="s">
        <v>31</v>
      </c>
      <c r="J885">
        <v>44077.9</v>
      </c>
      <c r="K885">
        <v>45560.480000000003</v>
      </c>
      <c r="L885" s="20">
        <f>tbl_Budget[[#This Row],[Actual]]-tbl_Budget[[#This Row],[Budget]]</f>
        <v>1482.5800000000017</v>
      </c>
      <c r="M885" s="3">
        <f>tbl_Budget[[#This Row],[Variance]]/tbl_Budget[[#This Row],[Budget]]</f>
        <v>3.3635449964721585E-2</v>
      </c>
      <c r="N885" t="str">
        <f>IF(tbl_Budget[[#This Row],[Variance_%]]&gt;0.05,"Overspend",IF(tbl_Budget[[#This Row],[Variance_%]]&lt;-0.05,"Underspend","On Budget"))</f>
        <v>On Budget</v>
      </c>
    </row>
    <row r="886" spans="1:14" hidden="1">
      <c r="A886" s="1">
        <v>45170</v>
      </c>
      <c r="B886">
        <v>9</v>
      </c>
      <c r="C886" t="s">
        <v>46</v>
      </c>
      <c r="D886" t="s">
        <v>47</v>
      </c>
      <c r="E886">
        <v>2023</v>
      </c>
      <c r="F886" t="s">
        <v>30</v>
      </c>
      <c r="G886" t="s">
        <v>20</v>
      </c>
      <c r="H886" t="s">
        <v>15</v>
      </c>
      <c r="I886" t="s">
        <v>31</v>
      </c>
      <c r="J886">
        <v>15874.29</v>
      </c>
      <c r="K886">
        <v>16252.97</v>
      </c>
      <c r="L886" s="20">
        <f>tbl_Budget[[#This Row],[Actual]]-tbl_Budget[[#This Row],[Budget]]</f>
        <v>378.67999999999847</v>
      </c>
      <c r="M886" s="3">
        <f>tbl_Budget[[#This Row],[Variance]]/tbl_Budget[[#This Row],[Budget]]</f>
        <v>2.3854925165156894E-2</v>
      </c>
      <c r="N886" t="str">
        <f>IF(tbl_Budget[[#This Row],[Variance_%]]&gt;0.05,"Overspend",IF(tbl_Budget[[#This Row],[Variance_%]]&lt;-0.05,"Underspend","On Budget"))</f>
        <v>On Budget</v>
      </c>
    </row>
    <row r="887" spans="1:14" hidden="1">
      <c r="A887" s="1">
        <v>45170</v>
      </c>
      <c r="B887">
        <v>9</v>
      </c>
      <c r="C887" t="s">
        <v>46</v>
      </c>
      <c r="D887" t="s">
        <v>47</v>
      </c>
      <c r="E887">
        <v>2023</v>
      </c>
      <c r="F887" t="s">
        <v>30</v>
      </c>
      <c r="G887" t="s">
        <v>20</v>
      </c>
      <c r="H887" t="s">
        <v>17</v>
      </c>
      <c r="I887" t="s">
        <v>31</v>
      </c>
      <c r="J887">
        <v>15174.75</v>
      </c>
      <c r="K887">
        <v>14688.21</v>
      </c>
      <c r="L887" s="20">
        <f>tbl_Budget[[#This Row],[Actual]]-tbl_Budget[[#This Row],[Budget]]</f>
        <v>-486.54000000000087</v>
      </c>
      <c r="M887" s="3">
        <f>tbl_Budget[[#This Row],[Variance]]/tbl_Budget[[#This Row],[Budget]]</f>
        <v>-3.2062472198883071E-2</v>
      </c>
      <c r="N887" t="str">
        <f>IF(tbl_Budget[[#This Row],[Variance_%]]&gt;0.05,"Overspend",IF(tbl_Budget[[#This Row],[Variance_%]]&lt;-0.05,"Underspend","On Budget"))</f>
        <v>On Budget</v>
      </c>
    </row>
    <row r="888" spans="1:14" hidden="1">
      <c r="A888" s="1">
        <v>45170</v>
      </c>
      <c r="B888">
        <v>9</v>
      </c>
      <c r="C888" t="s">
        <v>46</v>
      </c>
      <c r="D888" t="s">
        <v>47</v>
      </c>
      <c r="E888">
        <v>2023</v>
      </c>
      <c r="F888" t="s">
        <v>30</v>
      </c>
      <c r="G888" t="s">
        <v>20</v>
      </c>
      <c r="H888" t="s">
        <v>18</v>
      </c>
      <c r="I888" t="s">
        <v>31</v>
      </c>
      <c r="J888">
        <v>16063.02</v>
      </c>
      <c r="K888">
        <v>15624.53</v>
      </c>
      <c r="L888" s="20">
        <f>tbl_Budget[[#This Row],[Actual]]-tbl_Budget[[#This Row],[Budget]]</f>
        <v>-438.48999999999978</v>
      </c>
      <c r="M888" s="3">
        <f>tbl_Budget[[#This Row],[Variance]]/tbl_Budget[[#This Row],[Budget]]</f>
        <v>-2.7298104590543982E-2</v>
      </c>
      <c r="N888" t="str">
        <f>IF(tbl_Budget[[#This Row],[Variance_%]]&gt;0.05,"Overspend",IF(tbl_Budget[[#This Row],[Variance_%]]&lt;-0.05,"Underspend","On Budget"))</f>
        <v>On Budget</v>
      </c>
    </row>
    <row r="889" spans="1:14" hidden="1">
      <c r="A889" s="1">
        <v>45170</v>
      </c>
      <c r="B889">
        <v>9</v>
      </c>
      <c r="C889" t="s">
        <v>46</v>
      </c>
      <c r="D889" t="s">
        <v>47</v>
      </c>
      <c r="E889">
        <v>2023</v>
      </c>
      <c r="F889" t="s">
        <v>30</v>
      </c>
      <c r="G889" t="s">
        <v>20</v>
      </c>
      <c r="H889" t="s">
        <v>19</v>
      </c>
      <c r="I889" t="s">
        <v>31</v>
      </c>
      <c r="J889">
        <v>17318.96</v>
      </c>
      <c r="K889">
        <v>16492.650000000001</v>
      </c>
      <c r="L889" s="20">
        <f>tbl_Budget[[#This Row],[Actual]]-tbl_Budget[[#This Row],[Budget]]</f>
        <v>-826.30999999999767</v>
      </c>
      <c r="M889" s="3">
        <f>tbl_Budget[[#This Row],[Variance]]/tbl_Budget[[#This Row],[Budget]]</f>
        <v>-4.7711294442622287E-2</v>
      </c>
      <c r="N889" t="str">
        <f>IF(tbl_Budget[[#This Row],[Variance_%]]&gt;0.05,"Overspend",IF(tbl_Budget[[#This Row],[Variance_%]]&lt;-0.05,"Underspend","On Budget"))</f>
        <v>On Budget</v>
      </c>
    </row>
    <row r="890" spans="1:14">
      <c r="A890" s="1">
        <v>45170</v>
      </c>
      <c r="B890">
        <v>9</v>
      </c>
      <c r="C890" t="s">
        <v>46</v>
      </c>
      <c r="D890" t="s">
        <v>47</v>
      </c>
      <c r="E890">
        <v>2023</v>
      </c>
      <c r="F890" t="s">
        <v>30</v>
      </c>
      <c r="G890" t="s">
        <v>21</v>
      </c>
      <c r="H890" t="s">
        <v>15</v>
      </c>
      <c r="I890" t="s">
        <v>31</v>
      </c>
      <c r="J890">
        <v>6837.12</v>
      </c>
      <c r="K890">
        <v>9324.6200000000008</v>
      </c>
      <c r="L890" s="20">
        <f>tbl_Budget[[#This Row],[Actual]]-tbl_Budget[[#This Row],[Budget]]</f>
        <v>2487.5000000000009</v>
      </c>
      <c r="M890" s="3">
        <f>tbl_Budget[[#This Row],[Variance]]/tbl_Budget[[#This Row],[Budget]]</f>
        <v>0.36382277918187789</v>
      </c>
      <c r="N890" t="str">
        <f>IF(tbl_Budget[[#This Row],[Variance_%]]&gt;0.05,"Overspend",IF(tbl_Budget[[#This Row],[Variance_%]]&lt;-0.05,"Underspend","On Budget"))</f>
        <v>Overspend</v>
      </c>
    </row>
    <row r="891" spans="1:14">
      <c r="A891" s="1">
        <v>45170</v>
      </c>
      <c r="B891">
        <v>9</v>
      </c>
      <c r="C891" t="s">
        <v>46</v>
      </c>
      <c r="D891" t="s">
        <v>47</v>
      </c>
      <c r="E891">
        <v>2023</v>
      </c>
      <c r="F891" t="s">
        <v>30</v>
      </c>
      <c r="G891" t="s">
        <v>21</v>
      </c>
      <c r="H891" t="s">
        <v>17</v>
      </c>
      <c r="I891" t="s">
        <v>31</v>
      </c>
      <c r="J891">
        <v>6370.91</v>
      </c>
      <c r="K891">
        <v>8870.6</v>
      </c>
      <c r="L891" s="20">
        <f>tbl_Budget[[#This Row],[Actual]]-tbl_Budget[[#This Row],[Budget]]</f>
        <v>2499.6900000000005</v>
      </c>
      <c r="M891" s="3">
        <f>tbl_Budget[[#This Row],[Variance]]/tbl_Budget[[#This Row],[Budget]]</f>
        <v>0.39235996113585037</v>
      </c>
      <c r="N891" t="str">
        <f>IF(tbl_Budget[[#This Row],[Variance_%]]&gt;0.05,"Overspend",IF(tbl_Budget[[#This Row],[Variance_%]]&lt;-0.05,"Underspend","On Budget"))</f>
        <v>Overspend</v>
      </c>
    </row>
    <row r="892" spans="1:14">
      <c r="A892" s="1">
        <v>45170</v>
      </c>
      <c r="B892">
        <v>9</v>
      </c>
      <c r="C892" t="s">
        <v>46</v>
      </c>
      <c r="D892" t="s">
        <v>47</v>
      </c>
      <c r="E892">
        <v>2023</v>
      </c>
      <c r="F892" t="s">
        <v>30</v>
      </c>
      <c r="G892" t="s">
        <v>21</v>
      </c>
      <c r="H892" t="s">
        <v>18</v>
      </c>
      <c r="I892" t="s">
        <v>31</v>
      </c>
      <c r="J892">
        <v>6590.68</v>
      </c>
      <c r="K892">
        <v>8793.09</v>
      </c>
      <c r="L892" s="20">
        <f>tbl_Budget[[#This Row],[Actual]]-tbl_Budget[[#This Row],[Budget]]</f>
        <v>2202.41</v>
      </c>
      <c r="M892" s="3">
        <f>tbl_Budget[[#This Row],[Variance]]/tbl_Budget[[#This Row],[Budget]]</f>
        <v>0.33417037392196247</v>
      </c>
      <c r="N892" t="str">
        <f>IF(tbl_Budget[[#This Row],[Variance_%]]&gt;0.05,"Overspend",IF(tbl_Budget[[#This Row],[Variance_%]]&lt;-0.05,"Underspend","On Budget"))</f>
        <v>Overspend</v>
      </c>
    </row>
    <row r="893" spans="1:14">
      <c r="A893" s="1">
        <v>45170</v>
      </c>
      <c r="B893">
        <v>9</v>
      </c>
      <c r="C893" t="s">
        <v>46</v>
      </c>
      <c r="D893" t="s">
        <v>47</v>
      </c>
      <c r="E893">
        <v>2023</v>
      </c>
      <c r="F893" t="s">
        <v>30</v>
      </c>
      <c r="G893" t="s">
        <v>21</v>
      </c>
      <c r="H893" t="s">
        <v>19</v>
      </c>
      <c r="I893" t="s">
        <v>31</v>
      </c>
      <c r="J893">
        <v>7120.84</v>
      </c>
      <c r="K893">
        <v>9325.2099999999991</v>
      </c>
      <c r="L893" s="20">
        <f>tbl_Budget[[#This Row],[Actual]]-tbl_Budget[[#This Row],[Budget]]</f>
        <v>2204.369999999999</v>
      </c>
      <c r="M893" s="3">
        <f>tbl_Budget[[#This Row],[Variance]]/tbl_Budget[[#This Row],[Budget]]</f>
        <v>0.30956600625768854</v>
      </c>
      <c r="N893" t="str">
        <f>IF(tbl_Budget[[#This Row],[Variance_%]]&gt;0.05,"Overspend",IF(tbl_Budget[[#This Row],[Variance_%]]&lt;-0.05,"Underspend","On Budget"))</f>
        <v>Overspend</v>
      </c>
    </row>
    <row r="894" spans="1:14" hidden="1">
      <c r="A894" s="1">
        <v>45170</v>
      </c>
      <c r="B894">
        <v>9</v>
      </c>
      <c r="C894" t="s">
        <v>46</v>
      </c>
      <c r="D894" t="s">
        <v>47</v>
      </c>
      <c r="E894">
        <v>2023</v>
      </c>
      <c r="F894" t="s">
        <v>30</v>
      </c>
      <c r="G894" t="s">
        <v>22</v>
      </c>
      <c r="H894" t="s">
        <v>15</v>
      </c>
      <c r="I894" t="s">
        <v>31</v>
      </c>
      <c r="J894">
        <v>6949.73</v>
      </c>
      <c r="K894">
        <v>6999.13</v>
      </c>
      <c r="L894" s="20">
        <f>tbl_Budget[[#This Row],[Actual]]-tbl_Budget[[#This Row],[Budget]]</f>
        <v>49.400000000000546</v>
      </c>
      <c r="M894" s="3">
        <f>tbl_Budget[[#This Row],[Variance]]/tbl_Budget[[#This Row],[Budget]]</f>
        <v>7.1081898145684145E-3</v>
      </c>
      <c r="N894" t="str">
        <f>IF(tbl_Budget[[#This Row],[Variance_%]]&gt;0.05,"Overspend",IF(tbl_Budget[[#This Row],[Variance_%]]&lt;-0.05,"Underspend","On Budget"))</f>
        <v>On Budget</v>
      </c>
    </row>
    <row r="895" spans="1:14" hidden="1">
      <c r="A895" s="1">
        <v>45170</v>
      </c>
      <c r="B895">
        <v>9</v>
      </c>
      <c r="C895" t="s">
        <v>46</v>
      </c>
      <c r="D895" t="s">
        <v>47</v>
      </c>
      <c r="E895">
        <v>2023</v>
      </c>
      <c r="F895" t="s">
        <v>30</v>
      </c>
      <c r="G895" t="s">
        <v>22</v>
      </c>
      <c r="H895" t="s">
        <v>17</v>
      </c>
      <c r="I895" t="s">
        <v>31</v>
      </c>
      <c r="J895">
        <v>6771.64</v>
      </c>
      <c r="K895">
        <v>6540.85</v>
      </c>
      <c r="L895" s="20">
        <f>tbl_Budget[[#This Row],[Actual]]-tbl_Budget[[#This Row],[Budget]]</f>
        <v>-230.78999999999996</v>
      </c>
      <c r="M895" s="3">
        <f>tbl_Budget[[#This Row],[Variance]]/tbl_Budget[[#This Row],[Budget]]</f>
        <v>-3.4081847233461901E-2</v>
      </c>
      <c r="N895" t="str">
        <f>IF(tbl_Budget[[#This Row],[Variance_%]]&gt;0.05,"Overspend",IF(tbl_Budget[[#This Row],[Variance_%]]&lt;-0.05,"Underspend","On Budget"))</f>
        <v>On Budget</v>
      </c>
    </row>
    <row r="896" spans="1:14" hidden="1">
      <c r="A896" s="1">
        <v>45170</v>
      </c>
      <c r="B896">
        <v>9</v>
      </c>
      <c r="C896" t="s">
        <v>46</v>
      </c>
      <c r="D896" t="s">
        <v>47</v>
      </c>
      <c r="E896">
        <v>2023</v>
      </c>
      <c r="F896" t="s">
        <v>30</v>
      </c>
      <c r="G896" t="s">
        <v>22</v>
      </c>
      <c r="H896" t="s">
        <v>18</v>
      </c>
      <c r="I896" t="s">
        <v>31</v>
      </c>
      <c r="J896">
        <v>6744.61</v>
      </c>
      <c r="K896">
        <v>6903.91</v>
      </c>
      <c r="L896" s="20">
        <f>tbl_Budget[[#This Row],[Actual]]-tbl_Budget[[#This Row],[Budget]]</f>
        <v>159.30000000000018</v>
      </c>
      <c r="M896" s="3">
        <f>tbl_Budget[[#This Row],[Variance]]/tbl_Budget[[#This Row],[Budget]]</f>
        <v>2.361886009717392E-2</v>
      </c>
      <c r="N896" t="str">
        <f>IF(tbl_Budget[[#This Row],[Variance_%]]&gt;0.05,"Overspend",IF(tbl_Budget[[#This Row],[Variance_%]]&lt;-0.05,"Underspend","On Budget"))</f>
        <v>On Budget</v>
      </c>
    </row>
    <row r="897" spans="1:14" hidden="1">
      <c r="A897" s="1">
        <v>45170</v>
      </c>
      <c r="B897">
        <v>9</v>
      </c>
      <c r="C897" t="s">
        <v>46</v>
      </c>
      <c r="D897" t="s">
        <v>47</v>
      </c>
      <c r="E897">
        <v>2023</v>
      </c>
      <c r="F897" t="s">
        <v>30</v>
      </c>
      <c r="G897" t="s">
        <v>22</v>
      </c>
      <c r="H897" t="s">
        <v>19</v>
      </c>
      <c r="I897" t="s">
        <v>31</v>
      </c>
      <c r="J897">
        <v>7485.14</v>
      </c>
      <c r="K897">
        <v>7219.75</v>
      </c>
      <c r="L897" s="20">
        <f>tbl_Budget[[#This Row],[Actual]]-tbl_Budget[[#This Row],[Budget]]</f>
        <v>-265.39000000000033</v>
      </c>
      <c r="M897" s="3">
        <f>tbl_Budget[[#This Row],[Variance]]/tbl_Budget[[#This Row],[Budget]]</f>
        <v>-3.5455582661112595E-2</v>
      </c>
      <c r="N897" t="str">
        <f>IF(tbl_Budget[[#This Row],[Variance_%]]&gt;0.05,"Overspend",IF(tbl_Budget[[#This Row],[Variance_%]]&lt;-0.05,"Underspend","On Budget"))</f>
        <v>On Budget</v>
      </c>
    </row>
    <row r="898" spans="1:14" hidden="1">
      <c r="A898" s="1">
        <v>45170</v>
      </c>
      <c r="B898">
        <v>9</v>
      </c>
      <c r="C898" t="s">
        <v>46</v>
      </c>
      <c r="D898" t="s">
        <v>47</v>
      </c>
      <c r="E898">
        <v>2023</v>
      </c>
      <c r="F898" t="s">
        <v>30</v>
      </c>
      <c r="G898" t="s">
        <v>23</v>
      </c>
      <c r="H898" t="s">
        <v>15</v>
      </c>
      <c r="I898" t="s">
        <v>31</v>
      </c>
      <c r="J898">
        <v>6071.88</v>
      </c>
      <c r="K898">
        <v>5756.48</v>
      </c>
      <c r="L898" s="20">
        <f>tbl_Budget[[#This Row],[Actual]]-tbl_Budget[[#This Row],[Budget]]</f>
        <v>-315.40000000000055</v>
      </c>
      <c r="M898" s="3">
        <f>tbl_Budget[[#This Row],[Variance]]/tbl_Budget[[#This Row],[Budget]]</f>
        <v>-5.1944373077201879E-2</v>
      </c>
      <c r="N898" t="str">
        <f>IF(tbl_Budget[[#This Row],[Variance_%]]&gt;0.05,"Overspend",IF(tbl_Budget[[#This Row],[Variance_%]]&lt;-0.05,"Underspend","On Budget"))</f>
        <v>Underspend</v>
      </c>
    </row>
    <row r="899" spans="1:14" hidden="1">
      <c r="A899" s="1">
        <v>45170</v>
      </c>
      <c r="B899">
        <v>9</v>
      </c>
      <c r="C899" t="s">
        <v>46</v>
      </c>
      <c r="D899" t="s">
        <v>47</v>
      </c>
      <c r="E899">
        <v>2023</v>
      </c>
      <c r="F899" t="s">
        <v>30</v>
      </c>
      <c r="G899" t="s">
        <v>23</v>
      </c>
      <c r="H899" t="s">
        <v>17</v>
      </c>
      <c r="I899" t="s">
        <v>31</v>
      </c>
      <c r="J899">
        <v>5855.82</v>
      </c>
      <c r="K899">
        <v>6002.63</v>
      </c>
      <c r="L899" s="20">
        <f>tbl_Budget[[#This Row],[Actual]]-tbl_Budget[[#This Row],[Budget]]</f>
        <v>146.8100000000004</v>
      </c>
      <c r="M899" s="3">
        <f>tbl_Budget[[#This Row],[Variance]]/tbl_Budget[[#This Row],[Budget]]</f>
        <v>2.5070784279571504E-2</v>
      </c>
      <c r="N899" t="str">
        <f>IF(tbl_Budget[[#This Row],[Variance_%]]&gt;0.05,"Overspend",IF(tbl_Budget[[#This Row],[Variance_%]]&lt;-0.05,"Underspend","On Budget"))</f>
        <v>On Budget</v>
      </c>
    </row>
    <row r="900" spans="1:14" hidden="1">
      <c r="A900" s="1">
        <v>45170</v>
      </c>
      <c r="B900">
        <v>9</v>
      </c>
      <c r="C900" t="s">
        <v>46</v>
      </c>
      <c r="D900" t="s">
        <v>47</v>
      </c>
      <c r="E900">
        <v>2023</v>
      </c>
      <c r="F900" t="s">
        <v>30</v>
      </c>
      <c r="G900" t="s">
        <v>23</v>
      </c>
      <c r="H900" t="s">
        <v>18</v>
      </c>
      <c r="I900" t="s">
        <v>31</v>
      </c>
      <c r="J900">
        <v>6031.24</v>
      </c>
      <c r="K900">
        <v>6256.6</v>
      </c>
      <c r="L900" s="20">
        <f>tbl_Budget[[#This Row],[Actual]]-tbl_Budget[[#This Row],[Budget]]</f>
        <v>225.36000000000058</v>
      </c>
      <c r="M900" s="3">
        <f>tbl_Budget[[#This Row],[Variance]]/tbl_Budget[[#This Row],[Budget]]</f>
        <v>3.7365450554115005E-2</v>
      </c>
      <c r="N900" t="str">
        <f>IF(tbl_Budget[[#This Row],[Variance_%]]&gt;0.05,"Overspend",IF(tbl_Budget[[#This Row],[Variance_%]]&lt;-0.05,"Underspend","On Budget"))</f>
        <v>On Budget</v>
      </c>
    </row>
    <row r="901" spans="1:14" hidden="1">
      <c r="A901" s="1">
        <v>45170</v>
      </c>
      <c r="B901">
        <v>9</v>
      </c>
      <c r="C901" t="s">
        <v>46</v>
      </c>
      <c r="D901" t="s">
        <v>47</v>
      </c>
      <c r="E901">
        <v>2023</v>
      </c>
      <c r="F901" t="s">
        <v>30</v>
      </c>
      <c r="G901" t="s">
        <v>23</v>
      </c>
      <c r="H901" t="s">
        <v>19</v>
      </c>
      <c r="I901" t="s">
        <v>31</v>
      </c>
      <c r="J901">
        <v>6383.91</v>
      </c>
      <c r="K901">
        <v>6498.35</v>
      </c>
      <c r="L901" s="20">
        <f>tbl_Budget[[#This Row],[Actual]]-tbl_Budget[[#This Row],[Budget]]</f>
        <v>114.44000000000051</v>
      </c>
      <c r="M901" s="3">
        <f>tbl_Budget[[#This Row],[Variance]]/tbl_Budget[[#This Row],[Budget]]</f>
        <v>1.7926317883554203E-2</v>
      </c>
      <c r="N901" t="str">
        <f>IF(tbl_Budget[[#This Row],[Variance_%]]&gt;0.05,"Overspend",IF(tbl_Budget[[#This Row],[Variance_%]]&lt;-0.05,"Underspend","On Budget"))</f>
        <v>On Budget</v>
      </c>
    </row>
    <row r="902" spans="1:14" hidden="1">
      <c r="A902" s="1">
        <v>45200</v>
      </c>
      <c r="B902">
        <v>10</v>
      </c>
      <c r="C902" t="s">
        <v>48</v>
      </c>
      <c r="D902" t="s">
        <v>49</v>
      </c>
      <c r="E902">
        <v>2023</v>
      </c>
      <c r="F902" t="s">
        <v>13</v>
      </c>
      <c r="G902" t="s">
        <v>14</v>
      </c>
      <c r="H902" t="s">
        <v>15</v>
      </c>
      <c r="I902" t="s">
        <v>16</v>
      </c>
      <c r="J902">
        <v>47917.46</v>
      </c>
      <c r="K902">
        <v>56657.04</v>
      </c>
      <c r="L902" s="20">
        <f>tbl_Budget[[#This Row],[Actual]]-tbl_Budget[[#This Row],[Budget]]</f>
        <v>8739.5800000000017</v>
      </c>
      <c r="M902" s="3">
        <f>tbl_Budget[[#This Row],[Variance]]/tbl_Budget[[#This Row],[Budget]]</f>
        <v>0.182388215068161</v>
      </c>
      <c r="N902" t="str">
        <f>IF(tbl_Budget[[#This Row],[Variance_%]]&gt;0.05,"Overspend",IF(tbl_Budget[[#This Row],[Variance_%]]&lt;-0.05,"Underspend","On Budget"))</f>
        <v>Overspend</v>
      </c>
    </row>
    <row r="903" spans="1:14" hidden="1">
      <c r="A903" s="1">
        <v>45200</v>
      </c>
      <c r="B903">
        <v>10</v>
      </c>
      <c r="C903" t="s">
        <v>48</v>
      </c>
      <c r="D903" t="s">
        <v>49</v>
      </c>
      <c r="E903">
        <v>2023</v>
      </c>
      <c r="F903" t="s">
        <v>13</v>
      </c>
      <c r="G903" t="s">
        <v>14</v>
      </c>
      <c r="H903" t="s">
        <v>17</v>
      </c>
      <c r="I903" t="s">
        <v>16</v>
      </c>
      <c r="J903">
        <v>44677.82</v>
      </c>
      <c r="K903">
        <v>49909.4</v>
      </c>
      <c r="L903" s="20">
        <f>tbl_Budget[[#This Row],[Actual]]-tbl_Budget[[#This Row],[Budget]]</f>
        <v>5231.5800000000017</v>
      </c>
      <c r="M903" s="3">
        <f>tbl_Budget[[#This Row],[Variance]]/tbl_Budget[[#This Row],[Budget]]</f>
        <v>0.11709568640546925</v>
      </c>
      <c r="N903" t="str">
        <f>IF(tbl_Budget[[#This Row],[Variance_%]]&gt;0.05,"Overspend",IF(tbl_Budget[[#This Row],[Variance_%]]&lt;-0.05,"Underspend","On Budget"))</f>
        <v>Overspend</v>
      </c>
    </row>
    <row r="904" spans="1:14" hidden="1">
      <c r="A904" s="1">
        <v>45200</v>
      </c>
      <c r="B904">
        <v>10</v>
      </c>
      <c r="C904" t="s">
        <v>48</v>
      </c>
      <c r="D904" t="s">
        <v>49</v>
      </c>
      <c r="E904">
        <v>2023</v>
      </c>
      <c r="F904" t="s">
        <v>13</v>
      </c>
      <c r="G904" t="s">
        <v>14</v>
      </c>
      <c r="H904" t="s">
        <v>18</v>
      </c>
      <c r="I904" t="s">
        <v>16</v>
      </c>
      <c r="J904">
        <v>45947.81</v>
      </c>
      <c r="K904">
        <v>54011.64</v>
      </c>
      <c r="L904" s="20">
        <f>tbl_Budget[[#This Row],[Actual]]-tbl_Budget[[#This Row],[Budget]]</f>
        <v>8063.8300000000017</v>
      </c>
      <c r="M904" s="3">
        <f>tbl_Budget[[#This Row],[Variance]]/tbl_Budget[[#This Row],[Budget]]</f>
        <v>0.17549976810646692</v>
      </c>
      <c r="N904" t="str">
        <f>IF(tbl_Budget[[#This Row],[Variance_%]]&gt;0.05,"Overspend",IF(tbl_Budget[[#This Row],[Variance_%]]&lt;-0.05,"Underspend","On Budget"))</f>
        <v>Overspend</v>
      </c>
    </row>
    <row r="905" spans="1:14" hidden="1">
      <c r="A905" s="1">
        <v>45200</v>
      </c>
      <c r="B905">
        <v>10</v>
      </c>
      <c r="C905" t="s">
        <v>48</v>
      </c>
      <c r="D905" t="s">
        <v>49</v>
      </c>
      <c r="E905">
        <v>2023</v>
      </c>
      <c r="F905" t="s">
        <v>13</v>
      </c>
      <c r="G905" t="s">
        <v>14</v>
      </c>
      <c r="H905" t="s">
        <v>19</v>
      </c>
      <c r="I905" t="s">
        <v>16</v>
      </c>
      <c r="J905">
        <v>50779.29</v>
      </c>
      <c r="K905">
        <v>57018.26</v>
      </c>
      <c r="L905" s="20">
        <f>tbl_Budget[[#This Row],[Actual]]-tbl_Budget[[#This Row],[Budget]]</f>
        <v>6238.9700000000012</v>
      </c>
      <c r="M905" s="3">
        <f>tbl_Budget[[#This Row],[Variance]]/tbl_Budget[[#This Row],[Budget]]</f>
        <v>0.12286445911315422</v>
      </c>
      <c r="N905" t="str">
        <f>IF(tbl_Budget[[#This Row],[Variance_%]]&gt;0.05,"Overspend",IF(tbl_Budget[[#This Row],[Variance_%]]&lt;-0.05,"Underspend","On Budget"))</f>
        <v>Overspend</v>
      </c>
    </row>
    <row r="906" spans="1:14" hidden="1">
      <c r="A906" s="1">
        <v>45200</v>
      </c>
      <c r="B906">
        <v>10</v>
      </c>
      <c r="C906" t="s">
        <v>48</v>
      </c>
      <c r="D906" t="s">
        <v>49</v>
      </c>
      <c r="E906">
        <v>2023</v>
      </c>
      <c r="F906" t="s">
        <v>13</v>
      </c>
      <c r="G906" t="s">
        <v>20</v>
      </c>
      <c r="H906" t="s">
        <v>15</v>
      </c>
      <c r="I906" t="s">
        <v>16</v>
      </c>
      <c r="J906">
        <v>18508.919999999998</v>
      </c>
      <c r="K906">
        <v>20554.2</v>
      </c>
      <c r="L906" s="20">
        <f>tbl_Budget[[#This Row],[Actual]]-tbl_Budget[[#This Row],[Budget]]</f>
        <v>2045.2800000000025</v>
      </c>
      <c r="M906" s="3">
        <f>tbl_Budget[[#This Row],[Variance]]/tbl_Budget[[#This Row],[Budget]]</f>
        <v>0.11050239560168841</v>
      </c>
      <c r="N906" t="str">
        <f>IF(tbl_Budget[[#This Row],[Variance_%]]&gt;0.05,"Overspend",IF(tbl_Budget[[#This Row],[Variance_%]]&lt;-0.05,"Underspend","On Budget"))</f>
        <v>Overspend</v>
      </c>
    </row>
    <row r="907" spans="1:14" hidden="1">
      <c r="A907" s="1">
        <v>45200</v>
      </c>
      <c r="B907">
        <v>10</v>
      </c>
      <c r="C907" t="s">
        <v>48</v>
      </c>
      <c r="D907" t="s">
        <v>49</v>
      </c>
      <c r="E907">
        <v>2023</v>
      </c>
      <c r="F907" t="s">
        <v>13</v>
      </c>
      <c r="G907" t="s">
        <v>20</v>
      </c>
      <c r="H907" t="s">
        <v>17</v>
      </c>
      <c r="I907" t="s">
        <v>16</v>
      </c>
      <c r="J907">
        <v>17060.349999999999</v>
      </c>
      <c r="K907">
        <v>19878.5</v>
      </c>
      <c r="L907" s="20">
        <f>tbl_Budget[[#This Row],[Actual]]-tbl_Budget[[#This Row],[Budget]]</f>
        <v>2818.1500000000015</v>
      </c>
      <c r="M907" s="3">
        <f>tbl_Budget[[#This Row],[Variance]]/tbl_Budget[[#This Row],[Budget]]</f>
        <v>0.16518711515297177</v>
      </c>
      <c r="N907" t="str">
        <f>IF(tbl_Budget[[#This Row],[Variance_%]]&gt;0.05,"Overspend",IF(tbl_Budget[[#This Row],[Variance_%]]&lt;-0.05,"Underspend","On Budget"))</f>
        <v>Overspend</v>
      </c>
    </row>
    <row r="908" spans="1:14" hidden="1">
      <c r="A908" s="1">
        <v>45200</v>
      </c>
      <c r="B908">
        <v>10</v>
      </c>
      <c r="C908" t="s">
        <v>48</v>
      </c>
      <c r="D908" t="s">
        <v>49</v>
      </c>
      <c r="E908">
        <v>2023</v>
      </c>
      <c r="F908" t="s">
        <v>13</v>
      </c>
      <c r="G908" t="s">
        <v>20</v>
      </c>
      <c r="H908" t="s">
        <v>18</v>
      </c>
      <c r="I908" t="s">
        <v>16</v>
      </c>
      <c r="J908">
        <v>17308.439999999999</v>
      </c>
      <c r="K908">
        <v>19125.68</v>
      </c>
      <c r="L908" s="20">
        <f>tbl_Budget[[#This Row],[Actual]]-tbl_Budget[[#This Row],[Budget]]</f>
        <v>1817.2400000000016</v>
      </c>
      <c r="M908" s="3">
        <f>tbl_Budget[[#This Row],[Variance]]/tbl_Budget[[#This Row],[Budget]]</f>
        <v>0.10499155325378842</v>
      </c>
      <c r="N908" t="str">
        <f>IF(tbl_Budget[[#This Row],[Variance_%]]&gt;0.05,"Overspend",IF(tbl_Budget[[#This Row],[Variance_%]]&lt;-0.05,"Underspend","On Budget"))</f>
        <v>Overspend</v>
      </c>
    </row>
    <row r="909" spans="1:14" hidden="1">
      <c r="A909" s="1">
        <v>45200</v>
      </c>
      <c r="B909">
        <v>10</v>
      </c>
      <c r="C909" t="s">
        <v>48</v>
      </c>
      <c r="D909" t="s">
        <v>49</v>
      </c>
      <c r="E909">
        <v>2023</v>
      </c>
      <c r="F909" t="s">
        <v>13</v>
      </c>
      <c r="G909" t="s">
        <v>20</v>
      </c>
      <c r="H909" t="s">
        <v>19</v>
      </c>
      <c r="I909" t="s">
        <v>16</v>
      </c>
      <c r="J909">
        <v>18343.68</v>
      </c>
      <c r="K909">
        <v>21284.55</v>
      </c>
      <c r="L909" s="20">
        <f>tbl_Budget[[#This Row],[Actual]]-tbl_Budget[[#This Row],[Budget]]</f>
        <v>2940.869999999999</v>
      </c>
      <c r="M909" s="3">
        <f>tbl_Budget[[#This Row],[Variance]]/tbl_Budget[[#This Row],[Budget]]</f>
        <v>0.16032061178563947</v>
      </c>
      <c r="N909" t="str">
        <f>IF(tbl_Budget[[#This Row],[Variance_%]]&gt;0.05,"Overspend",IF(tbl_Budget[[#This Row],[Variance_%]]&lt;-0.05,"Underspend","On Budget"))</f>
        <v>Overspend</v>
      </c>
    </row>
    <row r="910" spans="1:14">
      <c r="A910" s="1">
        <v>45200</v>
      </c>
      <c r="B910">
        <v>10</v>
      </c>
      <c r="C910" t="s">
        <v>48</v>
      </c>
      <c r="D910" t="s">
        <v>49</v>
      </c>
      <c r="E910">
        <v>2023</v>
      </c>
      <c r="F910" t="s">
        <v>13</v>
      </c>
      <c r="G910" t="s">
        <v>21</v>
      </c>
      <c r="H910" t="s">
        <v>15</v>
      </c>
      <c r="I910" t="s">
        <v>16</v>
      </c>
      <c r="J910">
        <v>10001.76</v>
      </c>
      <c r="K910">
        <v>11737.64</v>
      </c>
      <c r="L910" s="20">
        <f>tbl_Budget[[#This Row],[Actual]]-tbl_Budget[[#This Row],[Budget]]</f>
        <v>1735.8799999999992</v>
      </c>
      <c r="M910" s="3">
        <f>tbl_Budget[[#This Row],[Variance]]/tbl_Budget[[#This Row],[Budget]]</f>
        <v>0.17355745388811561</v>
      </c>
      <c r="N910" t="str">
        <f>IF(tbl_Budget[[#This Row],[Variance_%]]&gt;0.05,"Overspend",IF(tbl_Budget[[#This Row],[Variance_%]]&lt;-0.05,"Underspend","On Budget"))</f>
        <v>Overspend</v>
      </c>
    </row>
    <row r="911" spans="1:14">
      <c r="A911" s="1">
        <v>45200</v>
      </c>
      <c r="B911">
        <v>10</v>
      </c>
      <c r="C911" t="s">
        <v>48</v>
      </c>
      <c r="D911" t="s">
        <v>49</v>
      </c>
      <c r="E911">
        <v>2023</v>
      </c>
      <c r="F911" t="s">
        <v>13</v>
      </c>
      <c r="G911" t="s">
        <v>21</v>
      </c>
      <c r="H911" t="s">
        <v>17</v>
      </c>
      <c r="I911" t="s">
        <v>16</v>
      </c>
      <c r="J911">
        <v>9703.58</v>
      </c>
      <c r="K911">
        <v>11554.64</v>
      </c>
      <c r="L911" s="20">
        <f>tbl_Budget[[#This Row],[Actual]]-tbl_Budget[[#This Row],[Budget]]</f>
        <v>1851.0599999999995</v>
      </c>
      <c r="M911" s="3">
        <f>tbl_Budget[[#This Row],[Variance]]/tbl_Budget[[#This Row],[Budget]]</f>
        <v>0.1907605234356804</v>
      </c>
      <c r="N911" t="str">
        <f>IF(tbl_Budget[[#This Row],[Variance_%]]&gt;0.05,"Overspend",IF(tbl_Budget[[#This Row],[Variance_%]]&lt;-0.05,"Underspend","On Budget"))</f>
        <v>Overspend</v>
      </c>
    </row>
    <row r="912" spans="1:14">
      <c r="A912" s="1">
        <v>45200</v>
      </c>
      <c r="B912">
        <v>10</v>
      </c>
      <c r="C912" t="s">
        <v>48</v>
      </c>
      <c r="D912" t="s">
        <v>49</v>
      </c>
      <c r="E912">
        <v>2023</v>
      </c>
      <c r="F912" t="s">
        <v>13</v>
      </c>
      <c r="G912" t="s">
        <v>21</v>
      </c>
      <c r="H912" t="s">
        <v>18</v>
      </c>
      <c r="I912" t="s">
        <v>16</v>
      </c>
      <c r="J912">
        <v>10077.469999999999</v>
      </c>
      <c r="K912">
        <v>11214.47</v>
      </c>
      <c r="L912" s="20">
        <f>tbl_Budget[[#This Row],[Actual]]-tbl_Budget[[#This Row],[Budget]]</f>
        <v>1137</v>
      </c>
      <c r="M912" s="3">
        <f>tbl_Budget[[#This Row],[Variance]]/tbl_Budget[[#This Row],[Budget]]</f>
        <v>0.1128259374624782</v>
      </c>
      <c r="N912" t="str">
        <f>IF(tbl_Budget[[#This Row],[Variance_%]]&gt;0.05,"Overspend",IF(tbl_Budget[[#This Row],[Variance_%]]&lt;-0.05,"Underspend","On Budget"))</f>
        <v>Overspend</v>
      </c>
    </row>
    <row r="913" spans="1:14">
      <c r="A913" s="1">
        <v>45200</v>
      </c>
      <c r="B913">
        <v>10</v>
      </c>
      <c r="C913" t="s">
        <v>48</v>
      </c>
      <c r="D913" t="s">
        <v>49</v>
      </c>
      <c r="E913">
        <v>2023</v>
      </c>
      <c r="F913" t="s">
        <v>13</v>
      </c>
      <c r="G913" t="s">
        <v>21</v>
      </c>
      <c r="H913" t="s">
        <v>19</v>
      </c>
      <c r="I913" t="s">
        <v>16</v>
      </c>
      <c r="J913">
        <v>10879.66</v>
      </c>
      <c r="K913">
        <v>12909.23</v>
      </c>
      <c r="L913" s="20">
        <f>tbl_Budget[[#This Row],[Actual]]-tbl_Budget[[#This Row],[Budget]]</f>
        <v>2029.5699999999997</v>
      </c>
      <c r="M913" s="3">
        <f>tbl_Budget[[#This Row],[Variance]]/tbl_Budget[[#This Row],[Budget]]</f>
        <v>0.18654718989380181</v>
      </c>
      <c r="N913" t="str">
        <f>IF(tbl_Budget[[#This Row],[Variance_%]]&gt;0.05,"Overspend",IF(tbl_Budget[[#This Row],[Variance_%]]&lt;-0.05,"Underspend","On Budget"))</f>
        <v>Overspend</v>
      </c>
    </row>
    <row r="914" spans="1:14" hidden="1">
      <c r="A914" s="1">
        <v>45200</v>
      </c>
      <c r="B914">
        <v>10</v>
      </c>
      <c r="C914" t="s">
        <v>48</v>
      </c>
      <c r="D914" t="s">
        <v>49</v>
      </c>
      <c r="E914">
        <v>2023</v>
      </c>
      <c r="F914" t="s">
        <v>13</v>
      </c>
      <c r="G914" t="s">
        <v>22</v>
      </c>
      <c r="H914" t="s">
        <v>15</v>
      </c>
      <c r="I914" t="s">
        <v>16</v>
      </c>
      <c r="J914">
        <v>8372.58</v>
      </c>
      <c r="K914">
        <v>9539.75</v>
      </c>
      <c r="L914" s="20">
        <f>tbl_Budget[[#This Row],[Actual]]-tbl_Budget[[#This Row],[Budget]]</f>
        <v>1167.17</v>
      </c>
      <c r="M914" s="3">
        <f>tbl_Budget[[#This Row],[Variance]]/tbl_Budget[[#This Row],[Budget]]</f>
        <v>0.13940386356415824</v>
      </c>
      <c r="N914" t="str">
        <f>IF(tbl_Budget[[#This Row],[Variance_%]]&gt;0.05,"Overspend",IF(tbl_Budget[[#This Row],[Variance_%]]&lt;-0.05,"Underspend","On Budget"))</f>
        <v>Overspend</v>
      </c>
    </row>
    <row r="915" spans="1:14" hidden="1">
      <c r="A915" s="1">
        <v>45200</v>
      </c>
      <c r="B915">
        <v>10</v>
      </c>
      <c r="C915" t="s">
        <v>48</v>
      </c>
      <c r="D915" t="s">
        <v>49</v>
      </c>
      <c r="E915">
        <v>2023</v>
      </c>
      <c r="F915" t="s">
        <v>13</v>
      </c>
      <c r="G915" t="s">
        <v>22</v>
      </c>
      <c r="H915" t="s">
        <v>17</v>
      </c>
      <c r="I915" t="s">
        <v>16</v>
      </c>
      <c r="J915">
        <v>8034.28</v>
      </c>
      <c r="K915">
        <v>9638.26</v>
      </c>
      <c r="L915" s="20">
        <f>tbl_Budget[[#This Row],[Actual]]-tbl_Budget[[#This Row],[Budget]]</f>
        <v>1603.9800000000005</v>
      </c>
      <c r="M915" s="3">
        <f>tbl_Budget[[#This Row],[Variance]]/tbl_Budget[[#This Row],[Budget]]</f>
        <v>0.19964203388480367</v>
      </c>
      <c r="N915" t="str">
        <f>IF(tbl_Budget[[#This Row],[Variance_%]]&gt;0.05,"Overspend",IF(tbl_Budget[[#This Row],[Variance_%]]&lt;-0.05,"Underspend","On Budget"))</f>
        <v>Overspend</v>
      </c>
    </row>
    <row r="916" spans="1:14" hidden="1">
      <c r="A916" s="1">
        <v>45200</v>
      </c>
      <c r="B916">
        <v>10</v>
      </c>
      <c r="C916" t="s">
        <v>48</v>
      </c>
      <c r="D916" t="s">
        <v>49</v>
      </c>
      <c r="E916">
        <v>2023</v>
      </c>
      <c r="F916" t="s">
        <v>13</v>
      </c>
      <c r="G916" t="s">
        <v>22</v>
      </c>
      <c r="H916" t="s">
        <v>18</v>
      </c>
      <c r="I916" t="s">
        <v>16</v>
      </c>
      <c r="J916">
        <v>7855.01</v>
      </c>
      <c r="K916">
        <v>9039.16</v>
      </c>
      <c r="L916" s="20">
        <f>tbl_Budget[[#This Row],[Actual]]-tbl_Budget[[#This Row],[Budget]]</f>
        <v>1184.1499999999996</v>
      </c>
      <c r="M916" s="3">
        <f>tbl_Budget[[#This Row],[Variance]]/tbl_Budget[[#This Row],[Budget]]</f>
        <v>0.15075092202301457</v>
      </c>
      <c r="N916" t="str">
        <f>IF(tbl_Budget[[#This Row],[Variance_%]]&gt;0.05,"Overspend",IF(tbl_Budget[[#This Row],[Variance_%]]&lt;-0.05,"Underspend","On Budget"))</f>
        <v>Overspend</v>
      </c>
    </row>
    <row r="917" spans="1:14" hidden="1">
      <c r="A917" s="1">
        <v>45200</v>
      </c>
      <c r="B917">
        <v>10</v>
      </c>
      <c r="C917" t="s">
        <v>48</v>
      </c>
      <c r="D917" t="s">
        <v>49</v>
      </c>
      <c r="E917">
        <v>2023</v>
      </c>
      <c r="F917" t="s">
        <v>13</v>
      </c>
      <c r="G917" t="s">
        <v>22</v>
      </c>
      <c r="H917" t="s">
        <v>19</v>
      </c>
      <c r="I917" t="s">
        <v>16</v>
      </c>
      <c r="J917">
        <v>8499.8799999999992</v>
      </c>
      <c r="K917">
        <v>9673.82</v>
      </c>
      <c r="L917" s="20">
        <f>tbl_Budget[[#This Row],[Actual]]-tbl_Budget[[#This Row],[Budget]]</f>
        <v>1173.9400000000005</v>
      </c>
      <c r="M917" s="3">
        <f>tbl_Budget[[#This Row],[Variance]]/tbl_Budget[[#This Row],[Budget]]</f>
        <v>0.13811253805936091</v>
      </c>
      <c r="N917" t="str">
        <f>IF(tbl_Budget[[#This Row],[Variance_%]]&gt;0.05,"Overspend",IF(tbl_Budget[[#This Row],[Variance_%]]&lt;-0.05,"Underspend","On Budget"))</f>
        <v>Overspend</v>
      </c>
    </row>
    <row r="918" spans="1:14" hidden="1">
      <c r="A918" s="1">
        <v>45200</v>
      </c>
      <c r="B918">
        <v>10</v>
      </c>
      <c r="C918" t="s">
        <v>48</v>
      </c>
      <c r="D918" t="s">
        <v>49</v>
      </c>
      <c r="E918">
        <v>2023</v>
      </c>
      <c r="F918" t="s">
        <v>13</v>
      </c>
      <c r="G918" t="s">
        <v>23</v>
      </c>
      <c r="H918" t="s">
        <v>15</v>
      </c>
      <c r="I918" t="s">
        <v>16</v>
      </c>
      <c r="J918">
        <v>8384.65</v>
      </c>
      <c r="K918">
        <v>9276.89</v>
      </c>
      <c r="L918" s="20">
        <f>tbl_Budget[[#This Row],[Actual]]-tbl_Budget[[#This Row],[Budget]]</f>
        <v>892.23999999999978</v>
      </c>
      <c r="M918" s="3">
        <f>tbl_Budget[[#This Row],[Variance]]/tbl_Budget[[#This Row],[Budget]]</f>
        <v>0.10641350563231618</v>
      </c>
      <c r="N918" t="str">
        <f>IF(tbl_Budget[[#This Row],[Variance_%]]&gt;0.05,"Overspend",IF(tbl_Budget[[#This Row],[Variance_%]]&lt;-0.05,"Underspend","On Budget"))</f>
        <v>Overspend</v>
      </c>
    </row>
    <row r="919" spans="1:14" hidden="1">
      <c r="A919" s="1">
        <v>45200</v>
      </c>
      <c r="B919">
        <v>10</v>
      </c>
      <c r="C919" t="s">
        <v>48</v>
      </c>
      <c r="D919" t="s">
        <v>49</v>
      </c>
      <c r="E919">
        <v>2023</v>
      </c>
      <c r="F919" t="s">
        <v>13</v>
      </c>
      <c r="G919" t="s">
        <v>23</v>
      </c>
      <c r="H919" t="s">
        <v>17</v>
      </c>
      <c r="I919" t="s">
        <v>16</v>
      </c>
      <c r="J919">
        <v>8314.01</v>
      </c>
      <c r="K919">
        <v>9632.5400000000009</v>
      </c>
      <c r="L919" s="20">
        <f>tbl_Budget[[#This Row],[Actual]]-tbl_Budget[[#This Row],[Budget]]</f>
        <v>1318.5300000000007</v>
      </c>
      <c r="M919" s="3">
        <f>tbl_Budget[[#This Row],[Variance]]/tbl_Budget[[#This Row],[Budget]]</f>
        <v>0.15859134160290889</v>
      </c>
      <c r="N919" t="str">
        <f>IF(tbl_Budget[[#This Row],[Variance_%]]&gt;0.05,"Overspend",IF(tbl_Budget[[#This Row],[Variance_%]]&lt;-0.05,"Underspend","On Budget"))</f>
        <v>Overspend</v>
      </c>
    </row>
    <row r="920" spans="1:14" hidden="1">
      <c r="A920" s="1">
        <v>45200</v>
      </c>
      <c r="B920">
        <v>10</v>
      </c>
      <c r="C920" t="s">
        <v>48</v>
      </c>
      <c r="D920" t="s">
        <v>49</v>
      </c>
      <c r="E920">
        <v>2023</v>
      </c>
      <c r="F920" t="s">
        <v>13</v>
      </c>
      <c r="G920" t="s">
        <v>23</v>
      </c>
      <c r="H920" t="s">
        <v>18</v>
      </c>
      <c r="I920" t="s">
        <v>16</v>
      </c>
      <c r="J920">
        <v>8063.01</v>
      </c>
      <c r="K920">
        <v>9279.24</v>
      </c>
      <c r="L920" s="20">
        <f>tbl_Budget[[#This Row],[Actual]]-tbl_Budget[[#This Row],[Budget]]</f>
        <v>1216.2299999999996</v>
      </c>
      <c r="M920" s="3">
        <f>tbl_Budget[[#This Row],[Variance]]/tbl_Budget[[#This Row],[Budget]]</f>
        <v>0.15084069100745248</v>
      </c>
      <c r="N920" t="str">
        <f>IF(tbl_Budget[[#This Row],[Variance_%]]&gt;0.05,"Overspend",IF(tbl_Budget[[#This Row],[Variance_%]]&lt;-0.05,"Underspend","On Budget"))</f>
        <v>Overspend</v>
      </c>
    </row>
    <row r="921" spans="1:14" hidden="1">
      <c r="A921" s="1">
        <v>45200</v>
      </c>
      <c r="B921">
        <v>10</v>
      </c>
      <c r="C921" t="s">
        <v>48</v>
      </c>
      <c r="D921" t="s">
        <v>49</v>
      </c>
      <c r="E921">
        <v>2023</v>
      </c>
      <c r="F921" t="s">
        <v>13</v>
      </c>
      <c r="G921" t="s">
        <v>23</v>
      </c>
      <c r="H921" t="s">
        <v>19</v>
      </c>
      <c r="I921" t="s">
        <v>16</v>
      </c>
      <c r="J921">
        <v>8930.23</v>
      </c>
      <c r="K921">
        <v>10297.82</v>
      </c>
      <c r="L921" s="20">
        <f>tbl_Budget[[#This Row],[Actual]]-tbl_Budget[[#This Row],[Budget]]</f>
        <v>1367.5900000000001</v>
      </c>
      <c r="M921" s="3">
        <f>tbl_Budget[[#This Row],[Variance]]/tbl_Budget[[#This Row],[Budget]]</f>
        <v>0.15314163241036347</v>
      </c>
      <c r="N921" t="str">
        <f>IF(tbl_Budget[[#This Row],[Variance_%]]&gt;0.05,"Overspend",IF(tbl_Budget[[#This Row],[Variance_%]]&lt;-0.05,"Underspend","On Budget"))</f>
        <v>Overspend</v>
      </c>
    </row>
    <row r="922" spans="1:14" hidden="1">
      <c r="A922" s="1">
        <v>45200</v>
      </c>
      <c r="B922">
        <v>10</v>
      </c>
      <c r="C922" t="s">
        <v>48</v>
      </c>
      <c r="D922" t="s">
        <v>49</v>
      </c>
      <c r="E922">
        <v>2023</v>
      </c>
      <c r="F922" t="s">
        <v>24</v>
      </c>
      <c r="G922" t="s">
        <v>14</v>
      </c>
      <c r="H922" t="s">
        <v>15</v>
      </c>
      <c r="I922" t="s">
        <v>25</v>
      </c>
      <c r="J922">
        <v>49388.959999999999</v>
      </c>
      <c r="K922">
        <v>43268.35</v>
      </c>
      <c r="L922" s="20">
        <f>tbl_Budget[[#This Row],[Actual]]-tbl_Budget[[#This Row],[Budget]]</f>
        <v>-6120.6100000000006</v>
      </c>
      <c r="M922" s="3">
        <f>tbl_Budget[[#This Row],[Variance]]/tbl_Budget[[#This Row],[Budget]]</f>
        <v>-0.12392668321017491</v>
      </c>
      <c r="N922" t="str">
        <f>IF(tbl_Budget[[#This Row],[Variance_%]]&gt;0.05,"Overspend",IF(tbl_Budget[[#This Row],[Variance_%]]&lt;-0.05,"Underspend","On Budget"))</f>
        <v>Underspend</v>
      </c>
    </row>
    <row r="923" spans="1:14" hidden="1">
      <c r="A923" s="1">
        <v>45200</v>
      </c>
      <c r="B923">
        <v>10</v>
      </c>
      <c r="C923" t="s">
        <v>48</v>
      </c>
      <c r="D923" t="s">
        <v>49</v>
      </c>
      <c r="E923">
        <v>2023</v>
      </c>
      <c r="F923" t="s">
        <v>24</v>
      </c>
      <c r="G923" t="s">
        <v>14</v>
      </c>
      <c r="H923" t="s">
        <v>17</v>
      </c>
      <c r="I923" t="s">
        <v>25</v>
      </c>
      <c r="J923">
        <v>48899.29</v>
      </c>
      <c r="K923">
        <v>44172.52</v>
      </c>
      <c r="L923" s="20">
        <f>tbl_Budget[[#This Row],[Actual]]-tbl_Budget[[#This Row],[Budget]]</f>
        <v>-4726.7700000000041</v>
      </c>
      <c r="M923" s="3">
        <f>tbl_Budget[[#This Row],[Variance]]/tbl_Budget[[#This Row],[Budget]]</f>
        <v>-9.6663366686919258E-2</v>
      </c>
      <c r="N923" t="str">
        <f>IF(tbl_Budget[[#This Row],[Variance_%]]&gt;0.05,"Overspend",IF(tbl_Budget[[#This Row],[Variance_%]]&lt;-0.05,"Underspend","On Budget"))</f>
        <v>Underspend</v>
      </c>
    </row>
    <row r="924" spans="1:14" hidden="1">
      <c r="A924" s="1">
        <v>45200</v>
      </c>
      <c r="B924">
        <v>10</v>
      </c>
      <c r="C924" t="s">
        <v>48</v>
      </c>
      <c r="D924" t="s">
        <v>49</v>
      </c>
      <c r="E924">
        <v>2023</v>
      </c>
      <c r="F924" t="s">
        <v>24</v>
      </c>
      <c r="G924" t="s">
        <v>14</v>
      </c>
      <c r="H924" t="s">
        <v>18</v>
      </c>
      <c r="I924" t="s">
        <v>25</v>
      </c>
      <c r="J924">
        <v>48467.42</v>
      </c>
      <c r="K924">
        <v>41991.26</v>
      </c>
      <c r="L924" s="20">
        <f>tbl_Budget[[#This Row],[Actual]]-tbl_Budget[[#This Row],[Budget]]</f>
        <v>-6476.1599999999962</v>
      </c>
      <c r="M924" s="3">
        <f>tbl_Budget[[#This Row],[Variance]]/tbl_Budget[[#This Row],[Budget]]</f>
        <v>-0.13361883095902352</v>
      </c>
      <c r="N924" t="str">
        <f>IF(tbl_Budget[[#This Row],[Variance_%]]&gt;0.05,"Overspend",IF(tbl_Budget[[#This Row],[Variance_%]]&lt;-0.05,"Underspend","On Budget"))</f>
        <v>Underspend</v>
      </c>
    </row>
    <row r="925" spans="1:14" hidden="1">
      <c r="A925" s="1">
        <v>45200</v>
      </c>
      <c r="B925">
        <v>10</v>
      </c>
      <c r="C925" t="s">
        <v>48</v>
      </c>
      <c r="D925" t="s">
        <v>49</v>
      </c>
      <c r="E925">
        <v>2023</v>
      </c>
      <c r="F925" t="s">
        <v>24</v>
      </c>
      <c r="G925" t="s">
        <v>14</v>
      </c>
      <c r="H925" t="s">
        <v>19</v>
      </c>
      <c r="I925" t="s">
        <v>25</v>
      </c>
      <c r="J925">
        <v>52705.599999999999</v>
      </c>
      <c r="K925">
        <v>45340.39</v>
      </c>
      <c r="L925" s="20">
        <f>tbl_Budget[[#This Row],[Actual]]-tbl_Budget[[#This Row],[Budget]]</f>
        <v>-7365.2099999999991</v>
      </c>
      <c r="M925" s="3">
        <f>tbl_Budget[[#This Row],[Variance]]/tbl_Budget[[#This Row],[Budget]]</f>
        <v>-0.13974245620958684</v>
      </c>
      <c r="N925" t="str">
        <f>IF(tbl_Budget[[#This Row],[Variance_%]]&gt;0.05,"Overspend",IF(tbl_Budget[[#This Row],[Variance_%]]&lt;-0.05,"Underspend","On Budget"))</f>
        <v>Underspend</v>
      </c>
    </row>
    <row r="926" spans="1:14" hidden="1">
      <c r="A926" s="1">
        <v>45200</v>
      </c>
      <c r="B926">
        <v>10</v>
      </c>
      <c r="C926" t="s">
        <v>48</v>
      </c>
      <c r="D926" t="s">
        <v>49</v>
      </c>
      <c r="E926">
        <v>2023</v>
      </c>
      <c r="F926" t="s">
        <v>24</v>
      </c>
      <c r="G926" t="s">
        <v>20</v>
      </c>
      <c r="H926" t="s">
        <v>15</v>
      </c>
      <c r="I926" t="s">
        <v>25</v>
      </c>
      <c r="J926">
        <v>27571.66</v>
      </c>
      <c r="K926">
        <v>24665.55</v>
      </c>
      <c r="L926" s="20">
        <f>tbl_Budget[[#This Row],[Actual]]-tbl_Budget[[#This Row],[Budget]]</f>
        <v>-2906.1100000000006</v>
      </c>
      <c r="M926" s="3">
        <f>tbl_Budget[[#This Row],[Variance]]/tbl_Budget[[#This Row],[Budget]]</f>
        <v>-0.1054020686458487</v>
      </c>
      <c r="N926" t="str">
        <f>IF(tbl_Budget[[#This Row],[Variance_%]]&gt;0.05,"Overspend",IF(tbl_Budget[[#This Row],[Variance_%]]&lt;-0.05,"Underspend","On Budget"))</f>
        <v>Underspend</v>
      </c>
    </row>
    <row r="927" spans="1:14" hidden="1">
      <c r="A927" s="1">
        <v>45200</v>
      </c>
      <c r="B927">
        <v>10</v>
      </c>
      <c r="C927" t="s">
        <v>48</v>
      </c>
      <c r="D927" t="s">
        <v>49</v>
      </c>
      <c r="E927">
        <v>2023</v>
      </c>
      <c r="F927" t="s">
        <v>24</v>
      </c>
      <c r="G927" t="s">
        <v>20</v>
      </c>
      <c r="H927" t="s">
        <v>17</v>
      </c>
      <c r="I927" t="s">
        <v>25</v>
      </c>
      <c r="J927">
        <v>26517.759999999998</v>
      </c>
      <c r="K927">
        <v>23294.27</v>
      </c>
      <c r="L927" s="20">
        <f>tbl_Budget[[#This Row],[Actual]]-tbl_Budget[[#This Row],[Budget]]</f>
        <v>-3223.489999999998</v>
      </c>
      <c r="M927" s="3">
        <f>tbl_Budget[[#This Row],[Variance]]/tbl_Budget[[#This Row],[Budget]]</f>
        <v>-0.12155966416469559</v>
      </c>
      <c r="N927" t="str">
        <f>IF(tbl_Budget[[#This Row],[Variance_%]]&gt;0.05,"Overspend",IF(tbl_Budget[[#This Row],[Variance_%]]&lt;-0.05,"Underspend","On Budget"))</f>
        <v>Underspend</v>
      </c>
    </row>
    <row r="928" spans="1:14" hidden="1">
      <c r="A928" s="1">
        <v>45200</v>
      </c>
      <c r="B928">
        <v>10</v>
      </c>
      <c r="C928" t="s">
        <v>48</v>
      </c>
      <c r="D928" t="s">
        <v>49</v>
      </c>
      <c r="E928">
        <v>2023</v>
      </c>
      <c r="F928" t="s">
        <v>24</v>
      </c>
      <c r="G928" t="s">
        <v>20</v>
      </c>
      <c r="H928" t="s">
        <v>18</v>
      </c>
      <c r="I928" t="s">
        <v>25</v>
      </c>
      <c r="J928">
        <v>26621.97</v>
      </c>
      <c r="K928">
        <v>22819.67</v>
      </c>
      <c r="L928" s="20">
        <f>tbl_Budget[[#This Row],[Actual]]-tbl_Budget[[#This Row],[Budget]]</f>
        <v>-3802.3000000000029</v>
      </c>
      <c r="M928" s="3">
        <f>tbl_Budget[[#This Row],[Variance]]/tbl_Budget[[#This Row],[Budget]]</f>
        <v>-0.14282564363193267</v>
      </c>
      <c r="N928" t="str">
        <f>IF(tbl_Budget[[#This Row],[Variance_%]]&gt;0.05,"Overspend",IF(tbl_Budget[[#This Row],[Variance_%]]&lt;-0.05,"Underspend","On Budget"))</f>
        <v>Underspend</v>
      </c>
    </row>
    <row r="929" spans="1:14" hidden="1">
      <c r="A929" s="1">
        <v>45200</v>
      </c>
      <c r="B929">
        <v>10</v>
      </c>
      <c r="C929" t="s">
        <v>48</v>
      </c>
      <c r="D929" t="s">
        <v>49</v>
      </c>
      <c r="E929">
        <v>2023</v>
      </c>
      <c r="F929" t="s">
        <v>24</v>
      </c>
      <c r="G929" t="s">
        <v>20</v>
      </c>
      <c r="H929" t="s">
        <v>19</v>
      </c>
      <c r="I929" t="s">
        <v>25</v>
      </c>
      <c r="J929">
        <v>28591.07</v>
      </c>
      <c r="K929">
        <v>24801.93</v>
      </c>
      <c r="L929" s="20">
        <f>tbl_Budget[[#This Row],[Actual]]-tbl_Budget[[#This Row],[Budget]]</f>
        <v>-3789.1399999999994</v>
      </c>
      <c r="M929" s="3">
        <f>tbl_Budget[[#This Row],[Variance]]/tbl_Budget[[#This Row],[Budget]]</f>
        <v>-0.13252879308119631</v>
      </c>
      <c r="N929" t="str">
        <f>IF(tbl_Budget[[#This Row],[Variance_%]]&gt;0.05,"Overspend",IF(tbl_Budget[[#This Row],[Variance_%]]&lt;-0.05,"Underspend","On Budget"))</f>
        <v>Underspend</v>
      </c>
    </row>
    <row r="930" spans="1:14">
      <c r="A930" s="1">
        <v>45200</v>
      </c>
      <c r="B930">
        <v>10</v>
      </c>
      <c r="C930" t="s">
        <v>48</v>
      </c>
      <c r="D930" t="s">
        <v>49</v>
      </c>
      <c r="E930">
        <v>2023</v>
      </c>
      <c r="F930" t="s">
        <v>24</v>
      </c>
      <c r="G930" t="s">
        <v>21</v>
      </c>
      <c r="H930" t="s">
        <v>15</v>
      </c>
      <c r="I930" t="s">
        <v>25</v>
      </c>
      <c r="J930">
        <v>10532.93</v>
      </c>
      <c r="K930">
        <v>9213.02</v>
      </c>
      <c r="L930" s="20">
        <f>tbl_Budget[[#This Row],[Actual]]-tbl_Budget[[#This Row],[Budget]]</f>
        <v>-1319.9099999999999</v>
      </c>
      <c r="M930" s="3">
        <f>tbl_Budget[[#This Row],[Variance]]/tbl_Budget[[#This Row],[Budget]]</f>
        <v>-0.12531270975882303</v>
      </c>
      <c r="N930" t="str">
        <f>IF(tbl_Budget[[#This Row],[Variance_%]]&gt;0.05,"Overspend",IF(tbl_Budget[[#This Row],[Variance_%]]&lt;-0.05,"Underspend","On Budget"))</f>
        <v>Underspend</v>
      </c>
    </row>
    <row r="931" spans="1:14">
      <c r="A931" s="1">
        <v>45200</v>
      </c>
      <c r="B931">
        <v>10</v>
      </c>
      <c r="C931" t="s">
        <v>48</v>
      </c>
      <c r="D931" t="s">
        <v>49</v>
      </c>
      <c r="E931">
        <v>2023</v>
      </c>
      <c r="F931" t="s">
        <v>24</v>
      </c>
      <c r="G931" t="s">
        <v>21</v>
      </c>
      <c r="H931" t="s">
        <v>17</v>
      </c>
      <c r="I931" t="s">
        <v>25</v>
      </c>
      <c r="J931">
        <v>9932.76</v>
      </c>
      <c r="K931">
        <v>8802.2199999999993</v>
      </c>
      <c r="L931" s="20">
        <f>tbl_Budget[[#This Row],[Actual]]-tbl_Budget[[#This Row],[Budget]]</f>
        <v>-1130.5400000000009</v>
      </c>
      <c r="M931" s="3">
        <f>tbl_Budget[[#This Row],[Variance]]/tbl_Budget[[#This Row],[Budget]]</f>
        <v>-0.11381932111517855</v>
      </c>
      <c r="N931" t="str">
        <f>IF(tbl_Budget[[#This Row],[Variance_%]]&gt;0.05,"Overspend",IF(tbl_Budget[[#This Row],[Variance_%]]&lt;-0.05,"Underspend","On Budget"))</f>
        <v>Underspend</v>
      </c>
    </row>
    <row r="932" spans="1:14">
      <c r="A932" s="1">
        <v>45200</v>
      </c>
      <c r="B932">
        <v>10</v>
      </c>
      <c r="C932" t="s">
        <v>48</v>
      </c>
      <c r="D932" t="s">
        <v>49</v>
      </c>
      <c r="E932">
        <v>2023</v>
      </c>
      <c r="F932" t="s">
        <v>24</v>
      </c>
      <c r="G932" t="s">
        <v>21</v>
      </c>
      <c r="H932" t="s">
        <v>18</v>
      </c>
      <c r="I932" t="s">
        <v>25</v>
      </c>
      <c r="J932">
        <v>10332.81</v>
      </c>
      <c r="K932">
        <v>9062.4699999999993</v>
      </c>
      <c r="L932" s="20">
        <f>tbl_Budget[[#This Row],[Actual]]-tbl_Budget[[#This Row],[Budget]]</f>
        <v>-1270.3400000000001</v>
      </c>
      <c r="M932" s="3">
        <f>tbl_Budget[[#This Row],[Variance]]/tbl_Budget[[#This Row],[Budget]]</f>
        <v>-0.12294235546768016</v>
      </c>
      <c r="N932" t="str">
        <f>IF(tbl_Budget[[#This Row],[Variance_%]]&gt;0.05,"Overspend",IF(tbl_Budget[[#This Row],[Variance_%]]&lt;-0.05,"Underspend","On Budget"))</f>
        <v>Underspend</v>
      </c>
    </row>
    <row r="933" spans="1:14">
      <c r="A933" s="1">
        <v>45200</v>
      </c>
      <c r="B933">
        <v>10</v>
      </c>
      <c r="C933" t="s">
        <v>48</v>
      </c>
      <c r="D933" t="s">
        <v>49</v>
      </c>
      <c r="E933">
        <v>2023</v>
      </c>
      <c r="F933" t="s">
        <v>24</v>
      </c>
      <c r="G933" t="s">
        <v>21</v>
      </c>
      <c r="H933" t="s">
        <v>19</v>
      </c>
      <c r="I933" t="s">
        <v>25</v>
      </c>
      <c r="J933">
        <v>11016.42</v>
      </c>
      <c r="K933">
        <v>9867.49</v>
      </c>
      <c r="L933" s="20">
        <f>tbl_Budget[[#This Row],[Actual]]-tbl_Budget[[#This Row],[Budget]]</f>
        <v>-1148.9300000000003</v>
      </c>
      <c r="M933" s="3">
        <f>tbl_Budget[[#This Row],[Variance]]/tbl_Budget[[#This Row],[Budget]]</f>
        <v>-0.1042925015567671</v>
      </c>
      <c r="N933" t="str">
        <f>IF(tbl_Budget[[#This Row],[Variance_%]]&gt;0.05,"Overspend",IF(tbl_Budget[[#This Row],[Variance_%]]&lt;-0.05,"Underspend","On Budget"))</f>
        <v>Underspend</v>
      </c>
    </row>
    <row r="934" spans="1:14" hidden="1">
      <c r="A934" s="1">
        <v>45200</v>
      </c>
      <c r="B934">
        <v>10</v>
      </c>
      <c r="C934" t="s">
        <v>48</v>
      </c>
      <c r="D934" t="s">
        <v>49</v>
      </c>
      <c r="E934">
        <v>2023</v>
      </c>
      <c r="F934" t="s">
        <v>24</v>
      </c>
      <c r="G934" t="s">
        <v>22</v>
      </c>
      <c r="H934" t="s">
        <v>15</v>
      </c>
      <c r="I934" t="s">
        <v>25</v>
      </c>
      <c r="J934">
        <v>8839.0300000000007</v>
      </c>
      <c r="K934">
        <v>7742.14</v>
      </c>
      <c r="L934" s="20">
        <f>tbl_Budget[[#This Row],[Actual]]-tbl_Budget[[#This Row],[Budget]]</f>
        <v>-1096.8900000000003</v>
      </c>
      <c r="M934" s="3">
        <f>tbl_Budget[[#This Row],[Variance]]/tbl_Budget[[#This Row],[Budget]]</f>
        <v>-0.12409619607581378</v>
      </c>
      <c r="N934" t="str">
        <f>IF(tbl_Budget[[#This Row],[Variance_%]]&gt;0.05,"Overspend",IF(tbl_Budget[[#This Row],[Variance_%]]&lt;-0.05,"Underspend","On Budget"))</f>
        <v>Underspend</v>
      </c>
    </row>
    <row r="935" spans="1:14" hidden="1">
      <c r="A935" s="1">
        <v>45200</v>
      </c>
      <c r="B935">
        <v>10</v>
      </c>
      <c r="C935" t="s">
        <v>48</v>
      </c>
      <c r="D935" t="s">
        <v>49</v>
      </c>
      <c r="E935">
        <v>2023</v>
      </c>
      <c r="F935" t="s">
        <v>24</v>
      </c>
      <c r="G935" t="s">
        <v>22</v>
      </c>
      <c r="H935" t="s">
        <v>17</v>
      </c>
      <c r="I935" t="s">
        <v>25</v>
      </c>
      <c r="J935">
        <v>8308.51</v>
      </c>
      <c r="K935">
        <v>7238.06</v>
      </c>
      <c r="L935" s="20">
        <f>tbl_Budget[[#This Row],[Actual]]-tbl_Budget[[#This Row],[Budget]]</f>
        <v>-1070.4499999999998</v>
      </c>
      <c r="M935" s="3">
        <f>tbl_Budget[[#This Row],[Variance]]/tbl_Budget[[#This Row],[Budget]]</f>
        <v>-0.12883778198497683</v>
      </c>
      <c r="N935" t="str">
        <f>IF(tbl_Budget[[#This Row],[Variance_%]]&gt;0.05,"Overspend",IF(tbl_Budget[[#This Row],[Variance_%]]&lt;-0.05,"Underspend","On Budget"))</f>
        <v>Underspend</v>
      </c>
    </row>
    <row r="936" spans="1:14" hidden="1">
      <c r="A936" s="1">
        <v>45200</v>
      </c>
      <c r="B936">
        <v>10</v>
      </c>
      <c r="C936" t="s">
        <v>48</v>
      </c>
      <c r="D936" t="s">
        <v>49</v>
      </c>
      <c r="E936">
        <v>2023</v>
      </c>
      <c r="F936" t="s">
        <v>24</v>
      </c>
      <c r="G936" t="s">
        <v>22</v>
      </c>
      <c r="H936" t="s">
        <v>18</v>
      </c>
      <c r="I936" t="s">
        <v>25</v>
      </c>
      <c r="J936">
        <v>8406.58</v>
      </c>
      <c r="K936">
        <v>7177.17</v>
      </c>
      <c r="L936" s="20">
        <f>tbl_Budget[[#This Row],[Actual]]-tbl_Budget[[#This Row],[Budget]]</f>
        <v>-1229.4099999999999</v>
      </c>
      <c r="M936" s="3">
        <f>tbl_Budget[[#This Row],[Variance]]/tbl_Budget[[#This Row],[Budget]]</f>
        <v>-0.14624377570902791</v>
      </c>
      <c r="N936" t="str">
        <f>IF(tbl_Budget[[#This Row],[Variance_%]]&gt;0.05,"Overspend",IF(tbl_Budget[[#This Row],[Variance_%]]&lt;-0.05,"Underspend","On Budget"))</f>
        <v>Underspend</v>
      </c>
    </row>
    <row r="937" spans="1:14" hidden="1">
      <c r="A937" s="1">
        <v>45200</v>
      </c>
      <c r="B937">
        <v>10</v>
      </c>
      <c r="C937" t="s">
        <v>48</v>
      </c>
      <c r="D937" t="s">
        <v>49</v>
      </c>
      <c r="E937">
        <v>2023</v>
      </c>
      <c r="F937" t="s">
        <v>24</v>
      </c>
      <c r="G937" t="s">
        <v>22</v>
      </c>
      <c r="H937" t="s">
        <v>19</v>
      </c>
      <c r="I937" t="s">
        <v>25</v>
      </c>
      <c r="J937">
        <v>8889.26</v>
      </c>
      <c r="K937">
        <v>7747.11</v>
      </c>
      <c r="L937" s="20">
        <f>tbl_Budget[[#This Row],[Actual]]-tbl_Budget[[#This Row],[Budget]]</f>
        <v>-1142.1500000000005</v>
      </c>
      <c r="M937" s="3">
        <f>tbl_Budget[[#This Row],[Variance]]/tbl_Budget[[#This Row],[Budget]]</f>
        <v>-0.12848651068817882</v>
      </c>
      <c r="N937" t="str">
        <f>IF(tbl_Budget[[#This Row],[Variance_%]]&gt;0.05,"Overspend",IF(tbl_Budget[[#This Row],[Variance_%]]&lt;-0.05,"Underspend","On Budget"))</f>
        <v>Underspend</v>
      </c>
    </row>
    <row r="938" spans="1:14" hidden="1">
      <c r="A938" s="1">
        <v>45200</v>
      </c>
      <c r="B938">
        <v>10</v>
      </c>
      <c r="C938" t="s">
        <v>48</v>
      </c>
      <c r="D938" t="s">
        <v>49</v>
      </c>
      <c r="E938">
        <v>2023</v>
      </c>
      <c r="F938" t="s">
        <v>24</v>
      </c>
      <c r="G938" t="s">
        <v>23</v>
      </c>
      <c r="H938" t="s">
        <v>15</v>
      </c>
      <c r="I938" t="s">
        <v>25</v>
      </c>
      <c r="J938">
        <v>7697.8</v>
      </c>
      <c r="K938">
        <v>6573</v>
      </c>
      <c r="L938" s="20">
        <f>tbl_Budget[[#This Row],[Actual]]-tbl_Budget[[#This Row],[Budget]]</f>
        <v>-1124.8000000000002</v>
      </c>
      <c r="M938" s="3">
        <f>tbl_Budget[[#This Row],[Variance]]/tbl_Budget[[#This Row],[Budget]]</f>
        <v>-0.1461196705552236</v>
      </c>
      <c r="N938" t="str">
        <f>IF(tbl_Budget[[#This Row],[Variance_%]]&gt;0.05,"Overspend",IF(tbl_Budget[[#This Row],[Variance_%]]&lt;-0.05,"Underspend","On Budget"))</f>
        <v>Underspend</v>
      </c>
    </row>
    <row r="939" spans="1:14" hidden="1">
      <c r="A939" s="1">
        <v>45200</v>
      </c>
      <c r="B939">
        <v>10</v>
      </c>
      <c r="C939" t="s">
        <v>48</v>
      </c>
      <c r="D939" t="s">
        <v>49</v>
      </c>
      <c r="E939">
        <v>2023</v>
      </c>
      <c r="F939" t="s">
        <v>24</v>
      </c>
      <c r="G939" t="s">
        <v>23</v>
      </c>
      <c r="H939" t="s">
        <v>17</v>
      </c>
      <c r="I939" t="s">
        <v>25</v>
      </c>
      <c r="J939">
        <v>7121.51</v>
      </c>
      <c r="K939">
        <v>6030.14</v>
      </c>
      <c r="L939" s="20">
        <f>tbl_Budget[[#This Row],[Actual]]-tbl_Budget[[#This Row],[Budget]]</f>
        <v>-1091.3699999999999</v>
      </c>
      <c r="M939" s="3">
        <f>tbl_Budget[[#This Row],[Variance]]/tbl_Budget[[#This Row],[Budget]]</f>
        <v>-0.15324980235933108</v>
      </c>
      <c r="N939" t="str">
        <f>IF(tbl_Budget[[#This Row],[Variance_%]]&gt;0.05,"Overspend",IF(tbl_Budget[[#This Row],[Variance_%]]&lt;-0.05,"Underspend","On Budget"))</f>
        <v>Underspend</v>
      </c>
    </row>
    <row r="940" spans="1:14" hidden="1">
      <c r="A940" s="1">
        <v>45200</v>
      </c>
      <c r="B940">
        <v>10</v>
      </c>
      <c r="C940" t="s">
        <v>48</v>
      </c>
      <c r="D940" t="s">
        <v>49</v>
      </c>
      <c r="E940">
        <v>2023</v>
      </c>
      <c r="F940" t="s">
        <v>24</v>
      </c>
      <c r="G940" t="s">
        <v>23</v>
      </c>
      <c r="H940" t="s">
        <v>18</v>
      </c>
      <c r="I940" t="s">
        <v>25</v>
      </c>
      <c r="J940">
        <v>7118.55</v>
      </c>
      <c r="K940">
        <v>6100.3</v>
      </c>
      <c r="L940" s="20">
        <f>tbl_Budget[[#This Row],[Actual]]-tbl_Budget[[#This Row],[Budget]]</f>
        <v>-1018.25</v>
      </c>
      <c r="M940" s="3">
        <f>tbl_Budget[[#This Row],[Variance]]/tbl_Budget[[#This Row],[Budget]]</f>
        <v>-0.14304177114721398</v>
      </c>
      <c r="N940" t="str">
        <f>IF(tbl_Budget[[#This Row],[Variance_%]]&gt;0.05,"Overspend",IF(tbl_Budget[[#This Row],[Variance_%]]&lt;-0.05,"Underspend","On Budget"))</f>
        <v>Underspend</v>
      </c>
    </row>
    <row r="941" spans="1:14" hidden="1">
      <c r="A941" s="1">
        <v>45200</v>
      </c>
      <c r="B941">
        <v>10</v>
      </c>
      <c r="C941" t="s">
        <v>48</v>
      </c>
      <c r="D941" t="s">
        <v>49</v>
      </c>
      <c r="E941">
        <v>2023</v>
      </c>
      <c r="F941" t="s">
        <v>24</v>
      </c>
      <c r="G941" t="s">
        <v>23</v>
      </c>
      <c r="H941" t="s">
        <v>19</v>
      </c>
      <c r="I941" t="s">
        <v>25</v>
      </c>
      <c r="J941">
        <v>7749.13</v>
      </c>
      <c r="K941">
        <v>6723.96</v>
      </c>
      <c r="L941" s="20">
        <f>tbl_Budget[[#This Row],[Actual]]-tbl_Budget[[#This Row],[Budget]]</f>
        <v>-1025.17</v>
      </c>
      <c r="M941" s="3">
        <f>tbl_Budget[[#This Row],[Variance]]/tbl_Budget[[#This Row],[Budget]]</f>
        <v>-0.13229485116393713</v>
      </c>
      <c r="N941" t="str">
        <f>IF(tbl_Budget[[#This Row],[Variance_%]]&gt;0.05,"Overspend",IF(tbl_Budget[[#This Row],[Variance_%]]&lt;-0.05,"Underspend","On Budget"))</f>
        <v>Underspend</v>
      </c>
    </row>
    <row r="942" spans="1:14" hidden="1">
      <c r="A942" s="1">
        <v>45200</v>
      </c>
      <c r="B942">
        <v>10</v>
      </c>
      <c r="C942" t="s">
        <v>48</v>
      </c>
      <c r="D942" t="s">
        <v>49</v>
      </c>
      <c r="E942">
        <v>2023</v>
      </c>
      <c r="F942" t="s">
        <v>26</v>
      </c>
      <c r="G942" t="s">
        <v>14</v>
      </c>
      <c r="H942" t="s">
        <v>15</v>
      </c>
      <c r="I942" t="s">
        <v>27</v>
      </c>
      <c r="J942">
        <v>42797.36</v>
      </c>
      <c r="K942">
        <v>41795.18</v>
      </c>
      <c r="L942" s="20">
        <f>tbl_Budget[[#This Row],[Actual]]-tbl_Budget[[#This Row],[Budget]]</f>
        <v>-1002.1800000000003</v>
      </c>
      <c r="M942" s="3">
        <f>tbl_Budget[[#This Row],[Variance]]/tbl_Budget[[#This Row],[Budget]]</f>
        <v>-2.3416864965502552E-2</v>
      </c>
      <c r="N942" t="str">
        <f>IF(tbl_Budget[[#This Row],[Variance_%]]&gt;0.05,"Overspend",IF(tbl_Budget[[#This Row],[Variance_%]]&lt;-0.05,"Underspend","On Budget"))</f>
        <v>On Budget</v>
      </c>
    </row>
    <row r="943" spans="1:14" hidden="1">
      <c r="A943" s="1">
        <v>45200</v>
      </c>
      <c r="B943">
        <v>10</v>
      </c>
      <c r="C943" t="s">
        <v>48</v>
      </c>
      <c r="D943" t="s">
        <v>49</v>
      </c>
      <c r="E943">
        <v>2023</v>
      </c>
      <c r="F943" t="s">
        <v>26</v>
      </c>
      <c r="G943" t="s">
        <v>14</v>
      </c>
      <c r="H943" t="s">
        <v>17</v>
      </c>
      <c r="I943" t="s">
        <v>27</v>
      </c>
      <c r="J943">
        <v>41136.79</v>
      </c>
      <c r="K943">
        <v>41026.720000000001</v>
      </c>
      <c r="L943" s="20">
        <f>tbl_Budget[[#This Row],[Actual]]-tbl_Budget[[#This Row],[Budget]]</f>
        <v>-110.06999999999971</v>
      </c>
      <c r="M943" s="3">
        <f>tbl_Budget[[#This Row],[Variance]]/tbl_Budget[[#This Row],[Budget]]</f>
        <v>-2.6757070738868956E-3</v>
      </c>
      <c r="N943" t="str">
        <f>IF(tbl_Budget[[#This Row],[Variance_%]]&gt;0.05,"Overspend",IF(tbl_Budget[[#This Row],[Variance_%]]&lt;-0.05,"Underspend","On Budget"))</f>
        <v>On Budget</v>
      </c>
    </row>
    <row r="944" spans="1:14" hidden="1">
      <c r="A944" s="1">
        <v>45200</v>
      </c>
      <c r="B944">
        <v>10</v>
      </c>
      <c r="C944" t="s">
        <v>48</v>
      </c>
      <c r="D944" t="s">
        <v>49</v>
      </c>
      <c r="E944">
        <v>2023</v>
      </c>
      <c r="F944" t="s">
        <v>26</v>
      </c>
      <c r="G944" t="s">
        <v>14</v>
      </c>
      <c r="H944" t="s">
        <v>18</v>
      </c>
      <c r="I944" t="s">
        <v>27</v>
      </c>
      <c r="J944">
        <v>41200.58</v>
      </c>
      <c r="K944">
        <v>41960.35</v>
      </c>
      <c r="L944" s="20">
        <f>tbl_Budget[[#This Row],[Actual]]-tbl_Budget[[#This Row],[Budget]]</f>
        <v>759.7699999999968</v>
      </c>
      <c r="M944" s="3">
        <f>tbl_Budget[[#This Row],[Variance]]/tbl_Budget[[#This Row],[Budget]]</f>
        <v>1.8440759814546223E-2</v>
      </c>
      <c r="N944" t="str">
        <f>IF(tbl_Budget[[#This Row],[Variance_%]]&gt;0.05,"Overspend",IF(tbl_Budget[[#This Row],[Variance_%]]&lt;-0.05,"Underspend","On Budget"))</f>
        <v>On Budget</v>
      </c>
    </row>
    <row r="945" spans="1:14" hidden="1">
      <c r="A945" s="1">
        <v>45200</v>
      </c>
      <c r="B945">
        <v>10</v>
      </c>
      <c r="C945" t="s">
        <v>48</v>
      </c>
      <c r="D945" t="s">
        <v>49</v>
      </c>
      <c r="E945">
        <v>2023</v>
      </c>
      <c r="F945" t="s">
        <v>26</v>
      </c>
      <c r="G945" t="s">
        <v>14</v>
      </c>
      <c r="H945" t="s">
        <v>19</v>
      </c>
      <c r="I945" t="s">
        <v>27</v>
      </c>
      <c r="J945">
        <v>44364.06</v>
      </c>
      <c r="K945">
        <v>43841.19</v>
      </c>
      <c r="L945" s="20">
        <f>tbl_Budget[[#This Row],[Actual]]-tbl_Budget[[#This Row],[Budget]]</f>
        <v>-522.86999999999534</v>
      </c>
      <c r="M945" s="3">
        <f>tbl_Budget[[#This Row],[Variance]]/tbl_Budget[[#This Row],[Budget]]</f>
        <v>-1.178589155275679E-2</v>
      </c>
      <c r="N945" t="str">
        <f>IF(tbl_Budget[[#This Row],[Variance_%]]&gt;0.05,"Overspend",IF(tbl_Budget[[#This Row],[Variance_%]]&lt;-0.05,"Underspend","On Budget"))</f>
        <v>On Budget</v>
      </c>
    </row>
    <row r="946" spans="1:14" hidden="1">
      <c r="A946" s="1">
        <v>45200</v>
      </c>
      <c r="B946">
        <v>10</v>
      </c>
      <c r="C946" t="s">
        <v>48</v>
      </c>
      <c r="D946" t="s">
        <v>49</v>
      </c>
      <c r="E946">
        <v>2023</v>
      </c>
      <c r="F946" t="s">
        <v>26</v>
      </c>
      <c r="G946" t="s">
        <v>20</v>
      </c>
      <c r="H946" t="s">
        <v>15</v>
      </c>
      <c r="I946" t="s">
        <v>27</v>
      </c>
      <c r="J946">
        <v>14963.26</v>
      </c>
      <c r="K946">
        <v>15208.89</v>
      </c>
      <c r="L946" s="20">
        <f>tbl_Budget[[#This Row],[Actual]]-tbl_Budget[[#This Row],[Budget]]</f>
        <v>245.6299999999992</v>
      </c>
      <c r="M946" s="3">
        <f>tbl_Budget[[#This Row],[Variance]]/tbl_Budget[[#This Row],[Budget]]</f>
        <v>1.6415540463775889E-2</v>
      </c>
      <c r="N946" t="str">
        <f>IF(tbl_Budget[[#This Row],[Variance_%]]&gt;0.05,"Overspend",IF(tbl_Budget[[#This Row],[Variance_%]]&lt;-0.05,"Underspend","On Budget"))</f>
        <v>On Budget</v>
      </c>
    </row>
    <row r="947" spans="1:14" hidden="1">
      <c r="A947" s="1">
        <v>45200</v>
      </c>
      <c r="B947">
        <v>10</v>
      </c>
      <c r="C947" t="s">
        <v>48</v>
      </c>
      <c r="D947" t="s">
        <v>49</v>
      </c>
      <c r="E947">
        <v>2023</v>
      </c>
      <c r="F947" t="s">
        <v>26</v>
      </c>
      <c r="G947" t="s">
        <v>20</v>
      </c>
      <c r="H947" t="s">
        <v>17</v>
      </c>
      <c r="I947" t="s">
        <v>27</v>
      </c>
      <c r="J947">
        <v>13787.99</v>
      </c>
      <c r="K947">
        <v>14096.59</v>
      </c>
      <c r="L947" s="20">
        <f>tbl_Budget[[#This Row],[Actual]]-tbl_Budget[[#This Row],[Budget]]</f>
        <v>308.60000000000036</v>
      </c>
      <c r="M947" s="3">
        <f>tbl_Budget[[#This Row],[Variance]]/tbl_Budget[[#This Row],[Budget]]</f>
        <v>2.2381797491875202E-2</v>
      </c>
      <c r="N947" t="str">
        <f>IF(tbl_Budget[[#This Row],[Variance_%]]&gt;0.05,"Overspend",IF(tbl_Budget[[#This Row],[Variance_%]]&lt;-0.05,"Underspend","On Budget"))</f>
        <v>On Budget</v>
      </c>
    </row>
    <row r="948" spans="1:14" hidden="1">
      <c r="A948" s="1">
        <v>45200</v>
      </c>
      <c r="B948">
        <v>10</v>
      </c>
      <c r="C948" t="s">
        <v>48</v>
      </c>
      <c r="D948" t="s">
        <v>49</v>
      </c>
      <c r="E948">
        <v>2023</v>
      </c>
      <c r="F948" t="s">
        <v>26</v>
      </c>
      <c r="G948" t="s">
        <v>20</v>
      </c>
      <c r="H948" t="s">
        <v>18</v>
      </c>
      <c r="I948" t="s">
        <v>27</v>
      </c>
      <c r="J948">
        <v>14532.12</v>
      </c>
      <c r="K948">
        <v>14428.87</v>
      </c>
      <c r="L948" s="20">
        <f>tbl_Budget[[#This Row],[Actual]]-tbl_Budget[[#This Row],[Budget]]</f>
        <v>-103.25</v>
      </c>
      <c r="M948" s="3">
        <f>tbl_Budget[[#This Row],[Variance]]/tbl_Budget[[#This Row],[Budget]]</f>
        <v>-7.10495096379606E-3</v>
      </c>
      <c r="N948" t="str">
        <f>IF(tbl_Budget[[#This Row],[Variance_%]]&gt;0.05,"Overspend",IF(tbl_Budget[[#This Row],[Variance_%]]&lt;-0.05,"Underspend","On Budget"))</f>
        <v>On Budget</v>
      </c>
    </row>
    <row r="949" spans="1:14" hidden="1">
      <c r="A949" s="1">
        <v>45200</v>
      </c>
      <c r="B949">
        <v>10</v>
      </c>
      <c r="C949" t="s">
        <v>48</v>
      </c>
      <c r="D949" t="s">
        <v>49</v>
      </c>
      <c r="E949">
        <v>2023</v>
      </c>
      <c r="F949" t="s">
        <v>26</v>
      </c>
      <c r="G949" t="s">
        <v>20</v>
      </c>
      <c r="H949" t="s">
        <v>19</v>
      </c>
      <c r="I949" t="s">
        <v>27</v>
      </c>
      <c r="J949">
        <v>15834.78</v>
      </c>
      <c r="K949">
        <v>15655.62</v>
      </c>
      <c r="L949" s="20">
        <f>tbl_Budget[[#This Row],[Actual]]-tbl_Budget[[#This Row],[Budget]]</f>
        <v>-179.15999999999985</v>
      </c>
      <c r="M949" s="3">
        <f>tbl_Budget[[#This Row],[Variance]]/tbl_Budget[[#This Row],[Budget]]</f>
        <v>-1.1314334648160559E-2</v>
      </c>
      <c r="N949" t="str">
        <f>IF(tbl_Budget[[#This Row],[Variance_%]]&gt;0.05,"Overspend",IF(tbl_Budget[[#This Row],[Variance_%]]&lt;-0.05,"Underspend","On Budget"))</f>
        <v>On Budget</v>
      </c>
    </row>
    <row r="950" spans="1:14">
      <c r="A950" s="1">
        <v>45200</v>
      </c>
      <c r="B950">
        <v>10</v>
      </c>
      <c r="C950" t="s">
        <v>48</v>
      </c>
      <c r="D950" t="s">
        <v>49</v>
      </c>
      <c r="E950">
        <v>2023</v>
      </c>
      <c r="F950" t="s">
        <v>26</v>
      </c>
      <c r="G950" t="s">
        <v>21</v>
      </c>
      <c r="H950" t="s">
        <v>15</v>
      </c>
      <c r="I950" t="s">
        <v>27</v>
      </c>
      <c r="J950">
        <v>8297.2199999999993</v>
      </c>
      <c r="K950">
        <v>8449.6200000000008</v>
      </c>
      <c r="L950" s="20">
        <f>tbl_Budget[[#This Row],[Actual]]-tbl_Budget[[#This Row],[Budget]]</f>
        <v>152.40000000000146</v>
      </c>
      <c r="M950" s="3">
        <f>tbl_Budget[[#This Row],[Variance]]/tbl_Budget[[#This Row],[Budget]]</f>
        <v>1.8367597821921253E-2</v>
      </c>
      <c r="N950" t="str">
        <f>IF(tbl_Budget[[#This Row],[Variance_%]]&gt;0.05,"Overspend",IF(tbl_Budget[[#This Row],[Variance_%]]&lt;-0.05,"Underspend","On Budget"))</f>
        <v>On Budget</v>
      </c>
    </row>
    <row r="951" spans="1:14">
      <c r="A951" s="1">
        <v>45200</v>
      </c>
      <c r="B951">
        <v>10</v>
      </c>
      <c r="C951" t="s">
        <v>48</v>
      </c>
      <c r="D951" t="s">
        <v>49</v>
      </c>
      <c r="E951">
        <v>2023</v>
      </c>
      <c r="F951" t="s">
        <v>26</v>
      </c>
      <c r="G951" t="s">
        <v>21</v>
      </c>
      <c r="H951" t="s">
        <v>17</v>
      </c>
      <c r="I951" t="s">
        <v>27</v>
      </c>
      <c r="J951">
        <v>7741.03</v>
      </c>
      <c r="K951">
        <v>7948.2</v>
      </c>
      <c r="L951" s="20">
        <f>tbl_Budget[[#This Row],[Actual]]-tbl_Budget[[#This Row],[Budget]]</f>
        <v>207.17000000000007</v>
      </c>
      <c r="M951" s="3">
        <f>tbl_Budget[[#This Row],[Variance]]/tbl_Budget[[#This Row],[Budget]]</f>
        <v>2.6762588441073099E-2</v>
      </c>
      <c r="N951" t="str">
        <f>IF(tbl_Budget[[#This Row],[Variance_%]]&gt;0.05,"Overspend",IF(tbl_Budget[[#This Row],[Variance_%]]&lt;-0.05,"Underspend","On Budget"))</f>
        <v>On Budget</v>
      </c>
    </row>
    <row r="952" spans="1:14">
      <c r="A952" s="1">
        <v>45200</v>
      </c>
      <c r="B952">
        <v>10</v>
      </c>
      <c r="C952" t="s">
        <v>48</v>
      </c>
      <c r="D952" t="s">
        <v>49</v>
      </c>
      <c r="E952">
        <v>2023</v>
      </c>
      <c r="F952" t="s">
        <v>26</v>
      </c>
      <c r="G952" t="s">
        <v>21</v>
      </c>
      <c r="H952" t="s">
        <v>18</v>
      </c>
      <c r="I952" t="s">
        <v>27</v>
      </c>
      <c r="J952">
        <v>8213.91</v>
      </c>
      <c r="K952">
        <v>8046.39</v>
      </c>
      <c r="L952" s="20">
        <f>tbl_Budget[[#This Row],[Actual]]-tbl_Budget[[#This Row],[Budget]]</f>
        <v>-167.51999999999953</v>
      </c>
      <c r="M952" s="3">
        <f>tbl_Budget[[#This Row],[Variance]]/tbl_Budget[[#This Row],[Budget]]</f>
        <v>-2.0394671964995906E-2</v>
      </c>
      <c r="N952" t="str">
        <f>IF(tbl_Budget[[#This Row],[Variance_%]]&gt;0.05,"Overspend",IF(tbl_Budget[[#This Row],[Variance_%]]&lt;-0.05,"Underspend","On Budget"))</f>
        <v>On Budget</v>
      </c>
    </row>
    <row r="953" spans="1:14">
      <c r="A953" s="1">
        <v>45200</v>
      </c>
      <c r="B953">
        <v>10</v>
      </c>
      <c r="C953" t="s">
        <v>48</v>
      </c>
      <c r="D953" t="s">
        <v>49</v>
      </c>
      <c r="E953">
        <v>2023</v>
      </c>
      <c r="F953" t="s">
        <v>26</v>
      </c>
      <c r="G953" t="s">
        <v>21</v>
      </c>
      <c r="H953" t="s">
        <v>19</v>
      </c>
      <c r="I953" t="s">
        <v>27</v>
      </c>
      <c r="J953">
        <v>8772.7999999999993</v>
      </c>
      <c r="K953">
        <v>8689.39</v>
      </c>
      <c r="L953" s="20">
        <f>tbl_Budget[[#This Row],[Actual]]-tbl_Budget[[#This Row],[Budget]]</f>
        <v>-83.409999999999854</v>
      </c>
      <c r="M953" s="3">
        <f>tbl_Budget[[#This Row],[Variance]]/tbl_Budget[[#This Row],[Budget]]</f>
        <v>-9.5077968265547905E-3</v>
      </c>
      <c r="N953" t="str">
        <f>IF(tbl_Budget[[#This Row],[Variance_%]]&gt;0.05,"Overspend",IF(tbl_Budget[[#This Row],[Variance_%]]&lt;-0.05,"Underspend","On Budget"))</f>
        <v>On Budget</v>
      </c>
    </row>
    <row r="954" spans="1:14" hidden="1">
      <c r="A954" s="1">
        <v>45200</v>
      </c>
      <c r="B954">
        <v>10</v>
      </c>
      <c r="C954" t="s">
        <v>48</v>
      </c>
      <c r="D954" t="s">
        <v>49</v>
      </c>
      <c r="E954">
        <v>2023</v>
      </c>
      <c r="F954" t="s">
        <v>26</v>
      </c>
      <c r="G954" t="s">
        <v>22</v>
      </c>
      <c r="H954" t="s">
        <v>15</v>
      </c>
      <c r="I954" t="s">
        <v>27</v>
      </c>
      <c r="J954">
        <v>6720.77</v>
      </c>
      <c r="K954">
        <v>6799.77</v>
      </c>
      <c r="L954" s="20">
        <f>tbl_Budget[[#This Row],[Actual]]-tbl_Budget[[#This Row],[Budget]]</f>
        <v>79</v>
      </c>
      <c r="M954" s="3">
        <f>tbl_Budget[[#This Row],[Variance]]/tbl_Budget[[#This Row],[Budget]]</f>
        <v>1.1754605499072278E-2</v>
      </c>
      <c r="N954" t="str">
        <f>IF(tbl_Budget[[#This Row],[Variance_%]]&gt;0.05,"Overspend",IF(tbl_Budget[[#This Row],[Variance_%]]&lt;-0.05,"Underspend","On Budget"))</f>
        <v>On Budget</v>
      </c>
    </row>
    <row r="955" spans="1:14" hidden="1">
      <c r="A955" s="1">
        <v>45200</v>
      </c>
      <c r="B955">
        <v>10</v>
      </c>
      <c r="C955" t="s">
        <v>48</v>
      </c>
      <c r="D955" t="s">
        <v>49</v>
      </c>
      <c r="E955">
        <v>2023</v>
      </c>
      <c r="F955" t="s">
        <v>26</v>
      </c>
      <c r="G955" t="s">
        <v>22</v>
      </c>
      <c r="H955" t="s">
        <v>17</v>
      </c>
      <c r="I955" t="s">
        <v>27</v>
      </c>
      <c r="J955">
        <v>6575.61</v>
      </c>
      <c r="K955">
        <v>6705.92</v>
      </c>
      <c r="L955" s="20">
        <f>tbl_Budget[[#This Row],[Actual]]-tbl_Budget[[#This Row],[Budget]]</f>
        <v>130.3100000000004</v>
      </c>
      <c r="M955" s="3">
        <f>tbl_Budget[[#This Row],[Variance]]/tbl_Budget[[#This Row],[Budget]]</f>
        <v>1.9817172855446173E-2</v>
      </c>
      <c r="N955" t="str">
        <f>IF(tbl_Budget[[#This Row],[Variance_%]]&gt;0.05,"Overspend",IF(tbl_Budget[[#This Row],[Variance_%]]&lt;-0.05,"Underspend","On Budget"))</f>
        <v>On Budget</v>
      </c>
    </row>
    <row r="956" spans="1:14" hidden="1">
      <c r="A956" s="1">
        <v>45200</v>
      </c>
      <c r="B956">
        <v>10</v>
      </c>
      <c r="C956" t="s">
        <v>48</v>
      </c>
      <c r="D956" t="s">
        <v>49</v>
      </c>
      <c r="E956">
        <v>2023</v>
      </c>
      <c r="F956" t="s">
        <v>26</v>
      </c>
      <c r="G956" t="s">
        <v>22</v>
      </c>
      <c r="H956" t="s">
        <v>18</v>
      </c>
      <c r="I956" t="s">
        <v>27</v>
      </c>
      <c r="J956">
        <v>6491.99</v>
      </c>
      <c r="K956">
        <v>6502.09</v>
      </c>
      <c r="L956" s="20">
        <f>tbl_Budget[[#This Row],[Actual]]-tbl_Budget[[#This Row],[Budget]]</f>
        <v>10.100000000000364</v>
      </c>
      <c r="M956" s="3">
        <f>tbl_Budget[[#This Row],[Variance]]/tbl_Budget[[#This Row],[Budget]]</f>
        <v>1.5557633329688376E-3</v>
      </c>
      <c r="N956" t="str">
        <f>IF(tbl_Budget[[#This Row],[Variance_%]]&gt;0.05,"Overspend",IF(tbl_Budget[[#This Row],[Variance_%]]&lt;-0.05,"Underspend","On Budget"))</f>
        <v>On Budget</v>
      </c>
    </row>
    <row r="957" spans="1:14" hidden="1">
      <c r="A957" s="1">
        <v>45200</v>
      </c>
      <c r="B957">
        <v>10</v>
      </c>
      <c r="C957" t="s">
        <v>48</v>
      </c>
      <c r="D957" t="s">
        <v>49</v>
      </c>
      <c r="E957">
        <v>2023</v>
      </c>
      <c r="F957" t="s">
        <v>26</v>
      </c>
      <c r="G957" t="s">
        <v>22</v>
      </c>
      <c r="H957" t="s">
        <v>19</v>
      </c>
      <c r="I957" t="s">
        <v>27</v>
      </c>
      <c r="J957">
        <v>7128.83</v>
      </c>
      <c r="K957">
        <v>7220.24</v>
      </c>
      <c r="L957" s="20">
        <f>tbl_Budget[[#This Row],[Actual]]-tbl_Budget[[#This Row],[Budget]]</f>
        <v>91.409999999999854</v>
      </c>
      <c r="M957" s="3">
        <f>tbl_Budget[[#This Row],[Variance]]/tbl_Budget[[#This Row],[Budget]]</f>
        <v>1.2822580984537413E-2</v>
      </c>
      <c r="N957" t="str">
        <f>IF(tbl_Budget[[#This Row],[Variance_%]]&gt;0.05,"Overspend",IF(tbl_Budget[[#This Row],[Variance_%]]&lt;-0.05,"Underspend","On Budget"))</f>
        <v>On Budget</v>
      </c>
    </row>
    <row r="958" spans="1:14" hidden="1">
      <c r="A958" s="1">
        <v>45200</v>
      </c>
      <c r="B958">
        <v>10</v>
      </c>
      <c r="C958" t="s">
        <v>48</v>
      </c>
      <c r="D958" t="s">
        <v>49</v>
      </c>
      <c r="E958">
        <v>2023</v>
      </c>
      <c r="F958" t="s">
        <v>26</v>
      </c>
      <c r="G958" t="s">
        <v>23</v>
      </c>
      <c r="H958" t="s">
        <v>15</v>
      </c>
      <c r="I958" t="s">
        <v>27</v>
      </c>
      <c r="J958">
        <v>5803.16</v>
      </c>
      <c r="K958">
        <v>5882.93</v>
      </c>
      <c r="L958" s="20">
        <f>tbl_Budget[[#This Row],[Actual]]-tbl_Budget[[#This Row],[Budget]]</f>
        <v>79.770000000000437</v>
      </c>
      <c r="M958" s="3">
        <f>tbl_Budget[[#This Row],[Variance]]/tbl_Budget[[#This Row],[Budget]]</f>
        <v>1.3745959098146602E-2</v>
      </c>
      <c r="N958" t="str">
        <f>IF(tbl_Budget[[#This Row],[Variance_%]]&gt;0.05,"Overspend",IF(tbl_Budget[[#This Row],[Variance_%]]&lt;-0.05,"Underspend","On Budget"))</f>
        <v>On Budget</v>
      </c>
    </row>
    <row r="959" spans="1:14" hidden="1">
      <c r="A959" s="1">
        <v>45200</v>
      </c>
      <c r="B959">
        <v>10</v>
      </c>
      <c r="C959" t="s">
        <v>48</v>
      </c>
      <c r="D959" t="s">
        <v>49</v>
      </c>
      <c r="E959">
        <v>2023</v>
      </c>
      <c r="F959" t="s">
        <v>26</v>
      </c>
      <c r="G959" t="s">
        <v>23</v>
      </c>
      <c r="H959" t="s">
        <v>17</v>
      </c>
      <c r="I959" t="s">
        <v>27</v>
      </c>
      <c r="J959">
        <v>5468.83</v>
      </c>
      <c r="K959">
        <v>5531.48</v>
      </c>
      <c r="L959" s="20">
        <f>tbl_Budget[[#This Row],[Actual]]-tbl_Budget[[#This Row],[Budget]]</f>
        <v>62.649999999999636</v>
      </c>
      <c r="M959" s="3">
        <f>tbl_Budget[[#This Row],[Variance]]/tbl_Budget[[#This Row],[Budget]]</f>
        <v>1.1455832417537139E-2</v>
      </c>
      <c r="N959" t="str">
        <f>IF(tbl_Budget[[#This Row],[Variance_%]]&gt;0.05,"Overspend",IF(tbl_Budget[[#This Row],[Variance_%]]&lt;-0.05,"Underspend","On Budget"))</f>
        <v>On Budget</v>
      </c>
    </row>
    <row r="960" spans="1:14" hidden="1">
      <c r="A960" s="1">
        <v>45200</v>
      </c>
      <c r="B960">
        <v>10</v>
      </c>
      <c r="C960" t="s">
        <v>48</v>
      </c>
      <c r="D960" t="s">
        <v>49</v>
      </c>
      <c r="E960">
        <v>2023</v>
      </c>
      <c r="F960" t="s">
        <v>26</v>
      </c>
      <c r="G960" t="s">
        <v>23</v>
      </c>
      <c r="H960" t="s">
        <v>18</v>
      </c>
      <c r="I960" t="s">
        <v>27</v>
      </c>
      <c r="J960">
        <v>5736.94</v>
      </c>
      <c r="K960">
        <v>5706.79</v>
      </c>
      <c r="L960" s="20">
        <f>tbl_Budget[[#This Row],[Actual]]-tbl_Budget[[#This Row],[Budget]]</f>
        <v>-30.149999999999636</v>
      </c>
      <c r="M960" s="3">
        <f>tbl_Budget[[#This Row],[Variance]]/tbl_Budget[[#This Row],[Budget]]</f>
        <v>-5.2554149075987617E-3</v>
      </c>
      <c r="N960" t="str">
        <f>IF(tbl_Budget[[#This Row],[Variance_%]]&gt;0.05,"Overspend",IF(tbl_Budget[[#This Row],[Variance_%]]&lt;-0.05,"Underspend","On Budget"))</f>
        <v>On Budget</v>
      </c>
    </row>
    <row r="961" spans="1:14" hidden="1">
      <c r="A961" s="1">
        <v>45200</v>
      </c>
      <c r="B961">
        <v>10</v>
      </c>
      <c r="C961" t="s">
        <v>48</v>
      </c>
      <c r="D961" t="s">
        <v>49</v>
      </c>
      <c r="E961">
        <v>2023</v>
      </c>
      <c r="F961" t="s">
        <v>26</v>
      </c>
      <c r="G961" t="s">
        <v>23</v>
      </c>
      <c r="H961" t="s">
        <v>19</v>
      </c>
      <c r="I961" t="s">
        <v>27</v>
      </c>
      <c r="J961">
        <v>5926.67</v>
      </c>
      <c r="K961">
        <v>5778.81</v>
      </c>
      <c r="L961" s="20">
        <f>tbl_Budget[[#This Row],[Actual]]-tbl_Budget[[#This Row],[Budget]]</f>
        <v>-147.85999999999967</v>
      </c>
      <c r="M961" s="3">
        <f>tbl_Budget[[#This Row],[Variance]]/tbl_Budget[[#This Row],[Budget]]</f>
        <v>-2.4948242436309036E-2</v>
      </c>
      <c r="N961" t="str">
        <f>IF(tbl_Budget[[#This Row],[Variance_%]]&gt;0.05,"Overspend",IF(tbl_Budget[[#This Row],[Variance_%]]&lt;-0.05,"Underspend","On Budget"))</f>
        <v>On Budget</v>
      </c>
    </row>
    <row r="962" spans="1:14" hidden="1">
      <c r="A962" s="1">
        <v>45200</v>
      </c>
      <c r="B962">
        <v>10</v>
      </c>
      <c r="C962" t="s">
        <v>48</v>
      </c>
      <c r="D962" t="s">
        <v>49</v>
      </c>
      <c r="E962">
        <v>2023</v>
      </c>
      <c r="F962" t="s">
        <v>28</v>
      </c>
      <c r="G962" t="s">
        <v>14</v>
      </c>
      <c r="H962" t="s">
        <v>15</v>
      </c>
      <c r="I962" t="s">
        <v>29</v>
      </c>
      <c r="J962">
        <v>54540.78</v>
      </c>
      <c r="K962">
        <v>51107.9</v>
      </c>
      <c r="L962" s="20">
        <f>tbl_Budget[[#This Row],[Actual]]-tbl_Budget[[#This Row],[Budget]]</f>
        <v>-3432.8799999999974</v>
      </c>
      <c r="M962" s="3">
        <f>tbl_Budget[[#This Row],[Variance]]/tbl_Budget[[#This Row],[Budget]]</f>
        <v>-6.294152742223337E-2</v>
      </c>
      <c r="N962" t="str">
        <f>IF(tbl_Budget[[#This Row],[Variance_%]]&gt;0.05,"Overspend",IF(tbl_Budget[[#This Row],[Variance_%]]&lt;-0.05,"Underspend","On Budget"))</f>
        <v>Underspend</v>
      </c>
    </row>
    <row r="963" spans="1:14" hidden="1">
      <c r="A963" s="1">
        <v>45200</v>
      </c>
      <c r="B963">
        <v>10</v>
      </c>
      <c r="C963" t="s">
        <v>48</v>
      </c>
      <c r="D963" t="s">
        <v>49</v>
      </c>
      <c r="E963">
        <v>2023</v>
      </c>
      <c r="F963" t="s">
        <v>28</v>
      </c>
      <c r="G963" t="s">
        <v>14</v>
      </c>
      <c r="H963" t="s">
        <v>17</v>
      </c>
      <c r="I963" t="s">
        <v>29</v>
      </c>
      <c r="J963">
        <v>49418.559999999998</v>
      </c>
      <c r="K963">
        <v>46908.02</v>
      </c>
      <c r="L963" s="20">
        <f>tbl_Budget[[#This Row],[Actual]]-tbl_Budget[[#This Row],[Budget]]</f>
        <v>-2510.5400000000009</v>
      </c>
      <c r="M963" s="3">
        <f>tbl_Budget[[#This Row],[Variance]]/tbl_Budget[[#This Row],[Budget]]</f>
        <v>-5.0801561194822369E-2</v>
      </c>
      <c r="N963" t="str">
        <f>IF(tbl_Budget[[#This Row],[Variance_%]]&gt;0.05,"Overspend",IF(tbl_Budget[[#This Row],[Variance_%]]&lt;-0.05,"Underspend","On Budget"))</f>
        <v>Underspend</v>
      </c>
    </row>
    <row r="964" spans="1:14" hidden="1">
      <c r="A964" s="1">
        <v>45200</v>
      </c>
      <c r="B964">
        <v>10</v>
      </c>
      <c r="C964" t="s">
        <v>48</v>
      </c>
      <c r="D964" t="s">
        <v>49</v>
      </c>
      <c r="E964">
        <v>2023</v>
      </c>
      <c r="F964" t="s">
        <v>28</v>
      </c>
      <c r="G964" t="s">
        <v>14</v>
      </c>
      <c r="H964" t="s">
        <v>18</v>
      </c>
      <c r="I964" t="s">
        <v>29</v>
      </c>
      <c r="J964">
        <v>50907.94</v>
      </c>
      <c r="K964">
        <v>57306.21</v>
      </c>
      <c r="L964" s="20">
        <f>tbl_Budget[[#This Row],[Actual]]-tbl_Budget[[#This Row],[Budget]]</f>
        <v>6398.2699999999968</v>
      </c>
      <c r="M964" s="3">
        <f>tbl_Budget[[#This Row],[Variance]]/tbl_Budget[[#This Row],[Budget]]</f>
        <v>0.12568314490824017</v>
      </c>
      <c r="N964" t="str">
        <f>IF(tbl_Budget[[#This Row],[Variance_%]]&gt;0.05,"Overspend",IF(tbl_Budget[[#This Row],[Variance_%]]&lt;-0.05,"Underspend","On Budget"))</f>
        <v>Overspend</v>
      </c>
    </row>
    <row r="965" spans="1:14" hidden="1">
      <c r="A965" s="1">
        <v>45200</v>
      </c>
      <c r="B965">
        <v>10</v>
      </c>
      <c r="C965" t="s">
        <v>48</v>
      </c>
      <c r="D965" t="s">
        <v>49</v>
      </c>
      <c r="E965">
        <v>2023</v>
      </c>
      <c r="F965" t="s">
        <v>28</v>
      </c>
      <c r="G965" t="s">
        <v>14</v>
      </c>
      <c r="H965" t="s">
        <v>19</v>
      </c>
      <c r="I965" t="s">
        <v>29</v>
      </c>
      <c r="J965">
        <v>56291.13</v>
      </c>
      <c r="K965">
        <v>51460</v>
      </c>
      <c r="L965" s="20">
        <f>tbl_Budget[[#This Row],[Actual]]-tbl_Budget[[#This Row],[Budget]]</f>
        <v>-4831.1299999999974</v>
      </c>
      <c r="M965" s="3">
        <f>tbl_Budget[[#This Row],[Variance]]/tbl_Budget[[#This Row],[Budget]]</f>
        <v>-8.582400104599068E-2</v>
      </c>
      <c r="N965" t="str">
        <f>IF(tbl_Budget[[#This Row],[Variance_%]]&gt;0.05,"Overspend",IF(tbl_Budget[[#This Row],[Variance_%]]&lt;-0.05,"Underspend","On Budget"))</f>
        <v>Underspend</v>
      </c>
    </row>
    <row r="966" spans="1:14" hidden="1">
      <c r="A966" s="1">
        <v>45200</v>
      </c>
      <c r="B966">
        <v>10</v>
      </c>
      <c r="C966" t="s">
        <v>48</v>
      </c>
      <c r="D966" t="s">
        <v>49</v>
      </c>
      <c r="E966">
        <v>2023</v>
      </c>
      <c r="F966" t="s">
        <v>28</v>
      </c>
      <c r="G966" t="s">
        <v>20</v>
      </c>
      <c r="H966" t="s">
        <v>15</v>
      </c>
      <c r="I966" t="s">
        <v>29</v>
      </c>
      <c r="J966">
        <v>19761.57</v>
      </c>
      <c r="K966">
        <v>22779.040000000001</v>
      </c>
      <c r="L966" s="20">
        <f>tbl_Budget[[#This Row],[Actual]]-tbl_Budget[[#This Row],[Budget]]</f>
        <v>3017.4700000000012</v>
      </c>
      <c r="M966" s="3">
        <f>tbl_Budget[[#This Row],[Variance]]/tbl_Budget[[#This Row],[Budget]]</f>
        <v>0.15269383960889754</v>
      </c>
      <c r="N966" t="str">
        <f>IF(tbl_Budget[[#This Row],[Variance_%]]&gt;0.05,"Overspend",IF(tbl_Budget[[#This Row],[Variance_%]]&lt;-0.05,"Underspend","On Budget"))</f>
        <v>Overspend</v>
      </c>
    </row>
    <row r="967" spans="1:14" hidden="1">
      <c r="A967" s="1">
        <v>45200</v>
      </c>
      <c r="B967">
        <v>10</v>
      </c>
      <c r="C967" t="s">
        <v>48</v>
      </c>
      <c r="D967" t="s">
        <v>49</v>
      </c>
      <c r="E967">
        <v>2023</v>
      </c>
      <c r="F967" t="s">
        <v>28</v>
      </c>
      <c r="G967" t="s">
        <v>20</v>
      </c>
      <c r="H967" t="s">
        <v>17</v>
      </c>
      <c r="I967" t="s">
        <v>29</v>
      </c>
      <c r="J967">
        <v>19019.43</v>
      </c>
      <c r="K967">
        <v>17143.37</v>
      </c>
      <c r="L967" s="20">
        <f>tbl_Budget[[#This Row],[Actual]]-tbl_Budget[[#This Row],[Budget]]</f>
        <v>-1876.0600000000013</v>
      </c>
      <c r="M967" s="3">
        <f>tbl_Budget[[#This Row],[Variance]]/tbl_Budget[[#This Row],[Budget]]</f>
        <v>-9.8639128512263585E-2</v>
      </c>
      <c r="N967" t="str">
        <f>IF(tbl_Budget[[#This Row],[Variance_%]]&gt;0.05,"Overspend",IF(tbl_Budget[[#This Row],[Variance_%]]&lt;-0.05,"Underspend","On Budget"))</f>
        <v>Underspend</v>
      </c>
    </row>
    <row r="968" spans="1:14" hidden="1">
      <c r="A968" s="1">
        <v>45200</v>
      </c>
      <c r="B968">
        <v>10</v>
      </c>
      <c r="C968" t="s">
        <v>48</v>
      </c>
      <c r="D968" t="s">
        <v>49</v>
      </c>
      <c r="E968">
        <v>2023</v>
      </c>
      <c r="F968" t="s">
        <v>28</v>
      </c>
      <c r="G968" t="s">
        <v>20</v>
      </c>
      <c r="H968" t="s">
        <v>18</v>
      </c>
      <c r="I968" t="s">
        <v>29</v>
      </c>
      <c r="J968">
        <v>19303.59</v>
      </c>
      <c r="K968">
        <v>22379.39</v>
      </c>
      <c r="L968" s="20">
        <f>tbl_Budget[[#This Row],[Actual]]-tbl_Budget[[#This Row],[Budget]]</f>
        <v>3075.7999999999993</v>
      </c>
      <c r="M968" s="3">
        <f>tbl_Budget[[#This Row],[Variance]]/tbl_Budget[[#This Row],[Budget]]</f>
        <v>0.15933823708439721</v>
      </c>
      <c r="N968" t="str">
        <f>IF(tbl_Budget[[#This Row],[Variance_%]]&gt;0.05,"Overspend",IF(tbl_Budget[[#This Row],[Variance_%]]&lt;-0.05,"Underspend","On Budget"))</f>
        <v>Overspend</v>
      </c>
    </row>
    <row r="969" spans="1:14" hidden="1">
      <c r="A969" s="1">
        <v>45200</v>
      </c>
      <c r="B969">
        <v>10</v>
      </c>
      <c r="C969" t="s">
        <v>48</v>
      </c>
      <c r="D969" t="s">
        <v>49</v>
      </c>
      <c r="E969">
        <v>2023</v>
      </c>
      <c r="F969" t="s">
        <v>28</v>
      </c>
      <c r="G969" t="s">
        <v>20</v>
      </c>
      <c r="H969" t="s">
        <v>19</v>
      </c>
      <c r="I969" t="s">
        <v>29</v>
      </c>
      <c r="J969">
        <v>21563.15</v>
      </c>
      <c r="K969">
        <v>19275.05</v>
      </c>
      <c r="L969" s="20">
        <f>tbl_Budget[[#This Row],[Actual]]-tbl_Budget[[#This Row],[Budget]]</f>
        <v>-2288.1000000000022</v>
      </c>
      <c r="M969" s="3">
        <f>tbl_Budget[[#This Row],[Variance]]/tbl_Budget[[#This Row],[Budget]]</f>
        <v>-0.10611158388268885</v>
      </c>
      <c r="N969" t="str">
        <f>IF(tbl_Budget[[#This Row],[Variance_%]]&gt;0.05,"Overspend",IF(tbl_Budget[[#This Row],[Variance_%]]&lt;-0.05,"Underspend","On Budget"))</f>
        <v>Underspend</v>
      </c>
    </row>
    <row r="970" spans="1:14">
      <c r="A970" s="1">
        <v>45200</v>
      </c>
      <c r="B970">
        <v>10</v>
      </c>
      <c r="C970" t="s">
        <v>48</v>
      </c>
      <c r="D970" t="s">
        <v>49</v>
      </c>
      <c r="E970">
        <v>2023</v>
      </c>
      <c r="F970" t="s">
        <v>28</v>
      </c>
      <c r="G970" t="s">
        <v>21</v>
      </c>
      <c r="H970" t="s">
        <v>15</v>
      </c>
      <c r="I970" t="s">
        <v>29</v>
      </c>
      <c r="J970">
        <v>11190.29</v>
      </c>
      <c r="K970">
        <v>11526.33</v>
      </c>
      <c r="L970" s="20">
        <f>tbl_Budget[[#This Row],[Actual]]-tbl_Budget[[#This Row],[Budget]]</f>
        <v>336.03999999999905</v>
      </c>
      <c r="M970" s="3">
        <f>tbl_Budget[[#This Row],[Variance]]/tbl_Budget[[#This Row],[Budget]]</f>
        <v>3.0029606024508663E-2</v>
      </c>
      <c r="N970" t="str">
        <f>IF(tbl_Budget[[#This Row],[Variance_%]]&gt;0.05,"Overspend",IF(tbl_Budget[[#This Row],[Variance_%]]&lt;-0.05,"Underspend","On Budget"))</f>
        <v>On Budget</v>
      </c>
    </row>
    <row r="971" spans="1:14">
      <c r="A971" s="1">
        <v>45200</v>
      </c>
      <c r="B971">
        <v>10</v>
      </c>
      <c r="C971" t="s">
        <v>48</v>
      </c>
      <c r="D971" t="s">
        <v>49</v>
      </c>
      <c r="E971">
        <v>2023</v>
      </c>
      <c r="F971" t="s">
        <v>28</v>
      </c>
      <c r="G971" t="s">
        <v>21</v>
      </c>
      <c r="H971" t="s">
        <v>17</v>
      </c>
      <c r="I971" t="s">
        <v>29</v>
      </c>
      <c r="J971">
        <v>10664.13</v>
      </c>
      <c r="K971">
        <v>11058.92</v>
      </c>
      <c r="L971" s="20">
        <f>tbl_Budget[[#This Row],[Actual]]-tbl_Budget[[#This Row],[Budget]]</f>
        <v>394.79000000000087</v>
      </c>
      <c r="M971" s="3">
        <f>tbl_Budget[[#This Row],[Variance]]/tbl_Budget[[#This Row],[Budget]]</f>
        <v>3.7020366405885984E-2</v>
      </c>
      <c r="N971" t="str">
        <f>IF(tbl_Budget[[#This Row],[Variance_%]]&gt;0.05,"Overspend",IF(tbl_Budget[[#This Row],[Variance_%]]&lt;-0.05,"Underspend","On Budget"))</f>
        <v>On Budget</v>
      </c>
    </row>
    <row r="972" spans="1:14">
      <c r="A972" s="1">
        <v>45200</v>
      </c>
      <c r="B972">
        <v>10</v>
      </c>
      <c r="C972" t="s">
        <v>48</v>
      </c>
      <c r="D972" t="s">
        <v>49</v>
      </c>
      <c r="E972">
        <v>2023</v>
      </c>
      <c r="F972" t="s">
        <v>28</v>
      </c>
      <c r="G972" t="s">
        <v>21</v>
      </c>
      <c r="H972" t="s">
        <v>18</v>
      </c>
      <c r="I972" t="s">
        <v>29</v>
      </c>
      <c r="J972">
        <v>11004.58</v>
      </c>
      <c r="K972">
        <v>11668.33</v>
      </c>
      <c r="L972" s="20">
        <f>tbl_Budget[[#This Row],[Actual]]-tbl_Budget[[#This Row],[Budget]]</f>
        <v>663.75</v>
      </c>
      <c r="M972" s="3">
        <f>tbl_Budget[[#This Row],[Variance]]/tbl_Budget[[#This Row],[Budget]]</f>
        <v>6.0315795786845115E-2</v>
      </c>
      <c r="N972" t="str">
        <f>IF(tbl_Budget[[#This Row],[Variance_%]]&gt;0.05,"Overspend",IF(tbl_Budget[[#This Row],[Variance_%]]&lt;-0.05,"Underspend","On Budget"))</f>
        <v>Overspend</v>
      </c>
    </row>
    <row r="973" spans="1:14">
      <c r="A973" s="1">
        <v>45200</v>
      </c>
      <c r="B973">
        <v>10</v>
      </c>
      <c r="C973" t="s">
        <v>48</v>
      </c>
      <c r="D973" t="s">
        <v>49</v>
      </c>
      <c r="E973">
        <v>2023</v>
      </c>
      <c r="F973" t="s">
        <v>28</v>
      </c>
      <c r="G973" t="s">
        <v>21</v>
      </c>
      <c r="H973" t="s">
        <v>19</v>
      </c>
      <c r="I973" t="s">
        <v>29</v>
      </c>
      <c r="J973">
        <v>12101.53</v>
      </c>
      <c r="K973">
        <v>12444.75</v>
      </c>
      <c r="L973" s="20">
        <f>tbl_Budget[[#This Row],[Actual]]-tbl_Budget[[#This Row],[Budget]]</f>
        <v>343.21999999999935</v>
      </c>
      <c r="M973" s="3">
        <f>tbl_Budget[[#This Row],[Variance]]/tbl_Budget[[#This Row],[Budget]]</f>
        <v>2.8361703024328274E-2</v>
      </c>
      <c r="N973" t="str">
        <f>IF(tbl_Budget[[#This Row],[Variance_%]]&gt;0.05,"Overspend",IF(tbl_Budget[[#This Row],[Variance_%]]&lt;-0.05,"Underspend","On Budget"))</f>
        <v>On Budget</v>
      </c>
    </row>
    <row r="974" spans="1:14" hidden="1">
      <c r="A974" s="1">
        <v>45200</v>
      </c>
      <c r="B974">
        <v>10</v>
      </c>
      <c r="C974" t="s">
        <v>48</v>
      </c>
      <c r="D974" t="s">
        <v>49</v>
      </c>
      <c r="E974">
        <v>2023</v>
      </c>
      <c r="F974" t="s">
        <v>28</v>
      </c>
      <c r="G974" t="s">
        <v>22</v>
      </c>
      <c r="H974" t="s">
        <v>15</v>
      </c>
      <c r="I974" t="s">
        <v>29</v>
      </c>
      <c r="J974">
        <v>12635.33</v>
      </c>
      <c r="K974">
        <v>13796.51</v>
      </c>
      <c r="L974" s="20">
        <f>tbl_Budget[[#This Row],[Actual]]-tbl_Budget[[#This Row],[Budget]]</f>
        <v>1161.1800000000003</v>
      </c>
      <c r="M974" s="3">
        <f>tbl_Budget[[#This Row],[Variance]]/tbl_Budget[[#This Row],[Budget]]</f>
        <v>9.1899459689616367E-2</v>
      </c>
      <c r="N974" t="str">
        <f>IF(tbl_Budget[[#This Row],[Variance_%]]&gt;0.05,"Overspend",IF(tbl_Budget[[#This Row],[Variance_%]]&lt;-0.05,"Underspend","On Budget"))</f>
        <v>Overspend</v>
      </c>
    </row>
    <row r="975" spans="1:14" hidden="1">
      <c r="A975" s="1">
        <v>45200</v>
      </c>
      <c r="B975">
        <v>10</v>
      </c>
      <c r="C975" t="s">
        <v>48</v>
      </c>
      <c r="D975" t="s">
        <v>49</v>
      </c>
      <c r="E975">
        <v>2023</v>
      </c>
      <c r="F975" t="s">
        <v>28</v>
      </c>
      <c r="G975" t="s">
        <v>22</v>
      </c>
      <c r="H975" t="s">
        <v>17</v>
      </c>
      <c r="I975" t="s">
        <v>29</v>
      </c>
      <c r="J975">
        <v>12180.05</v>
      </c>
      <c r="K975">
        <v>12809.37</v>
      </c>
      <c r="L975" s="20">
        <f>tbl_Budget[[#This Row],[Actual]]-tbl_Budget[[#This Row],[Budget]]</f>
        <v>629.32000000000153</v>
      </c>
      <c r="M975" s="3">
        <f>tbl_Budget[[#This Row],[Variance]]/tbl_Budget[[#This Row],[Budget]]</f>
        <v>5.1668096600588798E-2</v>
      </c>
      <c r="N975" t="str">
        <f>IF(tbl_Budget[[#This Row],[Variance_%]]&gt;0.05,"Overspend",IF(tbl_Budget[[#This Row],[Variance_%]]&lt;-0.05,"Underspend","On Budget"))</f>
        <v>Overspend</v>
      </c>
    </row>
    <row r="976" spans="1:14" hidden="1">
      <c r="A976" s="1">
        <v>45200</v>
      </c>
      <c r="B976">
        <v>10</v>
      </c>
      <c r="C976" t="s">
        <v>48</v>
      </c>
      <c r="D976" t="s">
        <v>49</v>
      </c>
      <c r="E976">
        <v>2023</v>
      </c>
      <c r="F976" t="s">
        <v>28</v>
      </c>
      <c r="G976" t="s">
        <v>22</v>
      </c>
      <c r="H976" t="s">
        <v>18</v>
      </c>
      <c r="I976" t="s">
        <v>29</v>
      </c>
      <c r="J976">
        <v>11862.98</v>
      </c>
      <c r="K976">
        <v>12395.14</v>
      </c>
      <c r="L976" s="20">
        <f>tbl_Budget[[#This Row],[Actual]]-tbl_Budget[[#This Row],[Budget]]</f>
        <v>532.15999999999985</v>
      </c>
      <c r="M976" s="3">
        <f>tbl_Budget[[#This Row],[Variance]]/tbl_Budget[[#This Row],[Budget]]</f>
        <v>4.4858880315064166E-2</v>
      </c>
      <c r="N976" t="str">
        <f>IF(tbl_Budget[[#This Row],[Variance_%]]&gt;0.05,"Overspend",IF(tbl_Budget[[#This Row],[Variance_%]]&lt;-0.05,"Underspend","On Budget"))</f>
        <v>On Budget</v>
      </c>
    </row>
    <row r="977" spans="1:14" hidden="1">
      <c r="A977" s="1">
        <v>45200</v>
      </c>
      <c r="B977">
        <v>10</v>
      </c>
      <c r="C977" t="s">
        <v>48</v>
      </c>
      <c r="D977" t="s">
        <v>49</v>
      </c>
      <c r="E977">
        <v>2023</v>
      </c>
      <c r="F977" t="s">
        <v>28</v>
      </c>
      <c r="G977" t="s">
        <v>22</v>
      </c>
      <c r="H977" t="s">
        <v>19</v>
      </c>
      <c r="I977" t="s">
        <v>29</v>
      </c>
      <c r="J977">
        <v>12804.03</v>
      </c>
      <c r="K977">
        <v>11271.21</v>
      </c>
      <c r="L977" s="20">
        <f>tbl_Budget[[#This Row],[Actual]]-tbl_Budget[[#This Row],[Budget]]</f>
        <v>-1532.8200000000015</v>
      </c>
      <c r="M977" s="3">
        <f>tbl_Budget[[#This Row],[Variance]]/tbl_Budget[[#This Row],[Budget]]</f>
        <v>-0.11971387133582173</v>
      </c>
      <c r="N977" t="str">
        <f>IF(tbl_Budget[[#This Row],[Variance_%]]&gt;0.05,"Overspend",IF(tbl_Budget[[#This Row],[Variance_%]]&lt;-0.05,"Underspend","On Budget"))</f>
        <v>Underspend</v>
      </c>
    </row>
    <row r="978" spans="1:14" hidden="1">
      <c r="A978" s="1">
        <v>45200</v>
      </c>
      <c r="B978">
        <v>10</v>
      </c>
      <c r="C978" t="s">
        <v>48</v>
      </c>
      <c r="D978" t="s">
        <v>49</v>
      </c>
      <c r="E978">
        <v>2023</v>
      </c>
      <c r="F978" t="s">
        <v>28</v>
      </c>
      <c r="G978" t="s">
        <v>23</v>
      </c>
      <c r="H978" t="s">
        <v>15</v>
      </c>
      <c r="I978" t="s">
        <v>29</v>
      </c>
      <c r="J978">
        <v>7787.03</v>
      </c>
      <c r="K978">
        <v>8265.69</v>
      </c>
      <c r="L978" s="20">
        <f>tbl_Budget[[#This Row],[Actual]]-tbl_Budget[[#This Row],[Budget]]</f>
        <v>478.66000000000076</v>
      </c>
      <c r="M978" s="3">
        <f>tbl_Budget[[#This Row],[Variance]]/tbl_Budget[[#This Row],[Budget]]</f>
        <v>6.1468878378534667E-2</v>
      </c>
      <c r="N978" t="str">
        <f>IF(tbl_Budget[[#This Row],[Variance_%]]&gt;0.05,"Overspend",IF(tbl_Budget[[#This Row],[Variance_%]]&lt;-0.05,"Underspend","On Budget"))</f>
        <v>Overspend</v>
      </c>
    </row>
    <row r="979" spans="1:14" hidden="1">
      <c r="A979" s="1">
        <v>45200</v>
      </c>
      <c r="B979">
        <v>10</v>
      </c>
      <c r="C979" t="s">
        <v>48</v>
      </c>
      <c r="D979" t="s">
        <v>49</v>
      </c>
      <c r="E979">
        <v>2023</v>
      </c>
      <c r="F979" t="s">
        <v>28</v>
      </c>
      <c r="G979" t="s">
        <v>23</v>
      </c>
      <c r="H979" t="s">
        <v>17</v>
      </c>
      <c r="I979" t="s">
        <v>29</v>
      </c>
      <c r="J979">
        <v>7709.22</v>
      </c>
      <c r="K979">
        <v>7400.8</v>
      </c>
      <c r="L979" s="20">
        <f>tbl_Budget[[#This Row],[Actual]]-tbl_Budget[[#This Row],[Budget]]</f>
        <v>-308.42000000000007</v>
      </c>
      <c r="M979" s="3">
        <f>tbl_Budget[[#This Row],[Variance]]/tbl_Budget[[#This Row],[Budget]]</f>
        <v>-4.0006641398221875E-2</v>
      </c>
      <c r="N979" t="str">
        <f>IF(tbl_Budget[[#This Row],[Variance_%]]&gt;0.05,"Overspend",IF(tbl_Budget[[#This Row],[Variance_%]]&lt;-0.05,"Underspend","On Budget"))</f>
        <v>On Budget</v>
      </c>
    </row>
    <row r="980" spans="1:14" hidden="1">
      <c r="A980" s="1">
        <v>45200</v>
      </c>
      <c r="B980">
        <v>10</v>
      </c>
      <c r="C980" t="s">
        <v>48</v>
      </c>
      <c r="D980" t="s">
        <v>49</v>
      </c>
      <c r="E980">
        <v>2023</v>
      </c>
      <c r="F980" t="s">
        <v>28</v>
      </c>
      <c r="G980" t="s">
        <v>23</v>
      </c>
      <c r="H980" t="s">
        <v>18</v>
      </c>
      <c r="I980" t="s">
        <v>29</v>
      </c>
      <c r="J980">
        <v>7746.68</v>
      </c>
      <c r="K980">
        <v>7858.71</v>
      </c>
      <c r="L980" s="20">
        <f>tbl_Budget[[#This Row],[Actual]]-tbl_Budget[[#This Row],[Budget]]</f>
        <v>112.02999999999975</v>
      </c>
      <c r="M980" s="3">
        <f>tbl_Budget[[#This Row],[Variance]]/tbl_Budget[[#This Row],[Budget]]</f>
        <v>1.4461679067677992E-2</v>
      </c>
      <c r="N980" t="str">
        <f>IF(tbl_Budget[[#This Row],[Variance_%]]&gt;0.05,"Overspend",IF(tbl_Budget[[#This Row],[Variance_%]]&lt;-0.05,"Underspend","On Budget"))</f>
        <v>On Budget</v>
      </c>
    </row>
    <row r="981" spans="1:14" hidden="1">
      <c r="A981" s="1">
        <v>45200</v>
      </c>
      <c r="B981">
        <v>10</v>
      </c>
      <c r="C981" t="s">
        <v>48</v>
      </c>
      <c r="D981" t="s">
        <v>49</v>
      </c>
      <c r="E981">
        <v>2023</v>
      </c>
      <c r="F981" t="s">
        <v>28</v>
      </c>
      <c r="G981" t="s">
        <v>23</v>
      </c>
      <c r="H981" t="s">
        <v>19</v>
      </c>
      <c r="I981" t="s">
        <v>29</v>
      </c>
      <c r="J981">
        <v>8114.08</v>
      </c>
      <c r="K981">
        <v>9444.19</v>
      </c>
      <c r="L981" s="20">
        <f>tbl_Budget[[#This Row],[Actual]]-tbl_Budget[[#This Row],[Budget]]</f>
        <v>1330.1100000000006</v>
      </c>
      <c r="M981" s="3">
        <f>tbl_Budget[[#This Row],[Variance]]/tbl_Budget[[#This Row],[Budget]]</f>
        <v>0.16392616291680642</v>
      </c>
      <c r="N981" t="str">
        <f>IF(tbl_Budget[[#This Row],[Variance_%]]&gt;0.05,"Overspend",IF(tbl_Budget[[#This Row],[Variance_%]]&lt;-0.05,"Underspend","On Budget"))</f>
        <v>Overspend</v>
      </c>
    </row>
    <row r="982" spans="1:14" hidden="1">
      <c r="A982" s="1">
        <v>45200</v>
      </c>
      <c r="B982">
        <v>10</v>
      </c>
      <c r="C982" t="s">
        <v>48</v>
      </c>
      <c r="D982" t="s">
        <v>49</v>
      </c>
      <c r="E982">
        <v>2023</v>
      </c>
      <c r="F982" t="s">
        <v>30</v>
      </c>
      <c r="G982" t="s">
        <v>14</v>
      </c>
      <c r="H982" t="s">
        <v>15</v>
      </c>
      <c r="I982" t="s">
        <v>31</v>
      </c>
      <c r="J982">
        <v>43232.24</v>
      </c>
      <c r="K982">
        <v>43416.35</v>
      </c>
      <c r="L982" s="20">
        <f>tbl_Budget[[#This Row],[Actual]]-tbl_Budget[[#This Row],[Budget]]</f>
        <v>184.11000000000058</v>
      </c>
      <c r="M982" s="3">
        <f>tbl_Budget[[#This Row],[Variance]]/tbl_Budget[[#This Row],[Budget]]</f>
        <v>4.2586273577311885E-3</v>
      </c>
      <c r="N982" t="str">
        <f>IF(tbl_Budget[[#This Row],[Variance_%]]&gt;0.05,"Overspend",IF(tbl_Budget[[#This Row],[Variance_%]]&lt;-0.05,"Underspend","On Budget"))</f>
        <v>On Budget</v>
      </c>
    </row>
    <row r="983" spans="1:14" hidden="1">
      <c r="A983" s="1">
        <v>45200</v>
      </c>
      <c r="B983">
        <v>10</v>
      </c>
      <c r="C983" t="s">
        <v>48</v>
      </c>
      <c r="D983" t="s">
        <v>49</v>
      </c>
      <c r="E983">
        <v>2023</v>
      </c>
      <c r="F983" t="s">
        <v>30</v>
      </c>
      <c r="G983" t="s">
        <v>14</v>
      </c>
      <c r="H983" t="s">
        <v>17</v>
      </c>
      <c r="I983" t="s">
        <v>31</v>
      </c>
      <c r="J983">
        <v>40931.379999999997</v>
      </c>
      <c r="K983">
        <v>39445.910000000003</v>
      </c>
      <c r="L983" s="20">
        <f>tbl_Budget[[#This Row],[Actual]]-tbl_Budget[[#This Row],[Budget]]</f>
        <v>-1485.4699999999939</v>
      </c>
      <c r="M983" s="3">
        <f>tbl_Budget[[#This Row],[Variance]]/tbl_Budget[[#This Row],[Budget]]</f>
        <v>-3.629171554929235E-2</v>
      </c>
      <c r="N983" t="str">
        <f>IF(tbl_Budget[[#This Row],[Variance_%]]&gt;0.05,"Overspend",IF(tbl_Budget[[#This Row],[Variance_%]]&lt;-0.05,"Underspend","On Budget"))</f>
        <v>On Budget</v>
      </c>
    </row>
    <row r="984" spans="1:14" hidden="1">
      <c r="A984" s="1">
        <v>45200</v>
      </c>
      <c r="B984">
        <v>10</v>
      </c>
      <c r="C984" t="s">
        <v>48</v>
      </c>
      <c r="D984" t="s">
        <v>49</v>
      </c>
      <c r="E984">
        <v>2023</v>
      </c>
      <c r="F984" t="s">
        <v>30</v>
      </c>
      <c r="G984" t="s">
        <v>14</v>
      </c>
      <c r="H984" t="s">
        <v>18</v>
      </c>
      <c r="I984" t="s">
        <v>31</v>
      </c>
      <c r="J984">
        <v>41382.230000000003</v>
      </c>
      <c r="K984">
        <v>39436.949999999997</v>
      </c>
      <c r="L984" s="20">
        <f>tbl_Budget[[#This Row],[Actual]]-tbl_Budget[[#This Row],[Budget]]</f>
        <v>-1945.2800000000061</v>
      </c>
      <c r="M984" s="3">
        <f>tbl_Budget[[#This Row],[Variance]]/tbl_Budget[[#This Row],[Budget]]</f>
        <v>-4.7007616554255435E-2</v>
      </c>
      <c r="N984" t="str">
        <f>IF(tbl_Budget[[#This Row],[Variance_%]]&gt;0.05,"Overspend",IF(tbl_Budget[[#This Row],[Variance_%]]&lt;-0.05,"Underspend","On Budget"))</f>
        <v>On Budget</v>
      </c>
    </row>
    <row r="985" spans="1:14" hidden="1">
      <c r="A985" s="1">
        <v>45200</v>
      </c>
      <c r="B985">
        <v>10</v>
      </c>
      <c r="C985" t="s">
        <v>48</v>
      </c>
      <c r="D985" t="s">
        <v>49</v>
      </c>
      <c r="E985">
        <v>2023</v>
      </c>
      <c r="F985" t="s">
        <v>30</v>
      </c>
      <c r="G985" t="s">
        <v>14</v>
      </c>
      <c r="H985" t="s">
        <v>19</v>
      </c>
      <c r="I985" t="s">
        <v>31</v>
      </c>
      <c r="J985">
        <v>44704.03</v>
      </c>
      <c r="K985">
        <v>44119.23</v>
      </c>
      <c r="L985" s="20">
        <f>tbl_Budget[[#This Row],[Actual]]-tbl_Budget[[#This Row],[Budget]]</f>
        <v>-584.79999999999563</v>
      </c>
      <c r="M985" s="3">
        <f>tbl_Budget[[#This Row],[Variance]]/tbl_Budget[[#This Row],[Budget]]</f>
        <v>-1.3081594657125894E-2</v>
      </c>
      <c r="N985" t="str">
        <f>IF(tbl_Budget[[#This Row],[Variance_%]]&gt;0.05,"Overspend",IF(tbl_Budget[[#This Row],[Variance_%]]&lt;-0.05,"Underspend","On Budget"))</f>
        <v>On Budget</v>
      </c>
    </row>
    <row r="986" spans="1:14" hidden="1">
      <c r="A986" s="1">
        <v>45200</v>
      </c>
      <c r="B986">
        <v>10</v>
      </c>
      <c r="C986" t="s">
        <v>48</v>
      </c>
      <c r="D986" t="s">
        <v>49</v>
      </c>
      <c r="E986">
        <v>2023</v>
      </c>
      <c r="F986" t="s">
        <v>30</v>
      </c>
      <c r="G986" t="s">
        <v>20</v>
      </c>
      <c r="H986" t="s">
        <v>15</v>
      </c>
      <c r="I986" t="s">
        <v>31</v>
      </c>
      <c r="J986">
        <v>16404.36</v>
      </c>
      <c r="K986">
        <v>16655.400000000001</v>
      </c>
      <c r="L986" s="20">
        <f>tbl_Budget[[#This Row],[Actual]]-tbl_Budget[[#This Row],[Budget]]</f>
        <v>251.04000000000087</v>
      </c>
      <c r="M986" s="3">
        <f>tbl_Budget[[#This Row],[Variance]]/tbl_Budget[[#This Row],[Budget]]</f>
        <v>1.5303248648530077E-2</v>
      </c>
      <c r="N986" t="str">
        <f>IF(tbl_Budget[[#This Row],[Variance_%]]&gt;0.05,"Overspend",IF(tbl_Budget[[#This Row],[Variance_%]]&lt;-0.05,"Underspend","On Budget"))</f>
        <v>On Budget</v>
      </c>
    </row>
    <row r="987" spans="1:14" hidden="1">
      <c r="A987" s="1">
        <v>45200</v>
      </c>
      <c r="B987">
        <v>10</v>
      </c>
      <c r="C987" t="s">
        <v>48</v>
      </c>
      <c r="D987" t="s">
        <v>49</v>
      </c>
      <c r="E987">
        <v>2023</v>
      </c>
      <c r="F987" t="s">
        <v>30</v>
      </c>
      <c r="G987" t="s">
        <v>20</v>
      </c>
      <c r="H987" t="s">
        <v>17</v>
      </c>
      <c r="I987" t="s">
        <v>31</v>
      </c>
      <c r="J987">
        <v>15559.04</v>
      </c>
      <c r="K987">
        <v>16123.52</v>
      </c>
      <c r="L987" s="20">
        <f>tbl_Budget[[#This Row],[Actual]]-tbl_Budget[[#This Row],[Budget]]</f>
        <v>564.47999999999956</v>
      </c>
      <c r="M987" s="3">
        <f>tbl_Budget[[#This Row],[Variance]]/tbl_Budget[[#This Row],[Budget]]</f>
        <v>3.6279873308378896E-2</v>
      </c>
      <c r="N987" t="str">
        <f>IF(tbl_Budget[[#This Row],[Variance_%]]&gt;0.05,"Overspend",IF(tbl_Budget[[#This Row],[Variance_%]]&lt;-0.05,"Underspend","On Budget"))</f>
        <v>On Budget</v>
      </c>
    </row>
    <row r="988" spans="1:14" hidden="1">
      <c r="A988" s="1">
        <v>45200</v>
      </c>
      <c r="B988">
        <v>10</v>
      </c>
      <c r="C988" t="s">
        <v>48</v>
      </c>
      <c r="D988" t="s">
        <v>49</v>
      </c>
      <c r="E988">
        <v>2023</v>
      </c>
      <c r="F988" t="s">
        <v>30</v>
      </c>
      <c r="G988" t="s">
        <v>20</v>
      </c>
      <c r="H988" t="s">
        <v>18</v>
      </c>
      <c r="I988" t="s">
        <v>31</v>
      </c>
      <c r="J988">
        <v>15516.45</v>
      </c>
      <c r="K988">
        <v>15072.51</v>
      </c>
      <c r="L988" s="20">
        <f>tbl_Budget[[#This Row],[Actual]]-tbl_Budget[[#This Row],[Budget]]</f>
        <v>-443.94000000000051</v>
      </c>
      <c r="M988" s="3">
        <f>tbl_Budget[[#This Row],[Variance]]/tbl_Budget[[#This Row],[Budget]]</f>
        <v>-2.8610925823883717E-2</v>
      </c>
      <c r="N988" t="str">
        <f>IF(tbl_Budget[[#This Row],[Variance_%]]&gt;0.05,"Overspend",IF(tbl_Budget[[#This Row],[Variance_%]]&lt;-0.05,"Underspend","On Budget"))</f>
        <v>On Budget</v>
      </c>
    </row>
    <row r="989" spans="1:14" hidden="1">
      <c r="A989" s="1">
        <v>45200</v>
      </c>
      <c r="B989">
        <v>10</v>
      </c>
      <c r="C989" t="s">
        <v>48</v>
      </c>
      <c r="D989" t="s">
        <v>49</v>
      </c>
      <c r="E989">
        <v>2023</v>
      </c>
      <c r="F989" t="s">
        <v>30</v>
      </c>
      <c r="G989" t="s">
        <v>20</v>
      </c>
      <c r="H989" t="s">
        <v>19</v>
      </c>
      <c r="I989" t="s">
        <v>31</v>
      </c>
      <c r="J989">
        <v>17021.55</v>
      </c>
      <c r="K989">
        <v>17001.72</v>
      </c>
      <c r="L989" s="20">
        <f>tbl_Budget[[#This Row],[Actual]]-tbl_Budget[[#This Row],[Budget]]</f>
        <v>-19.829999999998108</v>
      </c>
      <c r="M989" s="3">
        <f>tbl_Budget[[#This Row],[Variance]]/tbl_Budget[[#This Row],[Budget]]</f>
        <v>-1.1649937872871806E-3</v>
      </c>
      <c r="N989" t="str">
        <f>IF(tbl_Budget[[#This Row],[Variance_%]]&gt;0.05,"Overspend",IF(tbl_Budget[[#This Row],[Variance_%]]&lt;-0.05,"Underspend","On Budget"))</f>
        <v>On Budget</v>
      </c>
    </row>
    <row r="990" spans="1:14">
      <c r="A990" s="1">
        <v>45200</v>
      </c>
      <c r="B990">
        <v>10</v>
      </c>
      <c r="C990" t="s">
        <v>48</v>
      </c>
      <c r="D990" t="s">
        <v>49</v>
      </c>
      <c r="E990">
        <v>2023</v>
      </c>
      <c r="F990" t="s">
        <v>30</v>
      </c>
      <c r="G990" t="s">
        <v>21</v>
      </c>
      <c r="H990" t="s">
        <v>15</v>
      </c>
      <c r="I990" t="s">
        <v>31</v>
      </c>
      <c r="J990">
        <v>6737.48</v>
      </c>
      <c r="K990">
        <v>6465.52</v>
      </c>
      <c r="L990" s="20">
        <f>tbl_Budget[[#This Row],[Actual]]-tbl_Budget[[#This Row],[Budget]]</f>
        <v>-271.95999999999913</v>
      </c>
      <c r="M990" s="3">
        <f>tbl_Budget[[#This Row],[Variance]]/tbl_Budget[[#This Row],[Budget]]</f>
        <v>-4.0365240416297958E-2</v>
      </c>
      <c r="N990" t="str">
        <f>IF(tbl_Budget[[#This Row],[Variance_%]]&gt;0.05,"Overspend",IF(tbl_Budget[[#This Row],[Variance_%]]&lt;-0.05,"Underspend","On Budget"))</f>
        <v>On Budget</v>
      </c>
    </row>
    <row r="991" spans="1:14">
      <c r="A991" s="1">
        <v>45200</v>
      </c>
      <c r="B991">
        <v>10</v>
      </c>
      <c r="C991" t="s">
        <v>48</v>
      </c>
      <c r="D991" t="s">
        <v>49</v>
      </c>
      <c r="E991">
        <v>2023</v>
      </c>
      <c r="F991" t="s">
        <v>30</v>
      </c>
      <c r="G991" t="s">
        <v>21</v>
      </c>
      <c r="H991" t="s">
        <v>17</v>
      </c>
      <c r="I991" t="s">
        <v>31</v>
      </c>
      <c r="J991">
        <v>6622.6</v>
      </c>
      <c r="K991">
        <v>6674.1</v>
      </c>
      <c r="L991" s="20">
        <f>tbl_Budget[[#This Row],[Actual]]-tbl_Budget[[#This Row],[Budget]]</f>
        <v>51.5</v>
      </c>
      <c r="M991" s="3">
        <f>tbl_Budget[[#This Row],[Variance]]/tbl_Budget[[#This Row],[Budget]]</f>
        <v>7.7764020173345808E-3</v>
      </c>
      <c r="N991" t="str">
        <f>IF(tbl_Budget[[#This Row],[Variance_%]]&gt;0.05,"Overspend",IF(tbl_Budget[[#This Row],[Variance_%]]&lt;-0.05,"Underspend","On Budget"))</f>
        <v>On Budget</v>
      </c>
    </row>
    <row r="992" spans="1:14">
      <c r="A992" s="1">
        <v>45200</v>
      </c>
      <c r="B992">
        <v>10</v>
      </c>
      <c r="C992" t="s">
        <v>48</v>
      </c>
      <c r="D992" t="s">
        <v>49</v>
      </c>
      <c r="E992">
        <v>2023</v>
      </c>
      <c r="F992" t="s">
        <v>30</v>
      </c>
      <c r="G992" t="s">
        <v>21</v>
      </c>
      <c r="H992" t="s">
        <v>18</v>
      </c>
      <c r="I992" t="s">
        <v>31</v>
      </c>
      <c r="J992">
        <v>6730.06</v>
      </c>
      <c r="K992">
        <v>6405.25</v>
      </c>
      <c r="L992" s="20">
        <f>tbl_Budget[[#This Row],[Actual]]-tbl_Budget[[#This Row],[Budget]]</f>
        <v>-324.8100000000004</v>
      </c>
      <c r="M992" s="3">
        <f>tbl_Budget[[#This Row],[Variance]]/tbl_Budget[[#This Row],[Budget]]</f>
        <v>-4.826257121036074E-2</v>
      </c>
      <c r="N992" t="str">
        <f>IF(tbl_Budget[[#This Row],[Variance_%]]&gt;0.05,"Overspend",IF(tbl_Budget[[#This Row],[Variance_%]]&lt;-0.05,"Underspend","On Budget"))</f>
        <v>On Budget</v>
      </c>
    </row>
    <row r="993" spans="1:14">
      <c r="A993" s="1">
        <v>45200</v>
      </c>
      <c r="B993">
        <v>10</v>
      </c>
      <c r="C993" t="s">
        <v>48</v>
      </c>
      <c r="D993" t="s">
        <v>49</v>
      </c>
      <c r="E993">
        <v>2023</v>
      </c>
      <c r="F993" t="s">
        <v>30</v>
      </c>
      <c r="G993" t="s">
        <v>21</v>
      </c>
      <c r="H993" t="s">
        <v>19</v>
      </c>
      <c r="I993" t="s">
        <v>31</v>
      </c>
      <c r="J993">
        <v>6963.43</v>
      </c>
      <c r="K993">
        <v>7331.51</v>
      </c>
      <c r="L993" s="20">
        <f>tbl_Budget[[#This Row],[Actual]]-tbl_Budget[[#This Row],[Budget]]</f>
        <v>368.07999999999993</v>
      </c>
      <c r="M993" s="3">
        <f>tbl_Budget[[#This Row],[Variance]]/tbl_Budget[[#This Row],[Budget]]</f>
        <v>5.2859007701664254E-2</v>
      </c>
      <c r="N993" t="str">
        <f>IF(tbl_Budget[[#This Row],[Variance_%]]&gt;0.05,"Overspend",IF(tbl_Budget[[#This Row],[Variance_%]]&lt;-0.05,"Underspend","On Budget"))</f>
        <v>Overspend</v>
      </c>
    </row>
    <row r="994" spans="1:14" hidden="1">
      <c r="A994" s="1">
        <v>45200</v>
      </c>
      <c r="B994">
        <v>10</v>
      </c>
      <c r="C994" t="s">
        <v>48</v>
      </c>
      <c r="D994" t="s">
        <v>49</v>
      </c>
      <c r="E994">
        <v>2023</v>
      </c>
      <c r="F994" t="s">
        <v>30</v>
      </c>
      <c r="G994" t="s">
        <v>22</v>
      </c>
      <c r="H994" t="s">
        <v>15</v>
      </c>
      <c r="I994" t="s">
        <v>31</v>
      </c>
      <c r="J994">
        <v>7471.52</v>
      </c>
      <c r="K994">
        <v>7056.83</v>
      </c>
      <c r="L994" s="20">
        <f>tbl_Budget[[#This Row],[Actual]]-tbl_Budget[[#This Row],[Budget]]</f>
        <v>-414.69000000000051</v>
      </c>
      <c r="M994" s="3">
        <f>tbl_Budget[[#This Row],[Variance]]/tbl_Budget[[#This Row],[Budget]]</f>
        <v>-5.5502762490095787E-2</v>
      </c>
      <c r="N994" t="str">
        <f>IF(tbl_Budget[[#This Row],[Variance_%]]&gt;0.05,"Overspend",IF(tbl_Budget[[#This Row],[Variance_%]]&lt;-0.05,"Underspend","On Budget"))</f>
        <v>Underspend</v>
      </c>
    </row>
    <row r="995" spans="1:14" hidden="1">
      <c r="A995" s="1">
        <v>45200</v>
      </c>
      <c r="B995">
        <v>10</v>
      </c>
      <c r="C995" t="s">
        <v>48</v>
      </c>
      <c r="D995" t="s">
        <v>49</v>
      </c>
      <c r="E995">
        <v>2023</v>
      </c>
      <c r="F995" t="s">
        <v>30</v>
      </c>
      <c r="G995" t="s">
        <v>22</v>
      </c>
      <c r="H995" t="s">
        <v>17</v>
      </c>
      <c r="I995" t="s">
        <v>31</v>
      </c>
      <c r="J995">
        <v>7116.35</v>
      </c>
      <c r="K995">
        <v>7090.41</v>
      </c>
      <c r="L995" s="20">
        <f>tbl_Budget[[#This Row],[Actual]]-tbl_Budget[[#This Row],[Budget]]</f>
        <v>-25.940000000000509</v>
      </c>
      <c r="M995" s="3">
        <f>tbl_Budget[[#This Row],[Variance]]/tbl_Budget[[#This Row],[Budget]]</f>
        <v>-3.6451270665440161E-3</v>
      </c>
      <c r="N995" t="str">
        <f>IF(tbl_Budget[[#This Row],[Variance_%]]&gt;0.05,"Overspend",IF(tbl_Budget[[#This Row],[Variance_%]]&lt;-0.05,"Underspend","On Budget"))</f>
        <v>On Budget</v>
      </c>
    </row>
    <row r="996" spans="1:14" hidden="1">
      <c r="A996" s="1">
        <v>45200</v>
      </c>
      <c r="B996">
        <v>10</v>
      </c>
      <c r="C996" t="s">
        <v>48</v>
      </c>
      <c r="D996" t="s">
        <v>49</v>
      </c>
      <c r="E996">
        <v>2023</v>
      </c>
      <c r="F996" t="s">
        <v>30</v>
      </c>
      <c r="G996" t="s">
        <v>22</v>
      </c>
      <c r="H996" t="s">
        <v>18</v>
      </c>
      <c r="I996" t="s">
        <v>31</v>
      </c>
      <c r="J996">
        <v>7317.41</v>
      </c>
      <c r="K996">
        <v>7315.23</v>
      </c>
      <c r="L996" s="20">
        <f>tbl_Budget[[#This Row],[Actual]]-tbl_Budget[[#This Row],[Budget]]</f>
        <v>-2.180000000000291</v>
      </c>
      <c r="M996" s="3">
        <f>tbl_Budget[[#This Row],[Variance]]/tbl_Budget[[#This Row],[Budget]]</f>
        <v>-2.9791961910024053E-4</v>
      </c>
      <c r="N996" t="str">
        <f>IF(tbl_Budget[[#This Row],[Variance_%]]&gt;0.05,"Overspend",IF(tbl_Budget[[#This Row],[Variance_%]]&lt;-0.05,"Underspend","On Budget"))</f>
        <v>On Budget</v>
      </c>
    </row>
    <row r="997" spans="1:14" hidden="1">
      <c r="A997" s="1">
        <v>45200</v>
      </c>
      <c r="B997">
        <v>10</v>
      </c>
      <c r="C997" t="s">
        <v>48</v>
      </c>
      <c r="D997" t="s">
        <v>49</v>
      </c>
      <c r="E997">
        <v>2023</v>
      </c>
      <c r="F997" t="s">
        <v>30</v>
      </c>
      <c r="G997" t="s">
        <v>22</v>
      </c>
      <c r="H997" t="s">
        <v>19</v>
      </c>
      <c r="I997" t="s">
        <v>31</v>
      </c>
      <c r="J997">
        <v>7927.05</v>
      </c>
      <c r="K997">
        <v>7918.63</v>
      </c>
      <c r="L997" s="20">
        <f>tbl_Budget[[#This Row],[Actual]]-tbl_Budget[[#This Row],[Budget]]</f>
        <v>-8.4200000000000728</v>
      </c>
      <c r="M997" s="3">
        <f>tbl_Budget[[#This Row],[Variance]]/tbl_Budget[[#This Row],[Budget]]</f>
        <v>-1.0621858068260038E-3</v>
      </c>
      <c r="N997" t="str">
        <f>IF(tbl_Budget[[#This Row],[Variance_%]]&gt;0.05,"Overspend",IF(tbl_Budget[[#This Row],[Variance_%]]&lt;-0.05,"Underspend","On Budget"))</f>
        <v>On Budget</v>
      </c>
    </row>
    <row r="998" spans="1:14" hidden="1">
      <c r="A998" s="1">
        <v>45200</v>
      </c>
      <c r="B998">
        <v>10</v>
      </c>
      <c r="C998" t="s">
        <v>48</v>
      </c>
      <c r="D998" t="s">
        <v>49</v>
      </c>
      <c r="E998">
        <v>2023</v>
      </c>
      <c r="F998" t="s">
        <v>30</v>
      </c>
      <c r="G998" t="s">
        <v>23</v>
      </c>
      <c r="H998" t="s">
        <v>15</v>
      </c>
      <c r="I998" t="s">
        <v>31</v>
      </c>
      <c r="J998">
        <v>6518.96</v>
      </c>
      <c r="K998">
        <v>6404.25</v>
      </c>
      <c r="L998" s="20">
        <f>tbl_Budget[[#This Row],[Actual]]-tbl_Budget[[#This Row],[Budget]]</f>
        <v>-114.71000000000004</v>
      </c>
      <c r="M998" s="3">
        <f>tbl_Budget[[#This Row],[Variance]]/tbl_Budget[[#This Row],[Budget]]</f>
        <v>-1.7596365064366102E-2</v>
      </c>
      <c r="N998" t="str">
        <f>IF(tbl_Budget[[#This Row],[Variance_%]]&gt;0.05,"Overspend",IF(tbl_Budget[[#This Row],[Variance_%]]&lt;-0.05,"Underspend","On Budget"))</f>
        <v>On Budget</v>
      </c>
    </row>
    <row r="999" spans="1:14" hidden="1">
      <c r="A999" s="1">
        <v>45200</v>
      </c>
      <c r="B999">
        <v>10</v>
      </c>
      <c r="C999" t="s">
        <v>48</v>
      </c>
      <c r="D999" t="s">
        <v>49</v>
      </c>
      <c r="E999">
        <v>2023</v>
      </c>
      <c r="F999" t="s">
        <v>30</v>
      </c>
      <c r="G999" t="s">
        <v>23</v>
      </c>
      <c r="H999" t="s">
        <v>17</v>
      </c>
      <c r="I999" t="s">
        <v>31</v>
      </c>
      <c r="J999">
        <v>5904.42</v>
      </c>
      <c r="K999">
        <v>6025.97</v>
      </c>
      <c r="L999" s="20">
        <f>tbl_Budget[[#This Row],[Actual]]-tbl_Budget[[#This Row],[Budget]]</f>
        <v>121.55000000000018</v>
      </c>
      <c r="M999" s="3">
        <f>tbl_Budget[[#This Row],[Variance]]/tbl_Budget[[#This Row],[Budget]]</f>
        <v>2.0586272656755479E-2</v>
      </c>
      <c r="N999" t="str">
        <f>IF(tbl_Budget[[#This Row],[Variance_%]]&gt;0.05,"Overspend",IF(tbl_Budget[[#This Row],[Variance_%]]&lt;-0.05,"Underspend","On Budget"))</f>
        <v>On Budget</v>
      </c>
    </row>
    <row r="1000" spans="1:14" hidden="1">
      <c r="A1000" s="1">
        <v>45200</v>
      </c>
      <c r="B1000">
        <v>10</v>
      </c>
      <c r="C1000" t="s">
        <v>48</v>
      </c>
      <c r="D1000" t="s">
        <v>49</v>
      </c>
      <c r="E1000">
        <v>2023</v>
      </c>
      <c r="F1000" t="s">
        <v>30</v>
      </c>
      <c r="G1000" t="s">
        <v>23</v>
      </c>
      <c r="H1000" t="s">
        <v>18</v>
      </c>
      <c r="I1000" t="s">
        <v>31</v>
      </c>
      <c r="J1000">
        <v>6216.45</v>
      </c>
      <c r="K1000">
        <v>6228.26</v>
      </c>
      <c r="L1000" s="20">
        <f>tbl_Budget[[#This Row],[Actual]]-tbl_Budget[[#This Row],[Budget]]</f>
        <v>11.8100000000004</v>
      </c>
      <c r="M1000" s="3">
        <f>tbl_Budget[[#This Row],[Variance]]/tbl_Budget[[#This Row],[Budget]]</f>
        <v>1.8997981162882996E-3</v>
      </c>
      <c r="N1000" t="str">
        <f>IF(tbl_Budget[[#This Row],[Variance_%]]&gt;0.05,"Overspend",IF(tbl_Budget[[#This Row],[Variance_%]]&lt;-0.05,"Underspend","On Budget"))</f>
        <v>On Budget</v>
      </c>
    </row>
    <row r="1001" spans="1:14" hidden="1">
      <c r="A1001" s="1">
        <v>45200</v>
      </c>
      <c r="B1001">
        <v>10</v>
      </c>
      <c r="C1001" t="s">
        <v>48</v>
      </c>
      <c r="D1001" t="s">
        <v>49</v>
      </c>
      <c r="E1001">
        <v>2023</v>
      </c>
      <c r="F1001" t="s">
        <v>30</v>
      </c>
      <c r="G1001" t="s">
        <v>23</v>
      </c>
      <c r="H1001" t="s">
        <v>19</v>
      </c>
      <c r="I1001" t="s">
        <v>31</v>
      </c>
      <c r="J1001">
        <v>6468.11</v>
      </c>
      <c r="K1001">
        <v>6255.22</v>
      </c>
      <c r="L1001" s="20">
        <f>tbl_Budget[[#This Row],[Actual]]-tbl_Budget[[#This Row],[Budget]]</f>
        <v>-212.88999999999942</v>
      </c>
      <c r="M1001" s="3">
        <f>tbl_Budget[[#This Row],[Variance]]/tbl_Budget[[#This Row],[Budget]]</f>
        <v>-3.291378779890871E-2</v>
      </c>
      <c r="N1001" t="str">
        <f>IF(tbl_Budget[[#This Row],[Variance_%]]&gt;0.05,"Overspend",IF(tbl_Budget[[#This Row],[Variance_%]]&lt;-0.05,"Underspend","On Budget"))</f>
        <v>On Budget</v>
      </c>
    </row>
    <row r="1002" spans="1:14" hidden="1">
      <c r="A1002" s="1">
        <v>45231</v>
      </c>
      <c r="B1002">
        <v>11</v>
      </c>
      <c r="C1002" t="s">
        <v>50</v>
      </c>
      <c r="D1002" t="s">
        <v>51</v>
      </c>
      <c r="E1002">
        <v>2023</v>
      </c>
      <c r="F1002" t="s">
        <v>13</v>
      </c>
      <c r="G1002" t="s">
        <v>14</v>
      </c>
      <c r="H1002" t="s">
        <v>15</v>
      </c>
      <c r="I1002" t="s">
        <v>16</v>
      </c>
      <c r="J1002">
        <v>47891.33</v>
      </c>
      <c r="K1002">
        <v>54516.75</v>
      </c>
      <c r="L1002" s="20">
        <f>tbl_Budget[[#This Row],[Actual]]-tbl_Budget[[#This Row],[Budget]]</f>
        <v>6625.4199999999983</v>
      </c>
      <c r="M1002" s="3">
        <f>tbl_Budget[[#This Row],[Variance]]/tbl_Budget[[#This Row],[Budget]]</f>
        <v>0.13834278563572985</v>
      </c>
      <c r="N1002" t="str">
        <f>IF(tbl_Budget[[#This Row],[Variance_%]]&gt;0.05,"Overspend",IF(tbl_Budget[[#This Row],[Variance_%]]&lt;-0.05,"Underspend","On Budget"))</f>
        <v>Overspend</v>
      </c>
    </row>
    <row r="1003" spans="1:14" hidden="1">
      <c r="A1003" s="1">
        <v>45231</v>
      </c>
      <c r="B1003">
        <v>11</v>
      </c>
      <c r="C1003" t="s">
        <v>50</v>
      </c>
      <c r="D1003" t="s">
        <v>51</v>
      </c>
      <c r="E1003">
        <v>2023</v>
      </c>
      <c r="F1003" t="s">
        <v>13</v>
      </c>
      <c r="G1003" t="s">
        <v>14</v>
      </c>
      <c r="H1003" t="s">
        <v>17</v>
      </c>
      <c r="I1003" t="s">
        <v>16</v>
      </c>
      <c r="J1003">
        <v>46341.23</v>
      </c>
      <c r="K1003">
        <v>52651.26</v>
      </c>
      <c r="L1003" s="20">
        <f>tbl_Budget[[#This Row],[Actual]]-tbl_Budget[[#This Row],[Budget]]</f>
        <v>6310.0299999999988</v>
      </c>
      <c r="M1003" s="3">
        <f>tbl_Budget[[#This Row],[Variance]]/tbl_Budget[[#This Row],[Budget]]</f>
        <v>0.13616449110219989</v>
      </c>
      <c r="N1003" t="str">
        <f>IF(tbl_Budget[[#This Row],[Variance_%]]&gt;0.05,"Overspend",IF(tbl_Budget[[#This Row],[Variance_%]]&lt;-0.05,"Underspend","On Budget"))</f>
        <v>Overspend</v>
      </c>
    </row>
    <row r="1004" spans="1:14" hidden="1">
      <c r="A1004" s="1">
        <v>45231</v>
      </c>
      <c r="B1004">
        <v>11</v>
      </c>
      <c r="C1004" t="s">
        <v>50</v>
      </c>
      <c r="D1004" t="s">
        <v>51</v>
      </c>
      <c r="E1004">
        <v>2023</v>
      </c>
      <c r="F1004" t="s">
        <v>13</v>
      </c>
      <c r="G1004" t="s">
        <v>14</v>
      </c>
      <c r="H1004" t="s">
        <v>18</v>
      </c>
      <c r="I1004" t="s">
        <v>16</v>
      </c>
      <c r="J1004">
        <v>45974.8</v>
      </c>
      <c r="K1004">
        <v>51646.91</v>
      </c>
      <c r="L1004" s="20">
        <f>tbl_Budget[[#This Row],[Actual]]-tbl_Budget[[#This Row],[Budget]]</f>
        <v>5672.1100000000006</v>
      </c>
      <c r="M1004" s="3">
        <f>tbl_Budget[[#This Row],[Variance]]/tbl_Budget[[#This Row],[Budget]]</f>
        <v>0.12337432680511932</v>
      </c>
      <c r="N1004" t="str">
        <f>IF(tbl_Budget[[#This Row],[Variance_%]]&gt;0.05,"Overspend",IF(tbl_Budget[[#This Row],[Variance_%]]&lt;-0.05,"Underspend","On Budget"))</f>
        <v>Overspend</v>
      </c>
    </row>
    <row r="1005" spans="1:14" hidden="1">
      <c r="A1005" s="1">
        <v>45231</v>
      </c>
      <c r="B1005">
        <v>11</v>
      </c>
      <c r="C1005" t="s">
        <v>50</v>
      </c>
      <c r="D1005" t="s">
        <v>51</v>
      </c>
      <c r="E1005">
        <v>2023</v>
      </c>
      <c r="F1005" t="s">
        <v>13</v>
      </c>
      <c r="G1005" t="s">
        <v>14</v>
      </c>
      <c r="H1005" t="s">
        <v>19</v>
      </c>
      <c r="I1005" t="s">
        <v>16</v>
      </c>
      <c r="J1005">
        <v>49308.05</v>
      </c>
      <c r="K1005">
        <v>54823.11</v>
      </c>
      <c r="L1005" s="20">
        <f>tbl_Budget[[#This Row],[Actual]]-tbl_Budget[[#This Row],[Budget]]</f>
        <v>5515.0599999999977</v>
      </c>
      <c r="M1005" s="3">
        <f>tbl_Budget[[#This Row],[Variance]]/tbl_Budget[[#This Row],[Budget]]</f>
        <v>0.11184907940995431</v>
      </c>
      <c r="N1005" t="str">
        <f>IF(tbl_Budget[[#This Row],[Variance_%]]&gt;0.05,"Overspend",IF(tbl_Budget[[#This Row],[Variance_%]]&lt;-0.05,"Underspend","On Budget"))</f>
        <v>Overspend</v>
      </c>
    </row>
    <row r="1006" spans="1:14" hidden="1">
      <c r="A1006" s="1">
        <v>45231</v>
      </c>
      <c r="B1006">
        <v>11</v>
      </c>
      <c r="C1006" t="s">
        <v>50</v>
      </c>
      <c r="D1006" t="s">
        <v>51</v>
      </c>
      <c r="E1006">
        <v>2023</v>
      </c>
      <c r="F1006" t="s">
        <v>13</v>
      </c>
      <c r="G1006" t="s">
        <v>20</v>
      </c>
      <c r="H1006" t="s">
        <v>15</v>
      </c>
      <c r="I1006" t="s">
        <v>16</v>
      </c>
      <c r="J1006">
        <v>18481.54</v>
      </c>
      <c r="K1006">
        <v>21826.880000000001</v>
      </c>
      <c r="L1006" s="20">
        <f>tbl_Budget[[#This Row],[Actual]]-tbl_Budget[[#This Row],[Budget]]</f>
        <v>3345.34</v>
      </c>
      <c r="M1006" s="3">
        <f>tbl_Budget[[#This Row],[Variance]]/tbl_Budget[[#This Row],[Budget]]</f>
        <v>0.18100980762425642</v>
      </c>
      <c r="N1006" t="str">
        <f>IF(tbl_Budget[[#This Row],[Variance_%]]&gt;0.05,"Overspend",IF(tbl_Budget[[#This Row],[Variance_%]]&lt;-0.05,"Underspend","On Budget"))</f>
        <v>Overspend</v>
      </c>
    </row>
    <row r="1007" spans="1:14" hidden="1">
      <c r="A1007" s="1">
        <v>45231</v>
      </c>
      <c r="B1007">
        <v>11</v>
      </c>
      <c r="C1007" t="s">
        <v>50</v>
      </c>
      <c r="D1007" t="s">
        <v>51</v>
      </c>
      <c r="E1007">
        <v>2023</v>
      </c>
      <c r="F1007" t="s">
        <v>13</v>
      </c>
      <c r="G1007" t="s">
        <v>20</v>
      </c>
      <c r="H1007" t="s">
        <v>17</v>
      </c>
      <c r="I1007" t="s">
        <v>16</v>
      </c>
      <c r="J1007">
        <v>17678.650000000001</v>
      </c>
      <c r="K1007">
        <v>20087.63</v>
      </c>
      <c r="L1007" s="20">
        <f>tbl_Budget[[#This Row],[Actual]]-tbl_Budget[[#This Row],[Budget]]</f>
        <v>2408.9799999999996</v>
      </c>
      <c r="M1007" s="3">
        <f>tbl_Budget[[#This Row],[Variance]]/tbl_Budget[[#This Row],[Budget]]</f>
        <v>0.13626492973162541</v>
      </c>
      <c r="N1007" t="str">
        <f>IF(tbl_Budget[[#This Row],[Variance_%]]&gt;0.05,"Overspend",IF(tbl_Budget[[#This Row],[Variance_%]]&lt;-0.05,"Underspend","On Budget"))</f>
        <v>Overspend</v>
      </c>
    </row>
    <row r="1008" spans="1:14" hidden="1">
      <c r="A1008" s="1">
        <v>45231</v>
      </c>
      <c r="B1008">
        <v>11</v>
      </c>
      <c r="C1008" t="s">
        <v>50</v>
      </c>
      <c r="D1008" t="s">
        <v>51</v>
      </c>
      <c r="E1008">
        <v>2023</v>
      </c>
      <c r="F1008" t="s">
        <v>13</v>
      </c>
      <c r="G1008" t="s">
        <v>20</v>
      </c>
      <c r="H1008" t="s">
        <v>18</v>
      </c>
      <c r="I1008" t="s">
        <v>16</v>
      </c>
      <c r="J1008">
        <v>17724.580000000002</v>
      </c>
      <c r="K1008">
        <v>19859.759999999998</v>
      </c>
      <c r="L1008" s="20">
        <f>tbl_Budget[[#This Row],[Actual]]-tbl_Budget[[#This Row],[Budget]]</f>
        <v>2135.1799999999967</v>
      </c>
      <c r="M1008" s="3">
        <f>tbl_Budget[[#This Row],[Variance]]/tbl_Budget[[#This Row],[Budget]]</f>
        <v>0.12046434950785838</v>
      </c>
      <c r="N1008" t="str">
        <f>IF(tbl_Budget[[#This Row],[Variance_%]]&gt;0.05,"Overspend",IF(tbl_Budget[[#This Row],[Variance_%]]&lt;-0.05,"Underspend","On Budget"))</f>
        <v>Overspend</v>
      </c>
    </row>
    <row r="1009" spans="1:14" hidden="1">
      <c r="A1009" s="1">
        <v>45231</v>
      </c>
      <c r="B1009">
        <v>11</v>
      </c>
      <c r="C1009" t="s">
        <v>50</v>
      </c>
      <c r="D1009" t="s">
        <v>51</v>
      </c>
      <c r="E1009">
        <v>2023</v>
      </c>
      <c r="F1009" t="s">
        <v>13</v>
      </c>
      <c r="G1009" t="s">
        <v>20</v>
      </c>
      <c r="H1009" t="s">
        <v>19</v>
      </c>
      <c r="I1009" t="s">
        <v>16</v>
      </c>
      <c r="J1009">
        <v>18405.8</v>
      </c>
      <c r="K1009">
        <v>21580.47</v>
      </c>
      <c r="L1009" s="20">
        <f>tbl_Budget[[#This Row],[Actual]]-tbl_Budget[[#This Row],[Budget]]</f>
        <v>3174.6700000000019</v>
      </c>
      <c r="M1009" s="3">
        <f>tbl_Budget[[#This Row],[Variance]]/tbl_Budget[[#This Row],[Budget]]</f>
        <v>0.17248204370361528</v>
      </c>
      <c r="N1009" t="str">
        <f>IF(tbl_Budget[[#This Row],[Variance_%]]&gt;0.05,"Overspend",IF(tbl_Budget[[#This Row],[Variance_%]]&lt;-0.05,"Underspend","On Budget"))</f>
        <v>Overspend</v>
      </c>
    </row>
    <row r="1010" spans="1:14">
      <c r="A1010" s="1">
        <v>45231</v>
      </c>
      <c r="B1010">
        <v>11</v>
      </c>
      <c r="C1010" t="s">
        <v>50</v>
      </c>
      <c r="D1010" t="s">
        <v>51</v>
      </c>
      <c r="E1010">
        <v>2023</v>
      </c>
      <c r="F1010" t="s">
        <v>13</v>
      </c>
      <c r="G1010" t="s">
        <v>21</v>
      </c>
      <c r="H1010" t="s">
        <v>15</v>
      </c>
      <c r="I1010" t="s">
        <v>16</v>
      </c>
      <c r="J1010">
        <v>10362.32</v>
      </c>
      <c r="K1010">
        <v>11657.16</v>
      </c>
      <c r="L1010" s="20">
        <f>tbl_Budget[[#This Row],[Actual]]-tbl_Budget[[#This Row],[Budget]]</f>
        <v>1294.8400000000001</v>
      </c>
      <c r="M1010" s="3">
        <f>tbl_Budget[[#This Row],[Variance]]/tbl_Budget[[#This Row],[Budget]]</f>
        <v>0.12495657343143236</v>
      </c>
      <c r="N1010" t="str">
        <f>IF(tbl_Budget[[#This Row],[Variance_%]]&gt;0.05,"Overspend",IF(tbl_Budget[[#This Row],[Variance_%]]&lt;-0.05,"Underspend","On Budget"))</f>
        <v>Overspend</v>
      </c>
    </row>
    <row r="1011" spans="1:14">
      <c r="A1011" s="1">
        <v>45231</v>
      </c>
      <c r="B1011">
        <v>11</v>
      </c>
      <c r="C1011" t="s">
        <v>50</v>
      </c>
      <c r="D1011" t="s">
        <v>51</v>
      </c>
      <c r="E1011">
        <v>2023</v>
      </c>
      <c r="F1011" t="s">
        <v>13</v>
      </c>
      <c r="G1011" t="s">
        <v>21</v>
      </c>
      <c r="H1011" t="s">
        <v>17</v>
      </c>
      <c r="I1011" t="s">
        <v>16</v>
      </c>
      <c r="J1011">
        <v>9680.2800000000007</v>
      </c>
      <c r="K1011">
        <v>11271.33</v>
      </c>
      <c r="L1011" s="20">
        <f>tbl_Budget[[#This Row],[Actual]]-tbl_Budget[[#This Row],[Budget]]</f>
        <v>1591.0499999999993</v>
      </c>
      <c r="M1011" s="3">
        <f>tbl_Budget[[#This Row],[Variance]]/tbl_Budget[[#This Row],[Budget]]</f>
        <v>0.16435991520906412</v>
      </c>
      <c r="N1011" t="str">
        <f>IF(tbl_Budget[[#This Row],[Variance_%]]&gt;0.05,"Overspend",IF(tbl_Budget[[#This Row],[Variance_%]]&lt;-0.05,"Underspend","On Budget"))</f>
        <v>Overspend</v>
      </c>
    </row>
    <row r="1012" spans="1:14">
      <c r="A1012" s="1">
        <v>45231</v>
      </c>
      <c r="B1012">
        <v>11</v>
      </c>
      <c r="C1012" t="s">
        <v>50</v>
      </c>
      <c r="D1012" t="s">
        <v>51</v>
      </c>
      <c r="E1012">
        <v>2023</v>
      </c>
      <c r="F1012" t="s">
        <v>13</v>
      </c>
      <c r="G1012" t="s">
        <v>21</v>
      </c>
      <c r="H1012" t="s">
        <v>18</v>
      </c>
      <c r="I1012" t="s">
        <v>16</v>
      </c>
      <c r="J1012">
        <v>10128.18</v>
      </c>
      <c r="K1012">
        <v>12153.34</v>
      </c>
      <c r="L1012" s="20">
        <f>tbl_Budget[[#This Row],[Actual]]-tbl_Budget[[#This Row],[Budget]]</f>
        <v>2025.1599999999999</v>
      </c>
      <c r="M1012" s="3">
        <f>tbl_Budget[[#This Row],[Variance]]/tbl_Budget[[#This Row],[Budget]]</f>
        <v>0.19995300241504393</v>
      </c>
      <c r="N1012" t="str">
        <f>IF(tbl_Budget[[#This Row],[Variance_%]]&gt;0.05,"Overspend",IF(tbl_Budget[[#This Row],[Variance_%]]&lt;-0.05,"Underspend","On Budget"))</f>
        <v>Overspend</v>
      </c>
    </row>
    <row r="1013" spans="1:14">
      <c r="A1013" s="1">
        <v>45231</v>
      </c>
      <c r="B1013">
        <v>11</v>
      </c>
      <c r="C1013" t="s">
        <v>50</v>
      </c>
      <c r="D1013" t="s">
        <v>51</v>
      </c>
      <c r="E1013">
        <v>2023</v>
      </c>
      <c r="F1013" t="s">
        <v>13</v>
      </c>
      <c r="G1013" t="s">
        <v>21</v>
      </c>
      <c r="H1013" t="s">
        <v>19</v>
      </c>
      <c r="I1013" t="s">
        <v>16</v>
      </c>
      <c r="J1013">
        <v>10894.23</v>
      </c>
      <c r="K1013">
        <v>12377.73</v>
      </c>
      <c r="L1013" s="20">
        <f>tbl_Budget[[#This Row],[Actual]]-tbl_Budget[[#This Row],[Budget]]</f>
        <v>1483.5</v>
      </c>
      <c r="M1013" s="3">
        <f>tbl_Budget[[#This Row],[Variance]]/tbl_Budget[[#This Row],[Budget]]</f>
        <v>0.13617300167152704</v>
      </c>
      <c r="N1013" t="str">
        <f>IF(tbl_Budget[[#This Row],[Variance_%]]&gt;0.05,"Overspend",IF(tbl_Budget[[#This Row],[Variance_%]]&lt;-0.05,"Underspend","On Budget"))</f>
        <v>Overspend</v>
      </c>
    </row>
    <row r="1014" spans="1:14" hidden="1">
      <c r="A1014" s="1">
        <v>45231</v>
      </c>
      <c r="B1014">
        <v>11</v>
      </c>
      <c r="C1014" t="s">
        <v>50</v>
      </c>
      <c r="D1014" t="s">
        <v>51</v>
      </c>
      <c r="E1014">
        <v>2023</v>
      </c>
      <c r="F1014" t="s">
        <v>13</v>
      </c>
      <c r="G1014" t="s">
        <v>22</v>
      </c>
      <c r="H1014" t="s">
        <v>15</v>
      </c>
      <c r="I1014" t="s">
        <v>16</v>
      </c>
      <c r="J1014">
        <v>8123.91</v>
      </c>
      <c r="K1014">
        <v>9208.51</v>
      </c>
      <c r="L1014" s="20">
        <f>tbl_Budget[[#This Row],[Actual]]-tbl_Budget[[#This Row],[Budget]]</f>
        <v>1084.6000000000004</v>
      </c>
      <c r="M1014" s="3">
        <f>tbl_Budget[[#This Row],[Variance]]/tbl_Budget[[#This Row],[Budget]]</f>
        <v>0.13350714126572061</v>
      </c>
      <c r="N1014" t="str">
        <f>IF(tbl_Budget[[#This Row],[Variance_%]]&gt;0.05,"Overspend",IF(tbl_Budget[[#This Row],[Variance_%]]&lt;-0.05,"Underspend","On Budget"))</f>
        <v>Overspend</v>
      </c>
    </row>
    <row r="1015" spans="1:14" hidden="1">
      <c r="A1015" s="1">
        <v>45231</v>
      </c>
      <c r="B1015">
        <v>11</v>
      </c>
      <c r="C1015" t="s">
        <v>50</v>
      </c>
      <c r="D1015" t="s">
        <v>51</v>
      </c>
      <c r="E1015">
        <v>2023</v>
      </c>
      <c r="F1015" t="s">
        <v>13</v>
      </c>
      <c r="G1015" t="s">
        <v>22</v>
      </c>
      <c r="H1015" t="s">
        <v>17</v>
      </c>
      <c r="I1015" t="s">
        <v>16</v>
      </c>
      <c r="J1015">
        <v>7770.63</v>
      </c>
      <c r="K1015">
        <v>9231.81</v>
      </c>
      <c r="L1015" s="20">
        <f>tbl_Budget[[#This Row],[Actual]]-tbl_Budget[[#This Row],[Budget]]</f>
        <v>1461.1799999999994</v>
      </c>
      <c r="M1015" s="3">
        <f>tbl_Budget[[#This Row],[Variance]]/tbl_Budget[[#This Row],[Budget]]</f>
        <v>0.18803880766424336</v>
      </c>
      <c r="N1015" t="str">
        <f>IF(tbl_Budget[[#This Row],[Variance_%]]&gt;0.05,"Overspend",IF(tbl_Budget[[#This Row],[Variance_%]]&lt;-0.05,"Underspend","On Budget"))</f>
        <v>Overspend</v>
      </c>
    </row>
    <row r="1016" spans="1:14" hidden="1">
      <c r="A1016" s="1">
        <v>45231</v>
      </c>
      <c r="B1016">
        <v>11</v>
      </c>
      <c r="C1016" t="s">
        <v>50</v>
      </c>
      <c r="D1016" t="s">
        <v>51</v>
      </c>
      <c r="E1016">
        <v>2023</v>
      </c>
      <c r="F1016" t="s">
        <v>13</v>
      </c>
      <c r="G1016" t="s">
        <v>22</v>
      </c>
      <c r="H1016" t="s">
        <v>18</v>
      </c>
      <c r="I1016" t="s">
        <v>16</v>
      </c>
      <c r="J1016">
        <v>8312.3799999999992</v>
      </c>
      <c r="K1016">
        <v>9803.61</v>
      </c>
      <c r="L1016" s="20">
        <f>tbl_Budget[[#This Row],[Actual]]-tbl_Budget[[#This Row],[Budget]]</f>
        <v>1491.2300000000014</v>
      </c>
      <c r="M1016" s="3">
        <f>tbl_Budget[[#This Row],[Variance]]/tbl_Budget[[#This Row],[Budget]]</f>
        <v>0.17939868004109552</v>
      </c>
      <c r="N1016" t="str">
        <f>IF(tbl_Budget[[#This Row],[Variance_%]]&gt;0.05,"Overspend",IF(tbl_Budget[[#This Row],[Variance_%]]&lt;-0.05,"Underspend","On Budget"))</f>
        <v>Overspend</v>
      </c>
    </row>
    <row r="1017" spans="1:14" hidden="1">
      <c r="A1017" s="1">
        <v>45231</v>
      </c>
      <c r="B1017">
        <v>11</v>
      </c>
      <c r="C1017" t="s">
        <v>50</v>
      </c>
      <c r="D1017" t="s">
        <v>51</v>
      </c>
      <c r="E1017">
        <v>2023</v>
      </c>
      <c r="F1017" t="s">
        <v>13</v>
      </c>
      <c r="G1017" t="s">
        <v>22</v>
      </c>
      <c r="H1017" t="s">
        <v>19</v>
      </c>
      <c r="I1017" t="s">
        <v>16</v>
      </c>
      <c r="J1017">
        <v>8747.09</v>
      </c>
      <c r="K1017">
        <v>9940.77</v>
      </c>
      <c r="L1017" s="20">
        <f>tbl_Budget[[#This Row],[Actual]]-tbl_Budget[[#This Row],[Budget]]</f>
        <v>1193.6800000000003</v>
      </c>
      <c r="M1017" s="3">
        <f>tbl_Budget[[#This Row],[Variance]]/tbl_Budget[[#This Row],[Budget]]</f>
        <v>0.13646595610654519</v>
      </c>
      <c r="N1017" t="str">
        <f>IF(tbl_Budget[[#This Row],[Variance_%]]&gt;0.05,"Overspend",IF(tbl_Budget[[#This Row],[Variance_%]]&lt;-0.05,"Underspend","On Budget"))</f>
        <v>Overspend</v>
      </c>
    </row>
    <row r="1018" spans="1:14" hidden="1">
      <c r="A1018" s="1">
        <v>45231</v>
      </c>
      <c r="B1018">
        <v>11</v>
      </c>
      <c r="C1018" t="s">
        <v>50</v>
      </c>
      <c r="D1018" t="s">
        <v>51</v>
      </c>
      <c r="E1018">
        <v>2023</v>
      </c>
      <c r="F1018" t="s">
        <v>13</v>
      </c>
      <c r="G1018" t="s">
        <v>23</v>
      </c>
      <c r="H1018" t="s">
        <v>15</v>
      </c>
      <c r="I1018" t="s">
        <v>16</v>
      </c>
      <c r="J1018">
        <v>8409.0499999999993</v>
      </c>
      <c r="K1018">
        <v>9998.68</v>
      </c>
      <c r="L1018" s="20">
        <f>tbl_Budget[[#This Row],[Actual]]-tbl_Budget[[#This Row],[Budget]]</f>
        <v>1589.630000000001</v>
      </c>
      <c r="M1018" s="3">
        <f>tbl_Budget[[#This Row],[Variance]]/tbl_Budget[[#This Row],[Budget]]</f>
        <v>0.18903800072540908</v>
      </c>
      <c r="N1018" t="str">
        <f>IF(tbl_Budget[[#This Row],[Variance_%]]&gt;0.05,"Overspend",IF(tbl_Budget[[#This Row],[Variance_%]]&lt;-0.05,"Underspend","On Budget"))</f>
        <v>Overspend</v>
      </c>
    </row>
    <row r="1019" spans="1:14" hidden="1">
      <c r="A1019" s="1">
        <v>45231</v>
      </c>
      <c r="B1019">
        <v>11</v>
      </c>
      <c r="C1019" t="s">
        <v>50</v>
      </c>
      <c r="D1019" t="s">
        <v>51</v>
      </c>
      <c r="E1019">
        <v>2023</v>
      </c>
      <c r="F1019" t="s">
        <v>13</v>
      </c>
      <c r="G1019" t="s">
        <v>23</v>
      </c>
      <c r="H1019" t="s">
        <v>17</v>
      </c>
      <c r="I1019" t="s">
        <v>16</v>
      </c>
      <c r="J1019">
        <v>8034.36</v>
      </c>
      <c r="K1019">
        <v>9438.61</v>
      </c>
      <c r="L1019" s="20">
        <f>tbl_Budget[[#This Row],[Actual]]-tbl_Budget[[#This Row],[Budget]]</f>
        <v>1404.2500000000009</v>
      </c>
      <c r="M1019" s="3">
        <f>tbl_Budget[[#This Row],[Variance]]/tbl_Budget[[#This Row],[Budget]]</f>
        <v>0.17478056746274762</v>
      </c>
      <c r="N1019" t="str">
        <f>IF(tbl_Budget[[#This Row],[Variance_%]]&gt;0.05,"Overspend",IF(tbl_Budget[[#This Row],[Variance_%]]&lt;-0.05,"Underspend","On Budget"))</f>
        <v>Overspend</v>
      </c>
    </row>
    <row r="1020" spans="1:14" hidden="1">
      <c r="A1020" s="1">
        <v>45231</v>
      </c>
      <c r="B1020">
        <v>11</v>
      </c>
      <c r="C1020" t="s">
        <v>50</v>
      </c>
      <c r="D1020" t="s">
        <v>51</v>
      </c>
      <c r="E1020">
        <v>2023</v>
      </c>
      <c r="F1020" t="s">
        <v>13</v>
      </c>
      <c r="G1020" t="s">
        <v>23</v>
      </c>
      <c r="H1020" t="s">
        <v>18</v>
      </c>
      <c r="I1020" t="s">
        <v>16</v>
      </c>
      <c r="J1020">
        <v>8296.23</v>
      </c>
      <c r="K1020">
        <v>9584.82</v>
      </c>
      <c r="L1020" s="20">
        <f>tbl_Budget[[#This Row],[Actual]]-tbl_Budget[[#This Row],[Budget]]</f>
        <v>1288.5900000000001</v>
      </c>
      <c r="M1020" s="3">
        <f>tbl_Budget[[#This Row],[Variance]]/tbl_Budget[[#This Row],[Budget]]</f>
        <v>0.15532235726347995</v>
      </c>
      <c r="N1020" t="str">
        <f>IF(tbl_Budget[[#This Row],[Variance_%]]&gt;0.05,"Overspend",IF(tbl_Budget[[#This Row],[Variance_%]]&lt;-0.05,"Underspend","On Budget"))</f>
        <v>Overspend</v>
      </c>
    </row>
    <row r="1021" spans="1:14" hidden="1">
      <c r="A1021" s="1">
        <v>45231</v>
      </c>
      <c r="B1021">
        <v>11</v>
      </c>
      <c r="C1021" t="s">
        <v>50</v>
      </c>
      <c r="D1021" t="s">
        <v>51</v>
      </c>
      <c r="E1021">
        <v>2023</v>
      </c>
      <c r="F1021" t="s">
        <v>13</v>
      </c>
      <c r="G1021" t="s">
        <v>23</v>
      </c>
      <c r="H1021" t="s">
        <v>19</v>
      </c>
      <c r="I1021" t="s">
        <v>16</v>
      </c>
      <c r="J1021">
        <v>8995.57</v>
      </c>
      <c r="K1021">
        <v>10092.49</v>
      </c>
      <c r="L1021" s="20">
        <f>tbl_Budget[[#This Row],[Actual]]-tbl_Budget[[#This Row],[Budget]]</f>
        <v>1096.92</v>
      </c>
      <c r="M1021" s="3">
        <f>tbl_Budget[[#This Row],[Variance]]/tbl_Budget[[#This Row],[Budget]]</f>
        <v>0.12194002158840409</v>
      </c>
      <c r="N1021" t="str">
        <f>IF(tbl_Budget[[#This Row],[Variance_%]]&gt;0.05,"Overspend",IF(tbl_Budget[[#This Row],[Variance_%]]&lt;-0.05,"Underspend","On Budget"))</f>
        <v>Overspend</v>
      </c>
    </row>
    <row r="1022" spans="1:14" hidden="1">
      <c r="A1022" s="1">
        <v>45231</v>
      </c>
      <c r="B1022">
        <v>11</v>
      </c>
      <c r="C1022" t="s">
        <v>50</v>
      </c>
      <c r="D1022" t="s">
        <v>51</v>
      </c>
      <c r="E1022">
        <v>2023</v>
      </c>
      <c r="F1022" t="s">
        <v>24</v>
      </c>
      <c r="G1022" t="s">
        <v>14</v>
      </c>
      <c r="H1022" t="s">
        <v>15</v>
      </c>
      <c r="I1022" t="s">
        <v>25</v>
      </c>
      <c r="J1022">
        <v>49145.89</v>
      </c>
      <c r="K1022">
        <v>42447.01</v>
      </c>
      <c r="L1022" s="20">
        <f>tbl_Budget[[#This Row],[Actual]]-tbl_Budget[[#This Row],[Budget]]</f>
        <v>-6698.8799999999974</v>
      </c>
      <c r="M1022" s="3">
        <f>tbl_Budget[[#This Row],[Variance]]/tbl_Budget[[#This Row],[Budget]]</f>
        <v>-0.13630600646361268</v>
      </c>
      <c r="N1022" t="str">
        <f>IF(tbl_Budget[[#This Row],[Variance_%]]&gt;0.05,"Overspend",IF(tbl_Budget[[#This Row],[Variance_%]]&lt;-0.05,"Underspend","On Budget"))</f>
        <v>Underspend</v>
      </c>
    </row>
    <row r="1023" spans="1:14" hidden="1">
      <c r="A1023" s="1">
        <v>45231</v>
      </c>
      <c r="B1023">
        <v>11</v>
      </c>
      <c r="C1023" t="s">
        <v>50</v>
      </c>
      <c r="D1023" t="s">
        <v>51</v>
      </c>
      <c r="E1023">
        <v>2023</v>
      </c>
      <c r="F1023" t="s">
        <v>24</v>
      </c>
      <c r="G1023" t="s">
        <v>14</v>
      </c>
      <c r="H1023" t="s">
        <v>17</v>
      </c>
      <c r="I1023" t="s">
        <v>25</v>
      </c>
      <c r="J1023">
        <v>47596.35</v>
      </c>
      <c r="K1023">
        <v>40658.879999999997</v>
      </c>
      <c r="L1023" s="20">
        <f>tbl_Budget[[#This Row],[Actual]]-tbl_Budget[[#This Row],[Budget]]</f>
        <v>-6937.4700000000012</v>
      </c>
      <c r="M1023" s="3">
        <f>tbl_Budget[[#This Row],[Variance]]/tbl_Budget[[#This Row],[Budget]]</f>
        <v>-0.14575634476173072</v>
      </c>
      <c r="N1023" t="str">
        <f>IF(tbl_Budget[[#This Row],[Variance_%]]&gt;0.05,"Overspend",IF(tbl_Budget[[#This Row],[Variance_%]]&lt;-0.05,"Underspend","On Budget"))</f>
        <v>Underspend</v>
      </c>
    </row>
    <row r="1024" spans="1:14" hidden="1">
      <c r="A1024" s="1">
        <v>45231</v>
      </c>
      <c r="B1024">
        <v>11</v>
      </c>
      <c r="C1024" t="s">
        <v>50</v>
      </c>
      <c r="D1024" t="s">
        <v>51</v>
      </c>
      <c r="E1024">
        <v>2023</v>
      </c>
      <c r="F1024" t="s">
        <v>24</v>
      </c>
      <c r="G1024" t="s">
        <v>14</v>
      </c>
      <c r="H1024" t="s">
        <v>18</v>
      </c>
      <c r="I1024" t="s">
        <v>25</v>
      </c>
      <c r="J1024">
        <v>48823.56</v>
      </c>
      <c r="K1024">
        <v>41972.61</v>
      </c>
      <c r="L1024" s="20">
        <f>tbl_Budget[[#This Row],[Actual]]-tbl_Budget[[#This Row],[Budget]]</f>
        <v>-6850.9499999999971</v>
      </c>
      <c r="M1024" s="3">
        <f>tbl_Budget[[#This Row],[Variance]]/tbl_Budget[[#This Row],[Budget]]</f>
        <v>-0.14032057473891699</v>
      </c>
      <c r="N1024" t="str">
        <f>IF(tbl_Budget[[#This Row],[Variance_%]]&gt;0.05,"Overspend",IF(tbl_Budget[[#This Row],[Variance_%]]&lt;-0.05,"Underspend","On Budget"))</f>
        <v>Underspend</v>
      </c>
    </row>
    <row r="1025" spans="1:14" hidden="1">
      <c r="A1025" s="1">
        <v>45231</v>
      </c>
      <c r="B1025">
        <v>11</v>
      </c>
      <c r="C1025" t="s">
        <v>50</v>
      </c>
      <c r="D1025" t="s">
        <v>51</v>
      </c>
      <c r="E1025">
        <v>2023</v>
      </c>
      <c r="F1025" t="s">
        <v>24</v>
      </c>
      <c r="G1025" t="s">
        <v>14</v>
      </c>
      <c r="H1025" t="s">
        <v>19</v>
      </c>
      <c r="I1025" t="s">
        <v>25</v>
      </c>
      <c r="J1025">
        <v>53498.77</v>
      </c>
      <c r="K1025">
        <v>46989.56</v>
      </c>
      <c r="L1025" s="20">
        <f>tbl_Budget[[#This Row],[Actual]]-tbl_Budget[[#This Row],[Budget]]</f>
        <v>-6509.2099999999991</v>
      </c>
      <c r="M1025" s="3">
        <f>tbl_Budget[[#This Row],[Variance]]/tbl_Budget[[#This Row],[Budget]]</f>
        <v>-0.12167027391470868</v>
      </c>
      <c r="N1025" t="str">
        <f>IF(tbl_Budget[[#This Row],[Variance_%]]&gt;0.05,"Overspend",IF(tbl_Budget[[#This Row],[Variance_%]]&lt;-0.05,"Underspend","On Budget"))</f>
        <v>Underspend</v>
      </c>
    </row>
    <row r="1026" spans="1:14" hidden="1">
      <c r="A1026" s="1">
        <v>45231</v>
      </c>
      <c r="B1026">
        <v>11</v>
      </c>
      <c r="C1026" t="s">
        <v>50</v>
      </c>
      <c r="D1026" t="s">
        <v>51</v>
      </c>
      <c r="E1026">
        <v>2023</v>
      </c>
      <c r="F1026" t="s">
        <v>24</v>
      </c>
      <c r="G1026" t="s">
        <v>20</v>
      </c>
      <c r="H1026" t="s">
        <v>15</v>
      </c>
      <c r="I1026" t="s">
        <v>25</v>
      </c>
      <c r="J1026">
        <v>27041.08</v>
      </c>
      <c r="K1026">
        <v>23145.02</v>
      </c>
      <c r="L1026" s="20">
        <f>tbl_Budget[[#This Row],[Actual]]-tbl_Budget[[#This Row],[Budget]]</f>
        <v>-3896.0600000000013</v>
      </c>
      <c r="M1026" s="3">
        <f>tbl_Budget[[#This Row],[Variance]]/tbl_Budget[[#This Row],[Budget]]</f>
        <v>-0.14407930452481932</v>
      </c>
      <c r="N1026" t="str">
        <f>IF(tbl_Budget[[#This Row],[Variance_%]]&gt;0.05,"Overspend",IF(tbl_Budget[[#This Row],[Variance_%]]&lt;-0.05,"Underspend","On Budget"))</f>
        <v>Underspend</v>
      </c>
    </row>
    <row r="1027" spans="1:14" hidden="1">
      <c r="A1027" s="1">
        <v>45231</v>
      </c>
      <c r="B1027">
        <v>11</v>
      </c>
      <c r="C1027" t="s">
        <v>50</v>
      </c>
      <c r="D1027" t="s">
        <v>51</v>
      </c>
      <c r="E1027">
        <v>2023</v>
      </c>
      <c r="F1027" t="s">
        <v>24</v>
      </c>
      <c r="G1027" t="s">
        <v>20</v>
      </c>
      <c r="H1027" t="s">
        <v>17</v>
      </c>
      <c r="I1027" t="s">
        <v>25</v>
      </c>
      <c r="J1027">
        <v>26776.69</v>
      </c>
      <c r="K1027">
        <v>23677.16</v>
      </c>
      <c r="L1027" s="20">
        <f>tbl_Budget[[#This Row],[Actual]]-tbl_Budget[[#This Row],[Budget]]</f>
        <v>-3099.5299999999988</v>
      </c>
      <c r="M1027" s="3">
        <f>tbl_Budget[[#This Row],[Variance]]/tbl_Budget[[#This Row],[Budget]]</f>
        <v>-0.11575478522550767</v>
      </c>
      <c r="N1027" t="str">
        <f>IF(tbl_Budget[[#This Row],[Variance_%]]&gt;0.05,"Overspend",IF(tbl_Budget[[#This Row],[Variance_%]]&lt;-0.05,"Underspend","On Budget"))</f>
        <v>Underspend</v>
      </c>
    </row>
    <row r="1028" spans="1:14" hidden="1">
      <c r="A1028" s="1">
        <v>45231</v>
      </c>
      <c r="B1028">
        <v>11</v>
      </c>
      <c r="C1028" t="s">
        <v>50</v>
      </c>
      <c r="D1028" t="s">
        <v>51</v>
      </c>
      <c r="E1028">
        <v>2023</v>
      </c>
      <c r="F1028" t="s">
        <v>24</v>
      </c>
      <c r="G1028" t="s">
        <v>20</v>
      </c>
      <c r="H1028" t="s">
        <v>18</v>
      </c>
      <c r="I1028" t="s">
        <v>25</v>
      </c>
      <c r="J1028">
        <v>27348.79</v>
      </c>
      <c r="K1028">
        <v>23667.91</v>
      </c>
      <c r="L1028" s="20">
        <f>tbl_Budget[[#This Row],[Actual]]-tbl_Budget[[#This Row],[Budget]]</f>
        <v>-3680.880000000001</v>
      </c>
      <c r="M1028" s="3">
        <f>tbl_Budget[[#This Row],[Variance]]/tbl_Budget[[#This Row],[Budget]]</f>
        <v>-0.13459023232837727</v>
      </c>
      <c r="N1028" t="str">
        <f>IF(tbl_Budget[[#This Row],[Variance_%]]&gt;0.05,"Overspend",IF(tbl_Budget[[#This Row],[Variance_%]]&lt;-0.05,"Underspend","On Budget"))</f>
        <v>Underspend</v>
      </c>
    </row>
    <row r="1029" spans="1:14" hidden="1">
      <c r="A1029" s="1">
        <v>45231</v>
      </c>
      <c r="B1029">
        <v>11</v>
      </c>
      <c r="C1029" t="s">
        <v>50</v>
      </c>
      <c r="D1029" t="s">
        <v>51</v>
      </c>
      <c r="E1029">
        <v>2023</v>
      </c>
      <c r="F1029" t="s">
        <v>24</v>
      </c>
      <c r="G1029" t="s">
        <v>20</v>
      </c>
      <c r="H1029" t="s">
        <v>19</v>
      </c>
      <c r="I1029" t="s">
        <v>25</v>
      </c>
      <c r="J1029">
        <v>28220.240000000002</v>
      </c>
      <c r="K1029">
        <v>25171</v>
      </c>
      <c r="L1029" s="20">
        <f>tbl_Budget[[#This Row],[Actual]]-tbl_Budget[[#This Row],[Budget]]</f>
        <v>-3049.2400000000016</v>
      </c>
      <c r="M1029" s="3">
        <f>tbl_Budget[[#This Row],[Variance]]/tbl_Budget[[#This Row],[Budget]]</f>
        <v>-0.10805152613868632</v>
      </c>
      <c r="N1029" t="str">
        <f>IF(tbl_Budget[[#This Row],[Variance_%]]&gt;0.05,"Overspend",IF(tbl_Budget[[#This Row],[Variance_%]]&lt;-0.05,"Underspend","On Budget"))</f>
        <v>Underspend</v>
      </c>
    </row>
    <row r="1030" spans="1:14">
      <c r="A1030" s="1">
        <v>45231</v>
      </c>
      <c r="B1030">
        <v>11</v>
      </c>
      <c r="C1030" t="s">
        <v>50</v>
      </c>
      <c r="D1030" t="s">
        <v>51</v>
      </c>
      <c r="E1030">
        <v>2023</v>
      </c>
      <c r="F1030" t="s">
        <v>24</v>
      </c>
      <c r="G1030" t="s">
        <v>21</v>
      </c>
      <c r="H1030" t="s">
        <v>15</v>
      </c>
      <c r="I1030" t="s">
        <v>25</v>
      </c>
      <c r="J1030">
        <v>10960.04</v>
      </c>
      <c r="K1030">
        <v>9711.93</v>
      </c>
      <c r="L1030" s="20">
        <f>tbl_Budget[[#This Row],[Actual]]-tbl_Budget[[#This Row],[Budget]]</f>
        <v>-1248.1100000000006</v>
      </c>
      <c r="M1030" s="3">
        <f>tbl_Budget[[#This Row],[Variance]]/tbl_Budget[[#This Row],[Budget]]</f>
        <v>-0.11387823402104376</v>
      </c>
      <c r="N1030" t="str">
        <f>IF(tbl_Budget[[#This Row],[Variance_%]]&gt;0.05,"Overspend",IF(tbl_Budget[[#This Row],[Variance_%]]&lt;-0.05,"Underspend","On Budget"))</f>
        <v>Underspend</v>
      </c>
    </row>
    <row r="1031" spans="1:14">
      <c r="A1031" s="1">
        <v>45231</v>
      </c>
      <c r="B1031">
        <v>11</v>
      </c>
      <c r="C1031" t="s">
        <v>50</v>
      </c>
      <c r="D1031" t="s">
        <v>51</v>
      </c>
      <c r="E1031">
        <v>2023</v>
      </c>
      <c r="F1031" t="s">
        <v>24</v>
      </c>
      <c r="G1031" t="s">
        <v>21</v>
      </c>
      <c r="H1031" t="s">
        <v>17</v>
      </c>
      <c r="I1031" t="s">
        <v>25</v>
      </c>
      <c r="J1031">
        <v>10357.25</v>
      </c>
      <c r="K1031">
        <v>9189.73</v>
      </c>
      <c r="L1031" s="20">
        <f>tbl_Budget[[#This Row],[Actual]]-tbl_Budget[[#This Row],[Budget]]</f>
        <v>-1167.5200000000004</v>
      </c>
      <c r="M1031" s="3">
        <f>tbl_Budget[[#This Row],[Variance]]/tbl_Budget[[#This Row],[Budget]]</f>
        <v>-0.11272490284583267</v>
      </c>
      <c r="N1031" t="str">
        <f>IF(tbl_Budget[[#This Row],[Variance_%]]&gt;0.05,"Overspend",IF(tbl_Budget[[#This Row],[Variance_%]]&lt;-0.05,"Underspend","On Budget"))</f>
        <v>Underspend</v>
      </c>
    </row>
    <row r="1032" spans="1:14">
      <c r="A1032" s="1">
        <v>45231</v>
      </c>
      <c r="B1032">
        <v>11</v>
      </c>
      <c r="C1032" t="s">
        <v>50</v>
      </c>
      <c r="D1032" t="s">
        <v>51</v>
      </c>
      <c r="E1032">
        <v>2023</v>
      </c>
      <c r="F1032" t="s">
        <v>24</v>
      </c>
      <c r="G1032" t="s">
        <v>21</v>
      </c>
      <c r="H1032" t="s">
        <v>18</v>
      </c>
      <c r="I1032" t="s">
        <v>25</v>
      </c>
      <c r="J1032">
        <v>10123.49</v>
      </c>
      <c r="K1032">
        <v>8881.89</v>
      </c>
      <c r="L1032" s="20">
        <f>tbl_Budget[[#This Row],[Actual]]-tbl_Budget[[#This Row],[Budget]]</f>
        <v>-1241.6000000000004</v>
      </c>
      <c r="M1032" s="3">
        <f>tbl_Budget[[#This Row],[Variance]]/tbl_Budget[[#This Row],[Budget]]</f>
        <v>-0.12264545132162924</v>
      </c>
      <c r="N1032" t="str">
        <f>IF(tbl_Budget[[#This Row],[Variance_%]]&gt;0.05,"Overspend",IF(tbl_Budget[[#This Row],[Variance_%]]&lt;-0.05,"Underspend","On Budget"))</f>
        <v>Underspend</v>
      </c>
    </row>
    <row r="1033" spans="1:14">
      <c r="A1033" s="1">
        <v>45231</v>
      </c>
      <c r="B1033">
        <v>11</v>
      </c>
      <c r="C1033" t="s">
        <v>50</v>
      </c>
      <c r="D1033" t="s">
        <v>51</v>
      </c>
      <c r="E1033">
        <v>2023</v>
      </c>
      <c r="F1033" t="s">
        <v>24</v>
      </c>
      <c r="G1033" t="s">
        <v>21</v>
      </c>
      <c r="H1033" t="s">
        <v>19</v>
      </c>
      <c r="I1033" t="s">
        <v>25</v>
      </c>
      <c r="J1033">
        <v>10914.52</v>
      </c>
      <c r="K1033">
        <v>9347.36</v>
      </c>
      <c r="L1033" s="20">
        <f>tbl_Budget[[#This Row],[Actual]]-tbl_Budget[[#This Row],[Budget]]</f>
        <v>-1567.1599999999999</v>
      </c>
      <c r="M1033" s="3">
        <f>tbl_Budget[[#This Row],[Variance]]/tbl_Budget[[#This Row],[Budget]]</f>
        <v>-0.1435848759267471</v>
      </c>
      <c r="N1033" t="str">
        <f>IF(tbl_Budget[[#This Row],[Variance_%]]&gt;0.05,"Overspend",IF(tbl_Budget[[#This Row],[Variance_%]]&lt;-0.05,"Underspend","On Budget"))</f>
        <v>Underspend</v>
      </c>
    </row>
    <row r="1034" spans="1:14" hidden="1">
      <c r="A1034" s="1">
        <v>45231</v>
      </c>
      <c r="B1034">
        <v>11</v>
      </c>
      <c r="C1034" t="s">
        <v>50</v>
      </c>
      <c r="D1034" t="s">
        <v>51</v>
      </c>
      <c r="E1034">
        <v>2023</v>
      </c>
      <c r="F1034" t="s">
        <v>24</v>
      </c>
      <c r="G1034" t="s">
        <v>22</v>
      </c>
      <c r="H1034" t="s">
        <v>15</v>
      </c>
      <c r="I1034" t="s">
        <v>25</v>
      </c>
      <c r="J1034">
        <v>8552.1</v>
      </c>
      <c r="K1034">
        <v>7354.31</v>
      </c>
      <c r="L1034" s="20">
        <f>tbl_Budget[[#This Row],[Actual]]-tbl_Budget[[#This Row],[Budget]]</f>
        <v>-1197.79</v>
      </c>
      <c r="M1034" s="3">
        <f>tbl_Budget[[#This Row],[Variance]]/tbl_Budget[[#This Row],[Budget]]</f>
        <v>-0.14005799745091849</v>
      </c>
      <c r="N1034" t="str">
        <f>IF(tbl_Budget[[#This Row],[Variance_%]]&gt;0.05,"Overspend",IF(tbl_Budget[[#This Row],[Variance_%]]&lt;-0.05,"Underspend","On Budget"))</f>
        <v>Underspend</v>
      </c>
    </row>
    <row r="1035" spans="1:14" hidden="1">
      <c r="A1035" s="1">
        <v>45231</v>
      </c>
      <c r="B1035">
        <v>11</v>
      </c>
      <c r="C1035" t="s">
        <v>50</v>
      </c>
      <c r="D1035" t="s">
        <v>51</v>
      </c>
      <c r="E1035">
        <v>2023</v>
      </c>
      <c r="F1035" t="s">
        <v>24</v>
      </c>
      <c r="G1035" t="s">
        <v>22</v>
      </c>
      <c r="H1035" t="s">
        <v>17</v>
      </c>
      <c r="I1035" t="s">
        <v>25</v>
      </c>
      <c r="J1035">
        <v>8258.16</v>
      </c>
      <c r="K1035">
        <v>7493.97</v>
      </c>
      <c r="L1035" s="20">
        <f>tbl_Budget[[#This Row],[Actual]]-tbl_Budget[[#This Row],[Budget]]</f>
        <v>-764.1899999999996</v>
      </c>
      <c r="M1035" s="3">
        <f>tbl_Budget[[#This Row],[Variance]]/tbl_Budget[[#This Row],[Budget]]</f>
        <v>-9.253756284692953E-2</v>
      </c>
      <c r="N1035" t="str">
        <f>IF(tbl_Budget[[#This Row],[Variance_%]]&gt;0.05,"Overspend",IF(tbl_Budget[[#This Row],[Variance_%]]&lt;-0.05,"Underspend","On Budget"))</f>
        <v>Underspend</v>
      </c>
    </row>
    <row r="1036" spans="1:14" hidden="1">
      <c r="A1036" s="1">
        <v>45231</v>
      </c>
      <c r="B1036">
        <v>11</v>
      </c>
      <c r="C1036" t="s">
        <v>50</v>
      </c>
      <c r="D1036" t="s">
        <v>51</v>
      </c>
      <c r="E1036">
        <v>2023</v>
      </c>
      <c r="F1036" t="s">
        <v>24</v>
      </c>
      <c r="G1036" t="s">
        <v>22</v>
      </c>
      <c r="H1036" t="s">
        <v>18</v>
      </c>
      <c r="I1036" t="s">
        <v>25</v>
      </c>
      <c r="J1036">
        <v>8340</v>
      </c>
      <c r="K1036">
        <v>7402.02</v>
      </c>
      <c r="L1036" s="20">
        <f>tbl_Budget[[#This Row],[Actual]]-tbl_Budget[[#This Row],[Budget]]</f>
        <v>-937.97999999999956</v>
      </c>
      <c r="M1036" s="3">
        <f>tbl_Budget[[#This Row],[Variance]]/tbl_Budget[[#This Row],[Budget]]</f>
        <v>-0.11246762589928053</v>
      </c>
      <c r="N1036" t="str">
        <f>IF(tbl_Budget[[#This Row],[Variance_%]]&gt;0.05,"Overspend",IF(tbl_Budget[[#This Row],[Variance_%]]&lt;-0.05,"Underspend","On Budget"))</f>
        <v>Underspend</v>
      </c>
    </row>
    <row r="1037" spans="1:14" hidden="1">
      <c r="A1037" s="1">
        <v>45231</v>
      </c>
      <c r="B1037">
        <v>11</v>
      </c>
      <c r="C1037" t="s">
        <v>50</v>
      </c>
      <c r="D1037" t="s">
        <v>51</v>
      </c>
      <c r="E1037">
        <v>2023</v>
      </c>
      <c r="F1037" t="s">
        <v>24</v>
      </c>
      <c r="G1037" t="s">
        <v>22</v>
      </c>
      <c r="H1037" t="s">
        <v>19</v>
      </c>
      <c r="I1037" t="s">
        <v>25</v>
      </c>
      <c r="J1037">
        <v>9223.69</v>
      </c>
      <c r="K1037">
        <v>7835.39</v>
      </c>
      <c r="L1037" s="20">
        <f>tbl_Budget[[#This Row],[Actual]]-tbl_Budget[[#This Row],[Budget]]</f>
        <v>-1388.3000000000002</v>
      </c>
      <c r="M1037" s="3">
        <f>tbl_Budget[[#This Row],[Variance]]/tbl_Budget[[#This Row],[Budget]]</f>
        <v>-0.1505145988210792</v>
      </c>
      <c r="N1037" t="str">
        <f>IF(tbl_Budget[[#This Row],[Variance_%]]&gt;0.05,"Overspend",IF(tbl_Budget[[#This Row],[Variance_%]]&lt;-0.05,"Underspend","On Budget"))</f>
        <v>Underspend</v>
      </c>
    </row>
    <row r="1038" spans="1:14" hidden="1">
      <c r="A1038" s="1">
        <v>45231</v>
      </c>
      <c r="B1038">
        <v>11</v>
      </c>
      <c r="C1038" t="s">
        <v>50</v>
      </c>
      <c r="D1038" t="s">
        <v>51</v>
      </c>
      <c r="E1038">
        <v>2023</v>
      </c>
      <c r="F1038" t="s">
        <v>24</v>
      </c>
      <c r="G1038" t="s">
        <v>23</v>
      </c>
      <c r="H1038" t="s">
        <v>15</v>
      </c>
      <c r="I1038" t="s">
        <v>25</v>
      </c>
      <c r="J1038">
        <v>7333.26</v>
      </c>
      <c r="K1038">
        <v>6517.6</v>
      </c>
      <c r="L1038" s="20">
        <f>tbl_Budget[[#This Row],[Actual]]-tbl_Budget[[#This Row],[Budget]]</f>
        <v>-815.65999999999985</v>
      </c>
      <c r="M1038" s="3">
        <f>tbl_Budget[[#This Row],[Variance]]/tbl_Budget[[#This Row],[Budget]]</f>
        <v>-0.11122747591112273</v>
      </c>
      <c r="N1038" t="str">
        <f>IF(tbl_Budget[[#This Row],[Variance_%]]&gt;0.05,"Overspend",IF(tbl_Budget[[#This Row],[Variance_%]]&lt;-0.05,"Underspend","On Budget"))</f>
        <v>Underspend</v>
      </c>
    </row>
    <row r="1039" spans="1:14" hidden="1">
      <c r="A1039" s="1">
        <v>45231</v>
      </c>
      <c r="B1039">
        <v>11</v>
      </c>
      <c r="C1039" t="s">
        <v>50</v>
      </c>
      <c r="D1039" t="s">
        <v>51</v>
      </c>
      <c r="E1039">
        <v>2023</v>
      </c>
      <c r="F1039" t="s">
        <v>24</v>
      </c>
      <c r="G1039" t="s">
        <v>23</v>
      </c>
      <c r="H1039" t="s">
        <v>17</v>
      </c>
      <c r="I1039" t="s">
        <v>25</v>
      </c>
      <c r="J1039">
        <v>7233.01</v>
      </c>
      <c r="K1039">
        <v>6467.18</v>
      </c>
      <c r="L1039" s="20">
        <f>tbl_Budget[[#This Row],[Actual]]-tbl_Budget[[#This Row],[Budget]]</f>
        <v>-765.82999999999993</v>
      </c>
      <c r="M1039" s="3">
        <f>tbl_Budget[[#This Row],[Variance]]/tbl_Budget[[#This Row],[Budget]]</f>
        <v>-0.10587984808537523</v>
      </c>
      <c r="N1039" t="str">
        <f>IF(tbl_Budget[[#This Row],[Variance_%]]&gt;0.05,"Overspend",IF(tbl_Budget[[#This Row],[Variance_%]]&lt;-0.05,"Underspend","On Budget"))</f>
        <v>Underspend</v>
      </c>
    </row>
    <row r="1040" spans="1:14" hidden="1">
      <c r="A1040" s="1">
        <v>45231</v>
      </c>
      <c r="B1040">
        <v>11</v>
      </c>
      <c r="C1040" t="s">
        <v>50</v>
      </c>
      <c r="D1040" t="s">
        <v>51</v>
      </c>
      <c r="E1040">
        <v>2023</v>
      </c>
      <c r="F1040" t="s">
        <v>24</v>
      </c>
      <c r="G1040" t="s">
        <v>23</v>
      </c>
      <c r="H1040" t="s">
        <v>18</v>
      </c>
      <c r="I1040" t="s">
        <v>25</v>
      </c>
      <c r="J1040">
        <v>7383.26</v>
      </c>
      <c r="K1040">
        <v>6336.78</v>
      </c>
      <c r="L1040" s="20">
        <f>tbl_Budget[[#This Row],[Actual]]-tbl_Budget[[#This Row],[Budget]]</f>
        <v>-1046.4800000000005</v>
      </c>
      <c r="M1040" s="3">
        <f>tbl_Budget[[#This Row],[Variance]]/tbl_Budget[[#This Row],[Budget]]</f>
        <v>-0.14173684795063432</v>
      </c>
      <c r="N1040" t="str">
        <f>IF(tbl_Budget[[#This Row],[Variance_%]]&gt;0.05,"Overspend",IF(tbl_Budget[[#This Row],[Variance_%]]&lt;-0.05,"Underspend","On Budget"))</f>
        <v>Underspend</v>
      </c>
    </row>
    <row r="1041" spans="1:14" hidden="1">
      <c r="A1041" s="1">
        <v>45231</v>
      </c>
      <c r="B1041">
        <v>11</v>
      </c>
      <c r="C1041" t="s">
        <v>50</v>
      </c>
      <c r="D1041" t="s">
        <v>51</v>
      </c>
      <c r="E1041">
        <v>2023</v>
      </c>
      <c r="F1041" t="s">
        <v>24</v>
      </c>
      <c r="G1041" t="s">
        <v>23</v>
      </c>
      <c r="H1041" t="s">
        <v>19</v>
      </c>
      <c r="I1041" t="s">
        <v>25</v>
      </c>
      <c r="J1041">
        <v>7753.14</v>
      </c>
      <c r="K1041">
        <v>6592.81</v>
      </c>
      <c r="L1041" s="20">
        <f>tbl_Budget[[#This Row],[Actual]]-tbl_Budget[[#This Row],[Budget]]</f>
        <v>-1160.33</v>
      </c>
      <c r="M1041" s="3">
        <f>tbl_Budget[[#This Row],[Variance]]/tbl_Budget[[#This Row],[Budget]]</f>
        <v>-0.14965936381904621</v>
      </c>
      <c r="N1041" t="str">
        <f>IF(tbl_Budget[[#This Row],[Variance_%]]&gt;0.05,"Overspend",IF(tbl_Budget[[#This Row],[Variance_%]]&lt;-0.05,"Underspend","On Budget"))</f>
        <v>Underspend</v>
      </c>
    </row>
    <row r="1042" spans="1:14" hidden="1">
      <c r="A1042" s="1">
        <v>45231</v>
      </c>
      <c r="B1042">
        <v>11</v>
      </c>
      <c r="C1042" t="s">
        <v>50</v>
      </c>
      <c r="D1042" t="s">
        <v>51</v>
      </c>
      <c r="E1042">
        <v>2023</v>
      </c>
      <c r="F1042" t="s">
        <v>26</v>
      </c>
      <c r="G1042" t="s">
        <v>14</v>
      </c>
      <c r="H1042" t="s">
        <v>15</v>
      </c>
      <c r="I1042" t="s">
        <v>27</v>
      </c>
      <c r="J1042">
        <v>44951.6</v>
      </c>
      <c r="K1042">
        <v>44289.58</v>
      </c>
      <c r="L1042" s="20">
        <f>tbl_Budget[[#This Row],[Actual]]-tbl_Budget[[#This Row],[Budget]]</f>
        <v>-662.0199999999968</v>
      </c>
      <c r="M1042" s="3">
        <f>tbl_Budget[[#This Row],[Variance]]/tbl_Budget[[#This Row],[Budget]]</f>
        <v>-1.472739568780637E-2</v>
      </c>
      <c r="N1042" t="str">
        <f>IF(tbl_Budget[[#This Row],[Variance_%]]&gt;0.05,"Overspend",IF(tbl_Budget[[#This Row],[Variance_%]]&lt;-0.05,"Underspend","On Budget"))</f>
        <v>On Budget</v>
      </c>
    </row>
    <row r="1043" spans="1:14" hidden="1">
      <c r="A1043" s="1">
        <v>45231</v>
      </c>
      <c r="B1043">
        <v>11</v>
      </c>
      <c r="C1043" t="s">
        <v>50</v>
      </c>
      <c r="D1043" t="s">
        <v>51</v>
      </c>
      <c r="E1043">
        <v>2023</v>
      </c>
      <c r="F1043" t="s">
        <v>26</v>
      </c>
      <c r="G1043" t="s">
        <v>14</v>
      </c>
      <c r="H1043" t="s">
        <v>17</v>
      </c>
      <c r="I1043" t="s">
        <v>27</v>
      </c>
      <c r="J1043">
        <v>40860.93</v>
      </c>
      <c r="K1043">
        <v>39442.86</v>
      </c>
      <c r="L1043" s="20">
        <f>tbl_Budget[[#This Row],[Actual]]-tbl_Budget[[#This Row],[Budget]]</f>
        <v>-1418.0699999999997</v>
      </c>
      <c r="M1043" s="3">
        <f>tbl_Budget[[#This Row],[Variance]]/tbl_Budget[[#This Row],[Budget]]</f>
        <v>-3.4704790125922237E-2</v>
      </c>
      <c r="N1043" t="str">
        <f>IF(tbl_Budget[[#This Row],[Variance_%]]&gt;0.05,"Overspend",IF(tbl_Budget[[#This Row],[Variance_%]]&lt;-0.05,"Underspend","On Budget"))</f>
        <v>On Budget</v>
      </c>
    </row>
    <row r="1044" spans="1:14" hidden="1">
      <c r="A1044" s="1">
        <v>45231</v>
      </c>
      <c r="B1044">
        <v>11</v>
      </c>
      <c r="C1044" t="s">
        <v>50</v>
      </c>
      <c r="D1044" t="s">
        <v>51</v>
      </c>
      <c r="E1044">
        <v>2023</v>
      </c>
      <c r="F1044" t="s">
        <v>26</v>
      </c>
      <c r="G1044" t="s">
        <v>14</v>
      </c>
      <c r="H1044" t="s">
        <v>18</v>
      </c>
      <c r="I1044" t="s">
        <v>27</v>
      </c>
      <c r="J1044">
        <v>43106.47</v>
      </c>
      <c r="K1044">
        <v>43733.87</v>
      </c>
      <c r="L1044" s="20">
        <f>tbl_Budget[[#This Row],[Actual]]-tbl_Budget[[#This Row],[Budget]]</f>
        <v>627.40000000000146</v>
      </c>
      <c r="M1044" s="3">
        <f>tbl_Budget[[#This Row],[Variance]]/tbl_Budget[[#This Row],[Budget]]</f>
        <v>1.4554659660139219E-2</v>
      </c>
      <c r="N1044" t="str">
        <f>IF(tbl_Budget[[#This Row],[Variance_%]]&gt;0.05,"Overspend",IF(tbl_Budget[[#This Row],[Variance_%]]&lt;-0.05,"Underspend","On Budget"))</f>
        <v>On Budget</v>
      </c>
    </row>
    <row r="1045" spans="1:14" hidden="1">
      <c r="A1045" s="1">
        <v>45231</v>
      </c>
      <c r="B1045">
        <v>11</v>
      </c>
      <c r="C1045" t="s">
        <v>50</v>
      </c>
      <c r="D1045" t="s">
        <v>51</v>
      </c>
      <c r="E1045">
        <v>2023</v>
      </c>
      <c r="F1045" t="s">
        <v>26</v>
      </c>
      <c r="G1045" t="s">
        <v>14</v>
      </c>
      <c r="H1045" t="s">
        <v>19</v>
      </c>
      <c r="I1045" t="s">
        <v>27</v>
      </c>
      <c r="J1045">
        <v>44926.19</v>
      </c>
      <c r="K1045">
        <v>43686.77</v>
      </c>
      <c r="L1045" s="20">
        <f>tbl_Budget[[#This Row],[Actual]]-tbl_Budget[[#This Row],[Budget]]</f>
        <v>-1239.4200000000055</v>
      </c>
      <c r="M1045" s="3">
        <f>tbl_Budget[[#This Row],[Variance]]/tbl_Budget[[#This Row],[Budget]]</f>
        <v>-2.7587916981164116E-2</v>
      </c>
      <c r="N1045" t="str">
        <f>IF(tbl_Budget[[#This Row],[Variance_%]]&gt;0.05,"Overspend",IF(tbl_Budget[[#This Row],[Variance_%]]&lt;-0.05,"Underspend","On Budget"))</f>
        <v>On Budget</v>
      </c>
    </row>
    <row r="1046" spans="1:14" hidden="1">
      <c r="A1046" s="1">
        <v>45231</v>
      </c>
      <c r="B1046">
        <v>11</v>
      </c>
      <c r="C1046" t="s">
        <v>50</v>
      </c>
      <c r="D1046" t="s">
        <v>51</v>
      </c>
      <c r="E1046">
        <v>2023</v>
      </c>
      <c r="F1046" t="s">
        <v>26</v>
      </c>
      <c r="G1046" t="s">
        <v>20</v>
      </c>
      <c r="H1046" t="s">
        <v>15</v>
      </c>
      <c r="I1046" t="s">
        <v>27</v>
      </c>
      <c r="J1046">
        <v>14946.76</v>
      </c>
      <c r="K1046">
        <v>15170.79</v>
      </c>
      <c r="L1046" s="20">
        <f>tbl_Budget[[#This Row],[Actual]]-tbl_Budget[[#This Row],[Budget]]</f>
        <v>224.03000000000065</v>
      </c>
      <c r="M1046" s="3">
        <f>tbl_Budget[[#This Row],[Variance]]/tbl_Budget[[#This Row],[Budget]]</f>
        <v>1.4988532631821254E-2</v>
      </c>
      <c r="N1046" t="str">
        <f>IF(tbl_Budget[[#This Row],[Variance_%]]&gt;0.05,"Overspend",IF(tbl_Budget[[#This Row],[Variance_%]]&lt;-0.05,"Underspend","On Budget"))</f>
        <v>On Budget</v>
      </c>
    </row>
    <row r="1047" spans="1:14" hidden="1">
      <c r="A1047" s="1">
        <v>45231</v>
      </c>
      <c r="B1047">
        <v>11</v>
      </c>
      <c r="C1047" t="s">
        <v>50</v>
      </c>
      <c r="D1047" t="s">
        <v>51</v>
      </c>
      <c r="E1047">
        <v>2023</v>
      </c>
      <c r="F1047" t="s">
        <v>26</v>
      </c>
      <c r="G1047" t="s">
        <v>20</v>
      </c>
      <c r="H1047" t="s">
        <v>17</v>
      </c>
      <c r="I1047" t="s">
        <v>27</v>
      </c>
      <c r="J1047">
        <v>14080.53</v>
      </c>
      <c r="K1047">
        <v>14012.32</v>
      </c>
      <c r="L1047" s="20">
        <f>tbl_Budget[[#This Row],[Actual]]-tbl_Budget[[#This Row],[Budget]]</f>
        <v>-68.210000000000946</v>
      </c>
      <c r="M1047" s="3">
        <f>tbl_Budget[[#This Row],[Variance]]/tbl_Budget[[#This Row],[Budget]]</f>
        <v>-4.8442778787446883E-3</v>
      </c>
      <c r="N1047" t="str">
        <f>IF(tbl_Budget[[#This Row],[Variance_%]]&gt;0.05,"Overspend",IF(tbl_Budget[[#This Row],[Variance_%]]&lt;-0.05,"Underspend","On Budget"))</f>
        <v>On Budget</v>
      </c>
    </row>
    <row r="1048" spans="1:14" hidden="1">
      <c r="A1048" s="1">
        <v>45231</v>
      </c>
      <c r="B1048">
        <v>11</v>
      </c>
      <c r="C1048" t="s">
        <v>50</v>
      </c>
      <c r="D1048" t="s">
        <v>51</v>
      </c>
      <c r="E1048">
        <v>2023</v>
      </c>
      <c r="F1048" t="s">
        <v>26</v>
      </c>
      <c r="G1048" t="s">
        <v>20</v>
      </c>
      <c r="H1048" t="s">
        <v>18</v>
      </c>
      <c r="I1048" t="s">
        <v>27</v>
      </c>
      <c r="J1048">
        <v>14165.01</v>
      </c>
      <c r="K1048">
        <v>14608</v>
      </c>
      <c r="L1048" s="20">
        <f>tbl_Budget[[#This Row],[Actual]]-tbl_Budget[[#This Row],[Budget]]</f>
        <v>442.98999999999978</v>
      </c>
      <c r="M1048" s="3">
        <f>tbl_Budget[[#This Row],[Variance]]/tbl_Budget[[#This Row],[Budget]]</f>
        <v>3.1273539517444729E-2</v>
      </c>
      <c r="N1048" t="str">
        <f>IF(tbl_Budget[[#This Row],[Variance_%]]&gt;0.05,"Overspend",IF(tbl_Budget[[#This Row],[Variance_%]]&lt;-0.05,"Underspend","On Budget"))</f>
        <v>On Budget</v>
      </c>
    </row>
    <row r="1049" spans="1:14" hidden="1">
      <c r="A1049" s="1">
        <v>45231</v>
      </c>
      <c r="B1049">
        <v>11</v>
      </c>
      <c r="C1049" t="s">
        <v>50</v>
      </c>
      <c r="D1049" t="s">
        <v>51</v>
      </c>
      <c r="E1049">
        <v>2023</v>
      </c>
      <c r="F1049" t="s">
        <v>26</v>
      </c>
      <c r="G1049" t="s">
        <v>20</v>
      </c>
      <c r="H1049" t="s">
        <v>19</v>
      </c>
      <c r="I1049" t="s">
        <v>27</v>
      </c>
      <c r="J1049">
        <v>15870.17</v>
      </c>
      <c r="K1049">
        <v>16315.54</v>
      </c>
      <c r="L1049" s="20">
        <f>tbl_Budget[[#This Row],[Actual]]-tbl_Budget[[#This Row],[Budget]]</f>
        <v>445.3700000000008</v>
      </c>
      <c r="M1049" s="3">
        <f>tbl_Budget[[#This Row],[Variance]]/tbl_Budget[[#This Row],[Budget]]</f>
        <v>2.8063341476493371E-2</v>
      </c>
      <c r="N1049" t="str">
        <f>IF(tbl_Budget[[#This Row],[Variance_%]]&gt;0.05,"Overspend",IF(tbl_Budget[[#This Row],[Variance_%]]&lt;-0.05,"Underspend","On Budget"))</f>
        <v>On Budget</v>
      </c>
    </row>
    <row r="1050" spans="1:14">
      <c r="A1050" s="1">
        <v>45231</v>
      </c>
      <c r="B1050">
        <v>11</v>
      </c>
      <c r="C1050" t="s">
        <v>50</v>
      </c>
      <c r="D1050" t="s">
        <v>51</v>
      </c>
      <c r="E1050">
        <v>2023</v>
      </c>
      <c r="F1050" t="s">
        <v>26</v>
      </c>
      <c r="G1050" t="s">
        <v>21</v>
      </c>
      <c r="H1050" t="s">
        <v>15</v>
      </c>
      <c r="I1050" t="s">
        <v>27</v>
      </c>
      <c r="J1050">
        <v>8596.02</v>
      </c>
      <c r="K1050">
        <v>8468.15</v>
      </c>
      <c r="L1050" s="20">
        <f>tbl_Budget[[#This Row],[Actual]]-tbl_Budget[[#This Row],[Budget]]</f>
        <v>-127.8700000000008</v>
      </c>
      <c r="M1050" s="3">
        <f>tbl_Budget[[#This Row],[Variance]]/tbl_Budget[[#This Row],[Budget]]</f>
        <v>-1.4875488889044091E-2</v>
      </c>
      <c r="N1050" t="str">
        <f>IF(tbl_Budget[[#This Row],[Variance_%]]&gt;0.05,"Overspend",IF(tbl_Budget[[#This Row],[Variance_%]]&lt;-0.05,"Underspend","On Budget"))</f>
        <v>On Budget</v>
      </c>
    </row>
    <row r="1051" spans="1:14">
      <c r="A1051" s="1">
        <v>45231</v>
      </c>
      <c r="B1051">
        <v>11</v>
      </c>
      <c r="C1051" t="s">
        <v>50</v>
      </c>
      <c r="D1051" t="s">
        <v>51</v>
      </c>
      <c r="E1051">
        <v>2023</v>
      </c>
      <c r="F1051" t="s">
        <v>26</v>
      </c>
      <c r="G1051" t="s">
        <v>21</v>
      </c>
      <c r="H1051" t="s">
        <v>17</v>
      </c>
      <c r="I1051" t="s">
        <v>27</v>
      </c>
      <c r="J1051">
        <v>7764.57</v>
      </c>
      <c r="K1051">
        <v>7521.27</v>
      </c>
      <c r="L1051" s="20">
        <f>tbl_Budget[[#This Row],[Actual]]-tbl_Budget[[#This Row],[Budget]]</f>
        <v>-243.29999999999927</v>
      </c>
      <c r="M1051" s="3">
        <f>tbl_Budget[[#This Row],[Variance]]/tbl_Budget[[#This Row],[Budget]]</f>
        <v>-3.1334639265277957E-2</v>
      </c>
      <c r="N1051" t="str">
        <f>IF(tbl_Budget[[#This Row],[Variance_%]]&gt;0.05,"Overspend",IF(tbl_Budget[[#This Row],[Variance_%]]&lt;-0.05,"Underspend","On Budget"))</f>
        <v>On Budget</v>
      </c>
    </row>
    <row r="1052" spans="1:14">
      <c r="A1052" s="1">
        <v>45231</v>
      </c>
      <c r="B1052">
        <v>11</v>
      </c>
      <c r="C1052" t="s">
        <v>50</v>
      </c>
      <c r="D1052" t="s">
        <v>51</v>
      </c>
      <c r="E1052">
        <v>2023</v>
      </c>
      <c r="F1052" t="s">
        <v>26</v>
      </c>
      <c r="G1052" t="s">
        <v>21</v>
      </c>
      <c r="H1052" t="s">
        <v>18</v>
      </c>
      <c r="I1052" t="s">
        <v>27</v>
      </c>
      <c r="J1052">
        <v>8064.19</v>
      </c>
      <c r="K1052">
        <v>8209.02</v>
      </c>
      <c r="L1052" s="20">
        <f>tbl_Budget[[#This Row],[Actual]]-tbl_Budget[[#This Row],[Budget]]</f>
        <v>144.83000000000084</v>
      </c>
      <c r="M1052" s="3">
        <f>tbl_Budget[[#This Row],[Variance]]/tbl_Budget[[#This Row],[Budget]]</f>
        <v>1.7959646288095994E-2</v>
      </c>
      <c r="N1052" t="str">
        <f>IF(tbl_Budget[[#This Row],[Variance_%]]&gt;0.05,"Overspend",IF(tbl_Budget[[#This Row],[Variance_%]]&lt;-0.05,"Underspend","On Budget"))</f>
        <v>On Budget</v>
      </c>
    </row>
    <row r="1053" spans="1:14">
      <c r="A1053" s="1">
        <v>45231</v>
      </c>
      <c r="B1053">
        <v>11</v>
      </c>
      <c r="C1053" t="s">
        <v>50</v>
      </c>
      <c r="D1053" t="s">
        <v>51</v>
      </c>
      <c r="E1053">
        <v>2023</v>
      </c>
      <c r="F1053" t="s">
        <v>26</v>
      </c>
      <c r="G1053" t="s">
        <v>21</v>
      </c>
      <c r="H1053" t="s">
        <v>19</v>
      </c>
      <c r="I1053" t="s">
        <v>27</v>
      </c>
      <c r="J1053">
        <v>8753.27</v>
      </c>
      <c r="K1053">
        <v>8610.06</v>
      </c>
      <c r="L1053" s="20">
        <f>tbl_Budget[[#This Row],[Actual]]-tbl_Budget[[#This Row],[Budget]]</f>
        <v>-143.21000000000095</v>
      </c>
      <c r="M1053" s="3">
        <f>tbl_Budget[[#This Row],[Variance]]/tbl_Budget[[#This Row],[Budget]]</f>
        <v>-1.6360742899510804E-2</v>
      </c>
      <c r="N1053" t="str">
        <f>IF(tbl_Budget[[#This Row],[Variance_%]]&gt;0.05,"Overspend",IF(tbl_Budget[[#This Row],[Variance_%]]&lt;-0.05,"Underspend","On Budget"))</f>
        <v>On Budget</v>
      </c>
    </row>
    <row r="1054" spans="1:14" hidden="1">
      <c r="A1054" s="1">
        <v>45231</v>
      </c>
      <c r="B1054">
        <v>11</v>
      </c>
      <c r="C1054" t="s">
        <v>50</v>
      </c>
      <c r="D1054" t="s">
        <v>51</v>
      </c>
      <c r="E1054">
        <v>2023</v>
      </c>
      <c r="F1054" t="s">
        <v>26</v>
      </c>
      <c r="G1054" t="s">
        <v>22</v>
      </c>
      <c r="H1054" t="s">
        <v>15</v>
      </c>
      <c r="I1054" t="s">
        <v>27</v>
      </c>
      <c r="J1054">
        <v>6784.6</v>
      </c>
      <c r="K1054">
        <v>6557.45</v>
      </c>
      <c r="L1054" s="20">
        <f>tbl_Budget[[#This Row],[Actual]]-tbl_Budget[[#This Row],[Budget]]</f>
        <v>-227.15000000000055</v>
      </c>
      <c r="M1054" s="3">
        <f>tbl_Budget[[#This Row],[Variance]]/tbl_Budget[[#This Row],[Budget]]</f>
        <v>-3.3480234649058242E-2</v>
      </c>
      <c r="N1054" t="str">
        <f>IF(tbl_Budget[[#This Row],[Variance_%]]&gt;0.05,"Overspend",IF(tbl_Budget[[#This Row],[Variance_%]]&lt;-0.05,"Underspend","On Budget"))</f>
        <v>On Budget</v>
      </c>
    </row>
    <row r="1055" spans="1:14" hidden="1">
      <c r="A1055" s="1">
        <v>45231</v>
      </c>
      <c r="B1055">
        <v>11</v>
      </c>
      <c r="C1055" t="s">
        <v>50</v>
      </c>
      <c r="D1055" t="s">
        <v>51</v>
      </c>
      <c r="E1055">
        <v>2023</v>
      </c>
      <c r="F1055" t="s">
        <v>26</v>
      </c>
      <c r="G1055" t="s">
        <v>22</v>
      </c>
      <c r="H1055" t="s">
        <v>17</v>
      </c>
      <c r="I1055" t="s">
        <v>27</v>
      </c>
      <c r="J1055">
        <v>6445.79</v>
      </c>
      <c r="K1055">
        <v>6398.14</v>
      </c>
      <c r="L1055" s="20">
        <f>tbl_Budget[[#This Row],[Actual]]-tbl_Budget[[#This Row],[Budget]]</f>
        <v>-47.649999999999636</v>
      </c>
      <c r="M1055" s="3">
        <f>tbl_Budget[[#This Row],[Variance]]/tbl_Budget[[#This Row],[Budget]]</f>
        <v>-7.3924220305035745E-3</v>
      </c>
      <c r="N1055" t="str">
        <f>IF(tbl_Budget[[#This Row],[Variance_%]]&gt;0.05,"Overspend",IF(tbl_Budget[[#This Row],[Variance_%]]&lt;-0.05,"Underspend","On Budget"))</f>
        <v>On Budget</v>
      </c>
    </row>
    <row r="1056" spans="1:14" hidden="1">
      <c r="A1056" s="1">
        <v>45231</v>
      </c>
      <c r="B1056">
        <v>11</v>
      </c>
      <c r="C1056" t="s">
        <v>50</v>
      </c>
      <c r="D1056" t="s">
        <v>51</v>
      </c>
      <c r="E1056">
        <v>2023</v>
      </c>
      <c r="F1056" t="s">
        <v>26</v>
      </c>
      <c r="G1056" t="s">
        <v>22</v>
      </c>
      <c r="H1056" t="s">
        <v>18</v>
      </c>
      <c r="I1056" t="s">
        <v>27</v>
      </c>
      <c r="J1056">
        <v>6748.51</v>
      </c>
      <c r="K1056">
        <v>6778.4</v>
      </c>
      <c r="L1056" s="20">
        <f>tbl_Budget[[#This Row],[Actual]]-tbl_Budget[[#This Row],[Budget]]</f>
        <v>29.889999999999418</v>
      </c>
      <c r="M1056" s="3">
        <f>tbl_Budget[[#This Row],[Variance]]/tbl_Budget[[#This Row],[Budget]]</f>
        <v>4.4291258366660818E-3</v>
      </c>
      <c r="N1056" t="str">
        <f>IF(tbl_Budget[[#This Row],[Variance_%]]&gt;0.05,"Overspend",IF(tbl_Budget[[#This Row],[Variance_%]]&lt;-0.05,"Underspend","On Budget"))</f>
        <v>On Budget</v>
      </c>
    </row>
    <row r="1057" spans="1:14" hidden="1">
      <c r="A1057" s="1">
        <v>45231</v>
      </c>
      <c r="B1057">
        <v>11</v>
      </c>
      <c r="C1057" t="s">
        <v>50</v>
      </c>
      <c r="D1057" t="s">
        <v>51</v>
      </c>
      <c r="E1057">
        <v>2023</v>
      </c>
      <c r="F1057" t="s">
        <v>26</v>
      </c>
      <c r="G1057" t="s">
        <v>22</v>
      </c>
      <c r="H1057" t="s">
        <v>19</v>
      </c>
      <c r="I1057" t="s">
        <v>27</v>
      </c>
      <c r="J1057">
        <v>7241.34</v>
      </c>
      <c r="K1057">
        <v>7273.65</v>
      </c>
      <c r="L1057" s="20">
        <f>tbl_Budget[[#This Row],[Actual]]-tbl_Budget[[#This Row],[Budget]]</f>
        <v>32.309999999999491</v>
      </c>
      <c r="M1057" s="3">
        <f>tbl_Budget[[#This Row],[Variance]]/tbl_Budget[[#This Row],[Budget]]</f>
        <v>4.4618813644987654E-3</v>
      </c>
      <c r="N1057" t="str">
        <f>IF(tbl_Budget[[#This Row],[Variance_%]]&gt;0.05,"Overspend",IF(tbl_Budget[[#This Row],[Variance_%]]&lt;-0.05,"Underspend","On Budget"))</f>
        <v>On Budget</v>
      </c>
    </row>
    <row r="1058" spans="1:14" hidden="1">
      <c r="A1058" s="1">
        <v>45231</v>
      </c>
      <c r="B1058">
        <v>11</v>
      </c>
      <c r="C1058" t="s">
        <v>50</v>
      </c>
      <c r="D1058" t="s">
        <v>51</v>
      </c>
      <c r="E1058">
        <v>2023</v>
      </c>
      <c r="F1058" t="s">
        <v>26</v>
      </c>
      <c r="G1058" t="s">
        <v>23</v>
      </c>
      <c r="H1058" t="s">
        <v>15</v>
      </c>
      <c r="I1058" t="s">
        <v>27</v>
      </c>
      <c r="J1058">
        <v>5918.61</v>
      </c>
      <c r="K1058">
        <v>5905.58</v>
      </c>
      <c r="L1058" s="20">
        <f>tbl_Budget[[#This Row],[Actual]]-tbl_Budget[[#This Row],[Budget]]</f>
        <v>-13.029999999999745</v>
      </c>
      <c r="M1058" s="3">
        <f>tbl_Budget[[#This Row],[Variance]]/tbl_Budget[[#This Row],[Budget]]</f>
        <v>-2.2015304269076262E-3</v>
      </c>
      <c r="N1058" t="str">
        <f>IF(tbl_Budget[[#This Row],[Variance_%]]&gt;0.05,"Overspend",IF(tbl_Budget[[#This Row],[Variance_%]]&lt;-0.05,"Underspend","On Budget"))</f>
        <v>On Budget</v>
      </c>
    </row>
    <row r="1059" spans="1:14" hidden="1">
      <c r="A1059" s="1">
        <v>45231</v>
      </c>
      <c r="B1059">
        <v>11</v>
      </c>
      <c r="C1059" t="s">
        <v>50</v>
      </c>
      <c r="D1059" t="s">
        <v>51</v>
      </c>
      <c r="E1059">
        <v>2023</v>
      </c>
      <c r="F1059" t="s">
        <v>26</v>
      </c>
      <c r="G1059" t="s">
        <v>23</v>
      </c>
      <c r="H1059" t="s">
        <v>17</v>
      </c>
      <c r="I1059" t="s">
        <v>27</v>
      </c>
      <c r="J1059">
        <v>5451.8</v>
      </c>
      <c r="K1059">
        <v>5414.12</v>
      </c>
      <c r="L1059" s="20">
        <f>tbl_Budget[[#This Row],[Actual]]-tbl_Budget[[#This Row],[Budget]]</f>
        <v>-37.680000000000291</v>
      </c>
      <c r="M1059" s="3">
        <f>tbl_Budget[[#This Row],[Variance]]/tbl_Budget[[#This Row],[Budget]]</f>
        <v>-6.9114787776514714E-3</v>
      </c>
      <c r="N1059" t="str">
        <f>IF(tbl_Budget[[#This Row],[Variance_%]]&gt;0.05,"Overspend",IF(tbl_Budget[[#This Row],[Variance_%]]&lt;-0.05,"Underspend","On Budget"))</f>
        <v>On Budget</v>
      </c>
    </row>
    <row r="1060" spans="1:14" hidden="1">
      <c r="A1060" s="1">
        <v>45231</v>
      </c>
      <c r="B1060">
        <v>11</v>
      </c>
      <c r="C1060" t="s">
        <v>50</v>
      </c>
      <c r="D1060" t="s">
        <v>51</v>
      </c>
      <c r="E1060">
        <v>2023</v>
      </c>
      <c r="F1060" t="s">
        <v>26</v>
      </c>
      <c r="G1060" t="s">
        <v>23</v>
      </c>
      <c r="H1060" t="s">
        <v>18</v>
      </c>
      <c r="I1060" t="s">
        <v>27</v>
      </c>
      <c r="J1060">
        <v>5580.87</v>
      </c>
      <c r="K1060">
        <v>5507.4</v>
      </c>
      <c r="L1060" s="20">
        <f>tbl_Budget[[#This Row],[Actual]]-tbl_Budget[[#This Row],[Budget]]</f>
        <v>-73.470000000000255</v>
      </c>
      <c r="M1060" s="3">
        <f>tbl_Budget[[#This Row],[Variance]]/tbl_Budget[[#This Row],[Budget]]</f>
        <v>-1.3164614119304025E-2</v>
      </c>
      <c r="N1060" t="str">
        <f>IF(tbl_Budget[[#This Row],[Variance_%]]&gt;0.05,"Overspend",IF(tbl_Budget[[#This Row],[Variance_%]]&lt;-0.05,"Underspend","On Budget"))</f>
        <v>On Budget</v>
      </c>
    </row>
    <row r="1061" spans="1:14" hidden="1">
      <c r="A1061" s="1">
        <v>45231</v>
      </c>
      <c r="B1061">
        <v>11</v>
      </c>
      <c r="C1061" t="s">
        <v>50</v>
      </c>
      <c r="D1061" t="s">
        <v>51</v>
      </c>
      <c r="E1061">
        <v>2023</v>
      </c>
      <c r="F1061" t="s">
        <v>26</v>
      </c>
      <c r="G1061" t="s">
        <v>23</v>
      </c>
      <c r="H1061" t="s">
        <v>19</v>
      </c>
      <c r="I1061" t="s">
        <v>27</v>
      </c>
      <c r="J1061">
        <v>6015.64</v>
      </c>
      <c r="K1061">
        <v>5942.16</v>
      </c>
      <c r="L1061" s="20">
        <f>tbl_Budget[[#This Row],[Actual]]-tbl_Budget[[#This Row],[Budget]]</f>
        <v>-73.480000000000473</v>
      </c>
      <c r="M1061" s="3">
        <f>tbl_Budget[[#This Row],[Variance]]/tbl_Budget[[#This Row],[Budget]]</f>
        <v>-1.2214826685107564E-2</v>
      </c>
      <c r="N1061" t="str">
        <f>IF(tbl_Budget[[#This Row],[Variance_%]]&gt;0.05,"Overspend",IF(tbl_Budget[[#This Row],[Variance_%]]&lt;-0.05,"Underspend","On Budget"))</f>
        <v>On Budget</v>
      </c>
    </row>
    <row r="1062" spans="1:14" hidden="1">
      <c r="A1062" s="1">
        <v>45231</v>
      </c>
      <c r="B1062">
        <v>11</v>
      </c>
      <c r="C1062" t="s">
        <v>50</v>
      </c>
      <c r="D1062" t="s">
        <v>51</v>
      </c>
      <c r="E1062">
        <v>2023</v>
      </c>
      <c r="F1062" t="s">
        <v>28</v>
      </c>
      <c r="G1062" t="s">
        <v>14</v>
      </c>
      <c r="H1062" t="s">
        <v>15</v>
      </c>
      <c r="I1062" t="s">
        <v>29</v>
      </c>
      <c r="J1062">
        <v>54408.14</v>
      </c>
      <c r="K1062">
        <v>57067</v>
      </c>
      <c r="L1062" s="20">
        <f>tbl_Budget[[#This Row],[Actual]]-tbl_Budget[[#This Row],[Budget]]</f>
        <v>2658.8600000000006</v>
      </c>
      <c r="M1062" s="3">
        <f>tbl_Budget[[#This Row],[Variance]]/tbl_Budget[[#This Row],[Budget]]</f>
        <v>4.8868790589055251E-2</v>
      </c>
      <c r="N1062" t="str">
        <f>IF(tbl_Budget[[#This Row],[Variance_%]]&gt;0.05,"Overspend",IF(tbl_Budget[[#This Row],[Variance_%]]&lt;-0.05,"Underspend","On Budget"))</f>
        <v>On Budget</v>
      </c>
    </row>
    <row r="1063" spans="1:14" hidden="1">
      <c r="A1063" s="1">
        <v>45231</v>
      </c>
      <c r="B1063">
        <v>11</v>
      </c>
      <c r="C1063" t="s">
        <v>50</v>
      </c>
      <c r="D1063" t="s">
        <v>51</v>
      </c>
      <c r="E1063">
        <v>2023</v>
      </c>
      <c r="F1063" t="s">
        <v>28</v>
      </c>
      <c r="G1063" t="s">
        <v>14</v>
      </c>
      <c r="H1063" t="s">
        <v>17</v>
      </c>
      <c r="I1063" t="s">
        <v>29</v>
      </c>
      <c r="J1063">
        <v>49951.93</v>
      </c>
      <c r="K1063">
        <v>44844.61</v>
      </c>
      <c r="L1063" s="20">
        <f>tbl_Budget[[#This Row],[Actual]]-tbl_Budget[[#This Row],[Budget]]</f>
        <v>-5107.32</v>
      </c>
      <c r="M1063" s="3">
        <f>tbl_Budget[[#This Row],[Variance]]/tbl_Budget[[#This Row],[Budget]]</f>
        <v>-0.10224469805270786</v>
      </c>
      <c r="N1063" t="str">
        <f>IF(tbl_Budget[[#This Row],[Variance_%]]&gt;0.05,"Overspend",IF(tbl_Budget[[#This Row],[Variance_%]]&lt;-0.05,"Underspend","On Budget"))</f>
        <v>Underspend</v>
      </c>
    </row>
    <row r="1064" spans="1:14" hidden="1">
      <c r="A1064" s="1">
        <v>45231</v>
      </c>
      <c r="B1064">
        <v>11</v>
      </c>
      <c r="C1064" t="s">
        <v>50</v>
      </c>
      <c r="D1064" t="s">
        <v>51</v>
      </c>
      <c r="E1064">
        <v>2023</v>
      </c>
      <c r="F1064" t="s">
        <v>28</v>
      </c>
      <c r="G1064" t="s">
        <v>14</v>
      </c>
      <c r="H1064" t="s">
        <v>18</v>
      </c>
      <c r="I1064" t="s">
        <v>29</v>
      </c>
      <c r="J1064">
        <v>51112.54</v>
      </c>
      <c r="K1064">
        <v>57505.88</v>
      </c>
      <c r="L1064" s="20">
        <f>tbl_Budget[[#This Row],[Actual]]-tbl_Budget[[#This Row],[Budget]]</f>
        <v>6393.3399999999965</v>
      </c>
      <c r="M1064" s="3">
        <f>tbl_Budget[[#This Row],[Variance]]/tbl_Budget[[#This Row],[Budget]]</f>
        <v>0.1250835900544171</v>
      </c>
      <c r="N1064" t="str">
        <f>IF(tbl_Budget[[#This Row],[Variance_%]]&gt;0.05,"Overspend",IF(tbl_Budget[[#This Row],[Variance_%]]&lt;-0.05,"Underspend","On Budget"))</f>
        <v>Overspend</v>
      </c>
    </row>
    <row r="1065" spans="1:14" hidden="1">
      <c r="A1065" s="1">
        <v>45231</v>
      </c>
      <c r="B1065">
        <v>11</v>
      </c>
      <c r="C1065" t="s">
        <v>50</v>
      </c>
      <c r="D1065" t="s">
        <v>51</v>
      </c>
      <c r="E1065">
        <v>2023</v>
      </c>
      <c r="F1065" t="s">
        <v>28</v>
      </c>
      <c r="G1065" t="s">
        <v>14</v>
      </c>
      <c r="H1065" t="s">
        <v>19</v>
      </c>
      <c r="I1065" t="s">
        <v>29</v>
      </c>
      <c r="J1065">
        <v>55111.18</v>
      </c>
      <c r="K1065">
        <v>64594.51</v>
      </c>
      <c r="L1065" s="20">
        <f>tbl_Budget[[#This Row],[Actual]]-tbl_Budget[[#This Row],[Budget]]</f>
        <v>9483.3300000000017</v>
      </c>
      <c r="M1065" s="3">
        <f>tbl_Budget[[#This Row],[Variance]]/tbl_Budget[[#This Row],[Budget]]</f>
        <v>0.17207633732393321</v>
      </c>
      <c r="N1065" t="str">
        <f>IF(tbl_Budget[[#This Row],[Variance_%]]&gt;0.05,"Overspend",IF(tbl_Budget[[#This Row],[Variance_%]]&lt;-0.05,"Underspend","On Budget"))</f>
        <v>Overspend</v>
      </c>
    </row>
    <row r="1066" spans="1:14" hidden="1">
      <c r="A1066" s="1">
        <v>45231</v>
      </c>
      <c r="B1066">
        <v>11</v>
      </c>
      <c r="C1066" t="s">
        <v>50</v>
      </c>
      <c r="D1066" t="s">
        <v>51</v>
      </c>
      <c r="E1066">
        <v>2023</v>
      </c>
      <c r="F1066" t="s">
        <v>28</v>
      </c>
      <c r="G1066" t="s">
        <v>20</v>
      </c>
      <c r="H1066" t="s">
        <v>15</v>
      </c>
      <c r="I1066" t="s">
        <v>29</v>
      </c>
      <c r="J1066">
        <v>19964.96</v>
      </c>
      <c r="K1066">
        <v>20106.03</v>
      </c>
      <c r="L1066" s="20">
        <f>tbl_Budget[[#This Row],[Actual]]-tbl_Budget[[#This Row],[Budget]]</f>
        <v>141.06999999999971</v>
      </c>
      <c r="M1066" s="3">
        <f>tbl_Budget[[#This Row],[Variance]]/tbl_Budget[[#This Row],[Budget]]</f>
        <v>7.0658794207451312E-3</v>
      </c>
      <c r="N1066" t="str">
        <f>IF(tbl_Budget[[#This Row],[Variance_%]]&gt;0.05,"Overspend",IF(tbl_Budget[[#This Row],[Variance_%]]&lt;-0.05,"Underspend","On Budget"))</f>
        <v>On Budget</v>
      </c>
    </row>
    <row r="1067" spans="1:14" hidden="1">
      <c r="A1067" s="1">
        <v>45231</v>
      </c>
      <c r="B1067">
        <v>11</v>
      </c>
      <c r="C1067" t="s">
        <v>50</v>
      </c>
      <c r="D1067" t="s">
        <v>51</v>
      </c>
      <c r="E1067">
        <v>2023</v>
      </c>
      <c r="F1067" t="s">
        <v>28</v>
      </c>
      <c r="G1067" t="s">
        <v>20</v>
      </c>
      <c r="H1067" t="s">
        <v>17</v>
      </c>
      <c r="I1067" t="s">
        <v>29</v>
      </c>
      <c r="J1067">
        <v>19611.830000000002</v>
      </c>
      <c r="K1067">
        <v>17435.810000000001</v>
      </c>
      <c r="L1067" s="20">
        <f>tbl_Budget[[#This Row],[Actual]]-tbl_Budget[[#This Row],[Budget]]</f>
        <v>-2176.0200000000004</v>
      </c>
      <c r="M1067" s="3">
        <f>tbl_Budget[[#This Row],[Variance]]/tbl_Budget[[#This Row],[Budget]]</f>
        <v>-0.1109544596297235</v>
      </c>
      <c r="N1067" t="str">
        <f>IF(tbl_Budget[[#This Row],[Variance_%]]&gt;0.05,"Overspend",IF(tbl_Budget[[#This Row],[Variance_%]]&lt;-0.05,"Underspend","On Budget"))</f>
        <v>Underspend</v>
      </c>
    </row>
    <row r="1068" spans="1:14" hidden="1">
      <c r="A1068" s="1">
        <v>45231</v>
      </c>
      <c r="B1068">
        <v>11</v>
      </c>
      <c r="C1068" t="s">
        <v>50</v>
      </c>
      <c r="D1068" t="s">
        <v>51</v>
      </c>
      <c r="E1068">
        <v>2023</v>
      </c>
      <c r="F1068" t="s">
        <v>28</v>
      </c>
      <c r="G1068" t="s">
        <v>20</v>
      </c>
      <c r="H1068" t="s">
        <v>18</v>
      </c>
      <c r="I1068" t="s">
        <v>29</v>
      </c>
      <c r="J1068">
        <v>19730.61</v>
      </c>
      <c r="K1068">
        <v>17094.61</v>
      </c>
      <c r="L1068" s="20">
        <f>tbl_Budget[[#This Row],[Actual]]-tbl_Budget[[#This Row],[Budget]]</f>
        <v>-2636</v>
      </c>
      <c r="M1068" s="3">
        <f>tbl_Budget[[#This Row],[Variance]]/tbl_Budget[[#This Row],[Budget]]</f>
        <v>-0.13359951871736353</v>
      </c>
      <c r="N1068" t="str">
        <f>IF(tbl_Budget[[#This Row],[Variance_%]]&gt;0.05,"Overspend",IF(tbl_Budget[[#This Row],[Variance_%]]&lt;-0.05,"Underspend","On Budget"))</f>
        <v>Underspend</v>
      </c>
    </row>
    <row r="1069" spans="1:14" hidden="1">
      <c r="A1069" s="1">
        <v>45231</v>
      </c>
      <c r="B1069">
        <v>11</v>
      </c>
      <c r="C1069" t="s">
        <v>50</v>
      </c>
      <c r="D1069" t="s">
        <v>51</v>
      </c>
      <c r="E1069">
        <v>2023</v>
      </c>
      <c r="F1069" t="s">
        <v>28</v>
      </c>
      <c r="G1069" t="s">
        <v>20</v>
      </c>
      <c r="H1069" t="s">
        <v>19</v>
      </c>
      <c r="I1069" t="s">
        <v>29</v>
      </c>
      <c r="J1069">
        <v>21276.79</v>
      </c>
      <c r="K1069">
        <v>18778.13</v>
      </c>
      <c r="L1069" s="20">
        <f>tbl_Budget[[#This Row],[Actual]]-tbl_Budget[[#This Row],[Budget]]</f>
        <v>-2498.66</v>
      </c>
      <c r="M1069" s="3">
        <f>tbl_Budget[[#This Row],[Variance]]/tbl_Budget[[#This Row],[Budget]]</f>
        <v>-0.11743594780979648</v>
      </c>
      <c r="N1069" t="str">
        <f>IF(tbl_Budget[[#This Row],[Variance_%]]&gt;0.05,"Overspend",IF(tbl_Budget[[#This Row],[Variance_%]]&lt;-0.05,"Underspend","On Budget"))</f>
        <v>Underspend</v>
      </c>
    </row>
    <row r="1070" spans="1:14">
      <c r="A1070" s="1">
        <v>45231</v>
      </c>
      <c r="B1070">
        <v>11</v>
      </c>
      <c r="C1070" t="s">
        <v>50</v>
      </c>
      <c r="D1070" t="s">
        <v>51</v>
      </c>
      <c r="E1070">
        <v>2023</v>
      </c>
      <c r="F1070" t="s">
        <v>28</v>
      </c>
      <c r="G1070" t="s">
        <v>21</v>
      </c>
      <c r="H1070" t="s">
        <v>15</v>
      </c>
      <c r="I1070" t="s">
        <v>29</v>
      </c>
      <c r="J1070">
        <v>11276.59</v>
      </c>
      <c r="K1070">
        <v>10455.41</v>
      </c>
      <c r="L1070" s="20">
        <f>tbl_Budget[[#This Row],[Actual]]-tbl_Budget[[#This Row],[Budget]]</f>
        <v>-821.18000000000029</v>
      </c>
      <c r="M1070" s="3">
        <f>tbl_Budget[[#This Row],[Variance]]/tbl_Budget[[#This Row],[Budget]]</f>
        <v>-7.2821659739336117E-2</v>
      </c>
      <c r="N1070" t="str">
        <f>IF(tbl_Budget[[#This Row],[Variance_%]]&gt;0.05,"Overspend",IF(tbl_Budget[[#This Row],[Variance_%]]&lt;-0.05,"Underspend","On Budget"))</f>
        <v>Underspend</v>
      </c>
    </row>
    <row r="1071" spans="1:14">
      <c r="A1071" s="1">
        <v>45231</v>
      </c>
      <c r="B1071">
        <v>11</v>
      </c>
      <c r="C1071" t="s">
        <v>50</v>
      </c>
      <c r="D1071" t="s">
        <v>51</v>
      </c>
      <c r="E1071">
        <v>2023</v>
      </c>
      <c r="F1071" t="s">
        <v>28</v>
      </c>
      <c r="G1071" t="s">
        <v>21</v>
      </c>
      <c r="H1071" t="s">
        <v>17</v>
      </c>
      <c r="I1071" t="s">
        <v>29</v>
      </c>
      <c r="J1071">
        <v>11005.27</v>
      </c>
      <c r="K1071">
        <v>12723.34</v>
      </c>
      <c r="L1071" s="20">
        <f>tbl_Budget[[#This Row],[Actual]]-tbl_Budget[[#This Row],[Budget]]</f>
        <v>1718.0699999999997</v>
      </c>
      <c r="M1071" s="3">
        <f>tbl_Budget[[#This Row],[Variance]]/tbl_Budget[[#This Row],[Budget]]</f>
        <v>0.15611338931257476</v>
      </c>
      <c r="N1071" t="str">
        <f>IF(tbl_Budget[[#This Row],[Variance_%]]&gt;0.05,"Overspend",IF(tbl_Budget[[#This Row],[Variance_%]]&lt;-0.05,"Underspend","On Budget"))</f>
        <v>Overspend</v>
      </c>
    </row>
    <row r="1072" spans="1:14">
      <c r="A1072" s="1">
        <v>45231</v>
      </c>
      <c r="B1072">
        <v>11</v>
      </c>
      <c r="C1072" t="s">
        <v>50</v>
      </c>
      <c r="D1072" t="s">
        <v>51</v>
      </c>
      <c r="E1072">
        <v>2023</v>
      </c>
      <c r="F1072" t="s">
        <v>28</v>
      </c>
      <c r="G1072" t="s">
        <v>21</v>
      </c>
      <c r="H1072" t="s">
        <v>18</v>
      </c>
      <c r="I1072" t="s">
        <v>29</v>
      </c>
      <c r="J1072">
        <v>11360.05</v>
      </c>
      <c r="K1072">
        <v>11965.54</v>
      </c>
      <c r="L1072" s="20">
        <f>tbl_Budget[[#This Row],[Actual]]-tbl_Budget[[#This Row],[Budget]]</f>
        <v>605.4900000000016</v>
      </c>
      <c r="M1072" s="3">
        <f>tbl_Budget[[#This Row],[Variance]]/tbl_Budget[[#This Row],[Budget]]</f>
        <v>5.3299941461525405E-2</v>
      </c>
      <c r="N1072" t="str">
        <f>IF(tbl_Budget[[#This Row],[Variance_%]]&gt;0.05,"Overspend",IF(tbl_Budget[[#This Row],[Variance_%]]&lt;-0.05,"Underspend","On Budget"))</f>
        <v>Overspend</v>
      </c>
    </row>
    <row r="1073" spans="1:14">
      <c r="A1073" s="1">
        <v>45231</v>
      </c>
      <c r="B1073">
        <v>11</v>
      </c>
      <c r="C1073" t="s">
        <v>50</v>
      </c>
      <c r="D1073" t="s">
        <v>51</v>
      </c>
      <c r="E1073">
        <v>2023</v>
      </c>
      <c r="F1073" t="s">
        <v>28</v>
      </c>
      <c r="G1073" t="s">
        <v>21</v>
      </c>
      <c r="H1073" t="s">
        <v>19</v>
      </c>
      <c r="I1073" t="s">
        <v>29</v>
      </c>
      <c r="J1073">
        <v>11978</v>
      </c>
      <c r="K1073">
        <v>13083.09</v>
      </c>
      <c r="L1073" s="20">
        <f>tbl_Budget[[#This Row],[Actual]]-tbl_Budget[[#This Row],[Budget]]</f>
        <v>1105.0900000000001</v>
      </c>
      <c r="M1073" s="3">
        <f>tbl_Budget[[#This Row],[Variance]]/tbl_Budget[[#This Row],[Budget]]</f>
        <v>9.225997662381033E-2</v>
      </c>
      <c r="N1073" t="str">
        <f>IF(tbl_Budget[[#This Row],[Variance_%]]&gt;0.05,"Overspend",IF(tbl_Budget[[#This Row],[Variance_%]]&lt;-0.05,"Underspend","On Budget"))</f>
        <v>Overspend</v>
      </c>
    </row>
    <row r="1074" spans="1:14" hidden="1">
      <c r="A1074" s="1">
        <v>45231</v>
      </c>
      <c r="B1074">
        <v>11</v>
      </c>
      <c r="C1074" t="s">
        <v>50</v>
      </c>
      <c r="D1074" t="s">
        <v>51</v>
      </c>
      <c r="E1074">
        <v>2023</v>
      </c>
      <c r="F1074" t="s">
        <v>28</v>
      </c>
      <c r="G1074" t="s">
        <v>22</v>
      </c>
      <c r="H1074" t="s">
        <v>15</v>
      </c>
      <c r="I1074" t="s">
        <v>29</v>
      </c>
      <c r="J1074">
        <v>12541.49</v>
      </c>
      <c r="K1074">
        <v>12880.65</v>
      </c>
      <c r="L1074" s="20">
        <f>tbl_Budget[[#This Row],[Actual]]-tbl_Budget[[#This Row],[Budget]]</f>
        <v>339.15999999999985</v>
      </c>
      <c r="M1074" s="3">
        <f>tbl_Budget[[#This Row],[Variance]]/tbl_Budget[[#This Row],[Budget]]</f>
        <v>2.7043038745794945E-2</v>
      </c>
      <c r="N1074" t="str">
        <f>IF(tbl_Budget[[#This Row],[Variance_%]]&gt;0.05,"Overspend",IF(tbl_Budget[[#This Row],[Variance_%]]&lt;-0.05,"Underspend","On Budget"))</f>
        <v>On Budget</v>
      </c>
    </row>
    <row r="1075" spans="1:14" hidden="1">
      <c r="A1075" s="1">
        <v>45231</v>
      </c>
      <c r="B1075">
        <v>11</v>
      </c>
      <c r="C1075" t="s">
        <v>50</v>
      </c>
      <c r="D1075" t="s">
        <v>51</v>
      </c>
      <c r="E1075">
        <v>2023</v>
      </c>
      <c r="F1075" t="s">
        <v>28</v>
      </c>
      <c r="G1075" t="s">
        <v>22</v>
      </c>
      <c r="H1075" t="s">
        <v>17</v>
      </c>
      <c r="I1075" t="s">
        <v>29</v>
      </c>
      <c r="J1075">
        <v>11661.63</v>
      </c>
      <c r="K1075">
        <v>12392.57</v>
      </c>
      <c r="L1075" s="20">
        <f>tbl_Budget[[#This Row],[Actual]]-tbl_Budget[[#This Row],[Budget]]</f>
        <v>730.94000000000051</v>
      </c>
      <c r="M1075" s="3">
        <f>tbl_Budget[[#This Row],[Variance]]/tbl_Budget[[#This Row],[Budget]]</f>
        <v>6.2679059445377758E-2</v>
      </c>
      <c r="N1075" t="str">
        <f>IF(tbl_Budget[[#This Row],[Variance_%]]&gt;0.05,"Overspend",IF(tbl_Budget[[#This Row],[Variance_%]]&lt;-0.05,"Underspend","On Budget"))</f>
        <v>Overspend</v>
      </c>
    </row>
    <row r="1076" spans="1:14" hidden="1">
      <c r="A1076" s="1">
        <v>45231</v>
      </c>
      <c r="B1076">
        <v>11</v>
      </c>
      <c r="C1076" t="s">
        <v>50</v>
      </c>
      <c r="D1076" t="s">
        <v>51</v>
      </c>
      <c r="E1076">
        <v>2023</v>
      </c>
      <c r="F1076" t="s">
        <v>28</v>
      </c>
      <c r="G1076" t="s">
        <v>22</v>
      </c>
      <c r="H1076" t="s">
        <v>18</v>
      </c>
      <c r="I1076" t="s">
        <v>29</v>
      </c>
      <c r="J1076">
        <v>12024.22</v>
      </c>
      <c r="K1076">
        <v>10637.2</v>
      </c>
      <c r="L1076" s="20">
        <f>tbl_Budget[[#This Row],[Actual]]-tbl_Budget[[#This Row],[Budget]]</f>
        <v>-1387.0199999999986</v>
      </c>
      <c r="M1076" s="3">
        <f>tbl_Budget[[#This Row],[Variance]]/tbl_Budget[[#This Row],[Budget]]</f>
        <v>-0.11535218084832102</v>
      </c>
      <c r="N1076" t="str">
        <f>IF(tbl_Budget[[#This Row],[Variance_%]]&gt;0.05,"Overspend",IF(tbl_Budget[[#This Row],[Variance_%]]&lt;-0.05,"Underspend","On Budget"))</f>
        <v>Underspend</v>
      </c>
    </row>
    <row r="1077" spans="1:14" hidden="1">
      <c r="A1077" s="1">
        <v>45231</v>
      </c>
      <c r="B1077">
        <v>11</v>
      </c>
      <c r="C1077" t="s">
        <v>50</v>
      </c>
      <c r="D1077" t="s">
        <v>51</v>
      </c>
      <c r="E1077">
        <v>2023</v>
      </c>
      <c r="F1077" t="s">
        <v>28</v>
      </c>
      <c r="G1077" t="s">
        <v>22</v>
      </c>
      <c r="H1077" t="s">
        <v>19</v>
      </c>
      <c r="I1077" t="s">
        <v>29</v>
      </c>
      <c r="J1077">
        <v>13150.03</v>
      </c>
      <c r="K1077">
        <v>13931.63</v>
      </c>
      <c r="L1077" s="20">
        <f>tbl_Budget[[#This Row],[Actual]]-tbl_Budget[[#This Row],[Budget]]</f>
        <v>781.59999999999854</v>
      </c>
      <c r="M1077" s="3">
        <f>tbl_Budget[[#This Row],[Variance]]/tbl_Budget[[#This Row],[Budget]]</f>
        <v>5.9437126759406517E-2</v>
      </c>
      <c r="N1077" t="str">
        <f>IF(tbl_Budget[[#This Row],[Variance_%]]&gt;0.05,"Overspend",IF(tbl_Budget[[#This Row],[Variance_%]]&lt;-0.05,"Underspend","On Budget"))</f>
        <v>Overspend</v>
      </c>
    </row>
    <row r="1078" spans="1:14" hidden="1">
      <c r="A1078" s="1">
        <v>45231</v>
      </c>
      <c r="B1078">
        <v>11</v>
      </c>
      <c r="C1078" t="s">
        <v>50</v>
      </c>
      <c r="D1078" t="s">
        <v>51</v>
      </c>
      <c r="E1078">
        <v>2023</v>
      </c>
      <c r="F1078" t="s">
        <v>28</v>
      </c>
      <c r="G1078" t="s">
        <v>23</v>
      </c>
      <c r="H1078" t="s">
        <v>15</v>
      </c>
      <c r="I1078" t="s">
        <v>29</v>
      </c>
      <c r="J1078">
        <v>7774.76</v>
      </c>
      <c r="K1078">
        <v>7741.63</v>
      </c>
      <c r="L1078" s="20">
        <f>tbl_Budget[[#This Row],[Actual]]-tbl_Budget[[#This Row],[Budget]]</f>
        <v>-33.130000000000109</v>
      </c>
      <c r="M1078" s="3">
        <f>tbl_Budget[[#This Row],[Variance]]/tbl_Budget[[#This Row],[Budget]]</f>
        <v>-4.2612247837875523E-3</v>
      </c>
      <c r="N1078" t="str">
        <f>IF(tbl_Budget[[#This Row],[Variance_%]]&gt;0.05,"Overspend",IF(tbl_Budget[[#This Row],[Variance_%]]&lt;-0.05,"Underspend","On Budget"))</f>
        <v>On Budget</v>
      </c>
    </row>
    <row r="1079" spans="1:14" hidden="1">
      <c r="A1079" s="1">
        <v>45231</v>
      </c>
      <c r="B1079">
        <v>11</v>
      </c>
      <c r="C1079" t="s">
        <v>50</v>
      </c>
      <c r="D1079" t="s">
        <v>51</v>
      </c>
      <c r="E1079">
        <v>2023</v>
      </c>
      <c r="F1079" t="s">
        <v>28</v>
      </c>
      <c r="G1079" t="s">
        <v>23</v>
      </c>
      <c r="H1079" t="s">
        <v>17</v>
      </c>
      <c r="I1079" t="s">
        <v>29</v>
      </c>
      <c r="J1079">
        <v>7684.14</v>
      </c>
      <c r="K1079">
        <v>8030.79</v>
      </c>
      <c r="L1079" s="20">
        <f>tbl_Budget[[#This Row],[Actual]]-tbl_Budget[[#This Row],[Budget]]</f>
        <v>346.64999999999964</v>
      </c>
      <c r="M1079" s="3">
        <f>tbl_Budget[[#This Row],[Variance]]/tbl_Budget[[#This Row],[Budget]]</f>
        <v>4.5112400346688064E-2</v>
      </c>
      <c r="N1079" t="str">
        <f>IF(tbl_Budget[[#This Row],[Variance_%]]&gt;0.05,"Overspend",IF(tbl_Budget[[#This Row],[Variance_%]]&lt;-0.05,"Underspend","On Budget"))</f>
        <v>On Budget</v>
      </c>
    </row>
    <row r="1080" spans="1:14" hidden="1">
      <c r="A1080" s="1">
        <v>45231</v>
      </c>
      <c r="B1080">
        <v>11</v>
      </c>
      <c r="C1080" t="s">
        <v>50</v>
      </c>
      <c r="D1080" t="s">
        <v>51</v>
      </c>
      <c r="E1080">
        <v>2023</v>
      </c>
      <c r="F1080" t="s">
        <v>28</v>
      </c>
      <c r="G1080" t="s">
        <v>23</v>
      </c>
      <c r="H1080" t="s">
        <v>18</v>
      </c>
      <c r="I1080" t="s">
        <v>29</v>
      </c>
      <c r="J1080">
        <v>7732.56</v>
      </c>
      <c r="K1080">
        <v>9087.3700000000008</v>
      </c>
      <c r="L1080" s="20">
        <f>tbl_Budget[[#This Row],[Actual]]-tbl_Budget[[#This Row],[Budget]]</f>
        <v>1354.8100000000004</v>
      </c>
      <c r="M1080" s="3">
        <f>tbl_Budget[[#This Row],[Variance]]/tbl_Budget[[#This Row],[Budget]]</f>
        <v>0.17520846912277438</v>
      </c>
      <c r="N1080" t="str">
        <f>IF(tbl_Budget[[#This Row],[Variance_%]]&gt;0.05,"Overspend",IF(tbl_Budget[[#This Row],[Variance_%]]&lt;-0.05,"Underspend","On Budget"))</f>
        <v>Overspend</v>
      </c>
    </row>
    <row r="1081" spans="1:14" hidden="1">
      <c r="A1081" s="1">
        <v>45231</v>
      </c>
      <c r="B1081">
        <v>11</v>
      </c>
      <c r="C1081" t="s">
        <v>50</v>
      </c>
      <c r="D1081" t="s">
        <v>51</v>
      </c>
      <c r="E1081">
        <v>2023</v>
      </c>
      <c r="F1081" t="s">
        <v>28</v>
      </c>
      <c r="G1081" t="s">
        <v>23</v>
      </c>
      <c r="H1081" t="s">
        <v>19</v>
      </c>
      <c r="I1081" t="s">
        <v>29</v>
      </c>
      <c r="J1081">
        <v>8278.7999999999993</v>
      </c>
      <c r="K1081">
        <v>8309.8799999999992</v>
      </c>
      <c r="L1081" s="20">
        <f>tbl_Budget[[#This Row],[Actual]]-tbl_Budget[[#This Row],[Budget]]</f>
        <v>31.079999999999927</v>
      </c>
      <c r="M1081" s="3">
        <f>tbl_Budget[[#This Row],[Variance]]/tbl_Budget[[#This Row],[Budget]]</f>
        <v>3.7541672706189219E-3</v>
      </c>
      <c r="N1081" t="str">
        <f>IF(tbl_Budget[[#This Row],[Variance_%]]&gt;0.05,"Overspend",IF(tbl_Budget[[#This Row],[Variance_%]]&lt;-0.05,"Underspend","On Budget"))</f>
        <v>On Budget</v>
      </c>
    </row>
    <row r="1082" spans="1:14" hidden="1">
      <c r="A1082" s="1">
        <v>45231</v>
      </c>
      <c r="B1082">
        <v>11</v>
      </c>
      <c r="C1082" t="s">
        <v>50</v>
      </c>
      <c r="D1082" t="s">
        <v>51</v>
      </c>
      <c r="E1082">
        <v>2023</v>
      </c>
      <c r="F1082" t="s">
        <v>30</v>
      </c>
      <c r="G1082" t="s">
        <v>14</v>
      </c>
      <c r="H1082" t="s">
        <v>15</v>
      </c>
      <c r="I1082" t="s">
        <v>31</v>
      </c>
      <c r="J1082">
        <v>43639.4</v>
      </c>
      <c r="K1082">
        <v>42641.120000000003</v>
      </c>
      <c r="L1082" s="20">
        <f>tbl_Budget[[#This Row],[Actual]]-tbl_Budget[[#This Row],[Budget]]</f>
        <v>-998.27999999999884</v>
      </c>
      <c r="M1082" s="3">
        <f>tbl_Budget[[#This Row],[Variance]]/tbl_Budget[[#This Row],[Budget]]</f>
        <v>-2.2875658235447755E-2</v>
      </c>
      <c r="N1082" t="str">
        <f>IF(tbl_Budget[[#This Row],[Variance_%]]&gt;0.05,"Overspend",IF(tbl_Budget[[#This Row],[Variance_%]]&lt;-0.05,"Underspend","On Budget"))</f>
        <v>On Budget</v>
      </c>
    </row>
    <row r="1083" spans="1:14" hidden="1">
      <c r="A1083" s="1">
        <v>45231</v>
      </c>
      <c r="B1083">
        <v>11</v>
      </c>
      <c r="C1083" t="s">
        <v>50</v>
      </c>
      <c r="D1083" t="s">
        <v>51</v>
      </c>
      <c r="E1083">
        <v>2023</v>
      </c>
      <c r="F1083" t="s">
        <v>30</v>
      </c>
      <c r="G1083" t="s">
        <v>14</v>
      </c>
      <c r="H1083" t="s">
        <v>17</v>
      </c>
      <c r="I1083" t="s">
        <v>31</v>
      </c>
      <c r="J1083">
        <v>41659.07</v>
      </c>
      <c r="K1083">
        <v>42184.74</v>
      </c>
      <c r="L1083" s="20">
        <f>tbl_Budget[[#This Row],[Actual]]-tbl_Budget[[#This Row],[Budget]]</f>
        <v>525.66999999999825</v>
      </c>
      <c r="M1083" s="3">
        <f>tbl_Budget[[#This Row],[Variance]]/tbl_Budget[[#This Row],[Budget]]</f>
        <v>1.2618380583147877E-2</v>
      </c>
      <c r="N1083" t="str">
        <f>IF(tbl_Budget[[#This Row],[Variance_%]]&gt;0.05,"Overspend",IF(tbl_Budget[[#This Row],[Variance_%]]&lt;-0.05,"Underspend","On Budget"))</f>
        <v>On Budget</v>
      </c>
    </row>
    <row r="1084" spans="1:14" hidden="1">
      <c r="A1084" s="1">
        <v>45231</v>
      </c>
      <c r="B1084">
        <v>11</v>
      </c>
      <c r="C1084" t="s">
        <v>50</v>
      </c>
      <c r="D1084" t="s">
        <v>51</v>
      </c>
      <c r="E1084">
        <v>2023</v>
      </c>
      <c r="F1084" t="s">
        <v>30</v>
      </c>
      <c r="G1084" t="s">
        <v>14</v>
      </c>
      <c r="H1084" t="s">
        <v>18</v>
      </c>
      <c r="I1084" t="s">
        <v>31</v>
      </c>
      <c r="J1084">
        <v>40187.61</v>
      </c>
      <c r="K1084">
        <v>38356.980000000003</v>
      </c>
      <c r="L1084" s="20">
        <f>tbl_Budget[[#This Row],[Actual]]-tbl_Budget[[#This Row],[Budget]]</f>
        <v>-1830.6299999999974</v>
      </c>
      <c r="M1084" s="3">
        <f>tbl_Budget[[#This Row],[Variance]]/tbl_Budget[[#This Row],[Budget]]</f>
        <v>-4.5552099266415631E-2</v>
      </c>
      <c r="N1084" t="str">
        <f>IF(tbl_Budget[[#This Row],[Variance_%]]&gt;0.05,"Overspend",IF(tbl_Budget[[#This Row],[Variance_%]]&lt;-0.05,"Underspend","On Budget"))</f>
        <v>On Budget</v>
      </c>
    </row>
    <row r="1085" spans="1:14" hidden="1">
      <c r="A1085" s="1">
        <v>45231</v>
      </c>
      <c r="B1085">
        <v>11</v>
      </c>
      <c r="C1085" t="s">
        <v>50</v>
      </c>
      <c r="D1085" t="s">
        <v>51</v>
      </c>
      <c r="E1085">
        <v>2023</v>
      </c>
      <c r="F1085" t="s">
        <v>30</v>
      </c>
      <c r="G1085" t="s">
        <v>14</v>
      </c>
      <c r="H1085" t="s">
        <v>19</v>
      </c>
      <c r="I1085" t="s">
        <v>31</v>
      </c>
      <c r="J1085">
        <v>43026.39</v>
      </c>
      <c r="K1085">
        <v>45283.37</v>
      </c>
      <c r="L1085" s="20">
        <f>tbl_Budget[[#This Row],[Actual]]-tbl_Budget[[#This Row],[Budget]]</f>
        <v>2256.9800000000032</v>
      </c>
      <c r="M1085" s="3">
        <f>tbl_Budget[[#This Row],[Variance]]/tbl_Budget[[#This Row],[Budget]]</f>
        <v>5.2455713807270453E-2</v>
      </c>
      <c r="N1085" t="str">
        <f>IF(tbl_Budget[[#This Row],[Variance_%]]&gt;0.05,"Overspend",IF(tbl_Budget[[#This Row],[Variance_%]]&lt;-0.05,"Underspend","On Budget"))</f>
        <v>Overspend</v>
      </c>
    </row>
    <row r="1086" spans="1:14" hidden="1">
      <c r="A1086" s="1">
        <v>45231</v>
      </c>
      <c r="B1086">
        <v>11</v>
      </c>
      <c r="C1086" t="s">
        <v>50</v>
      </c>
      <c r="D1086" t="s">
        <v>51</v>
      </c>
      <c r="E1086">
        <v>2023</v>
      </c>
      <c r="F1086" t="s">
        <v>30</v>
      </c>
      <c r="G1086" t="s">
        <v>20</v>
      </c>
      <c r="H1086" t="s">
        <v>15</v>
      </c>
      <c r="I1086" t="s">
        <v>31</v>
      </c>
      <c r="J1086">
        <v>16239.31</v>
      </c>
      <c r="K1086">
        <v>16360.35</v>
      </c>
      <c r="L1086" s="20">
        <f>tbl_Budget[[#This Row],[Actual]]-tbl_Budget[[#This Row],[Budget]]</f>
        <v>121.04000000000087</v>
      </c>
      <c r="M1086" s="3">
        <f>tbl_Budget[[#This Row],[Variance]]/tbl_Budget[[#This Row],[Budget]]</f>
        <v>7.4535186531940632E-3</v>
      </c>
      <c r="N1086" t="str">
        <f>IF(tbl_Budget[[#This Row],[Variance_%]]&gt;0.05,"Overspend",IF(tbl_Budget[[#This Row],[Variance_%]]&lt;-0.05,"Underspend","On Budget"))</f>
        <v>On Budget</v>
      </c>
    </row>
    <row r="1087" spans="1:14" hidden="1">
      <c r="A1087" s="1">
        <v>45231</v>
      </c>
      <c r="B1087">
        <v>11</v>
      </c>
      <c r="C1087" t="s">
        <v>50</v>
      </c>
      <c r="D1087" t="s">
        <v>51</v>
      </c>
      <c r="E1087">
        <v>2023</v>
      </c>
      <c r="F1087" t="s">
        <v>30</v>
      </c>
      <c r="G1087" t="s">
        <v>20</v>
      </c>
      <c r="H1087" t="s">
        <v>17</v>
      </c>
      <c r="I1087" t="s">
        <v>31</v>
      </c>
      <c r="J1087">
        <v>15005.3</v>
      </c>
      <c r="K1087">
        <v>15239.27</v>
      </c>
      <c r="L1087" s="20">
        <f>tbl_Budget[[#This Row],[Actual]]-tbl_Budget[[#This Row],[Budget]]</f>
        <v>233.97000000000116</v>
      </c>
      <c r="M1087" s="3">
        <f>tbl_Budget[[#This Row],[Variance]]/tbl_Budget[[#This Row],[Budget]]</f>
        <v>1.5592490653302577E-2</v>
      </c>
      <c r="N1087" t="str">
        <f>IF(tbl_Budget[[#This Row],[Variance_%]]&gt;0.05,"Overspend",IF(tbl_Budget[[#This Row],[Variance_%]]&lt;-0.05,"Underspend","On Budget"))</f>
        <v>On Budget</v>
      </c>
    </row>
    <row r="1088" spans="1:14" hidden="1">
      <c r="A1088" s="1">
        <v>45231</v>
      </c>
      <c r="B1088">
        <v>11</v>
      </c>
      <c r="C1088" t="s">
        <v>50</v>
      </c>
      <c r="D1088" t="s">
        <v>51</v>
      </c>
      <c r="E1088">
        <v>2023</v>
      </c>
      <c r="F1088" t="s">
        <v>30</v>
      </c>
      <c r="G1088" t="s">
        <v>20</v>
      </c>
      <c r="H1088" t="s">
        <v>18</v>
      </c>
      <c r="I1088" t="s">
        <v>31</v>
      </c>
      <c r="J1088">
        <v>15331.9</v>
      </c>
      <c r="K1088">
        <v>14895.79</v>
      </c>
      <c r="L1088" s="20">
        <f>tbl_Budget[[#This Row],[Actual]]-tbl_Budget[[#This Row],[Budget]]</f>
        <v>-436.10999999999876</v>
      </c>
      <c r="M1088" s="3">
        <f>tbl_Budget[[#This Row],[Variance]]/tbl_Budget[[#This Row],[Budget]]</f>
        <v>-2.8444615474924748E-2</v>
      </c>
      <c r="N1088" t="str">
        <f>IF(tbl_Budget[[#This Row],[Variance_%]]&gt;0.05,"Overspend",IF(tbl_Budget[[#This Row],[Variance_%]]&lt;-0.05,"Underspend","On Budget"))</f>
        <v>On Budget</v>
      </c>
    </row>
    <row r="1089" spans="1:14" hidden="1">
      <c r="A1089" s="1">
        <v>45231</v>
      </c>
      <c r="B1089">
        <v>11</v>
      </c>
      <c r="C1089" t="s">
        <v>50</v>
      </c>
      <c r="D1089" t="s">
        <v>51</v>
      </c>
      <c r="E1089">
        <v>2023</v>
      </c>
      <c r="F1089" t="s">
        <v>30</v>
      </c>
      <c r="G1089" t="s">
        <v>20</v>
      </c>
      <c r="H1089" t="s">
        <v>19</v>
      </c>
      <c r="I1089" t="s">
        <v>31</v>
      </c>
      <c r="J1089">
        <v>16756.89</v>
      </c>
      <c r="K1089">
        <v>17207.990000000002</v>
      </c>
      <c r="L1089" s="20">
        <f>tbl_Budget[[#This Row],[Actual]]-tbl_Budget[[#This Row],[Budget]]</f>
        <v>451.10000000000218</v>
      </c>
      <c r="M1089" s="3">
        <f>tbl_Budget[[#This Row],[Variance]]/tbl_Budget[[#This Row],[Budget]]</f>
        <v>2.6920269811403084E-2</v>
      </c>
      <c r="N1089" t="str">
        <f>IF(tbl_Budget[[#This Row],[Variance_%]]&gt;0.05,"Overspend",IF(tbl_Budget[[#This Row],[Variance_%]]&lt;-0.05,"Underspend","On Budget"))</f>
        <v>On Budget</v>
      </c>
    </row>
    <row r="1090" spans="1:14">
      <c r="A1090" s="1">
        <v>45231</v>
      </c>
      <c r="B1090">
        <v>11</v>
      </c>
      <c r="C1090" t="s">
        <v>50</v>
      </c>
      <c r="D1090" t="s">
        <v>51</v>
      </c>
      <c r="E1090">
        <v>2023</v>
      </c>
      <c r="F1090" t="s">
        <v>30</v>
      </c>
      <c r="G1090" t="s">
        <v>21</v>
      </c>
      <c r="H1090" t="s">
        <v>15</v>
      </c>
      <c r="I1090" t="s">
        <v>31</v>
      </c>
      <c r="J1090">
        <v>6874.84</v>
      </c>
      <c r="K1090">
        <v>7100.01</v>
      </c>
      <c r="L1090" s="20">
        <f>tbl_Budget[[#This Row],[Actual]]-tbl_Budget[[#This Row],[Budget]]</f>
        <v>225.17000000000007</v>
      </c>
      <c r="M1090" s="3">
        <f>tbl_Budget[[#This Row],[Variance]]/tbl_Budget[[#This Row],[Budget]]</f>
        <v>3.2752762246103191E-2</v>
      </c>
      <c r="N1090" t="str">
        <f>IF(tbl_Budget[[#This Row],[Variance_%]]&gt;0.05,"Overspend",IF(tbl_Budget[[#This Row],[Variance_%]]&lt;-0.05,"Underspend","On Budget"))</f>
        <v>On Budget</v>
      </c>
    </row>
    <row r="1091" spans="1:14">
      <c r="A1091" s="1">
        <v>45231</v>
      </c>
      <c r="B1091">
        <v>11</v>
      </c>
      <c r="C1091" t="s">
        <v>50</v>
      </c>
      <c r="D1091" t="s">
        <v>51</v>
      </c>
      <c r="E1091">
        <v>2023</v>
      </c>
      <c r="F1091" t="s">
        <v>30</v>
      </c>
      <c r="G1091" t="s">
        <v>21</v>
      </c>
      <c r="H1091" t="s">
        <v>17</v>
      </c>
      <c r="I1091" t="s">
        <v>31</v>
      </c>
      <c r="J1091">
        <v>6636.45</v>
      </c>
      <c r="K1091">
        <v>6603.96</v>
      </c>
      <c r="L1091" s="20">
        <f>tbl_Budget[[#This Row],[Actual]]-tbl_Budget[[#This Row],[Budget]]</f>
        <v>-32.489999999999782</v>
      </c>
      <c r="M1091" s="3">
        <f>tbl_Budget[[#This Row],[Variance]]/tbl_Budget[[#This Row],[Budget]]</f>
        <v>-4.8956897136269821E-3</v>
      </c>
      <c r="N1091" t="str">
        <f>IF(tbl_Budget[[#This Row],[Variance_%]]&gt;0.05,"Overspend",IF(tbl_Budget[[#This Row],[Variance_%]]&lt;-0.05,"Underspend","On Budget"))</f>
        <v>On Budget</v>
      </c>
    </row>
    <row r="1092" spans="1:14">
      <c r="A1092" s="1">
        <v>45231</v>
      </c>
      <c r="B1092">
        <v>11</v>
      </c>
      <c r="C1092" t="s">
        <v>50</v>
      </c>
      <c r="D1092" t="s">
        <v>51</v>
      </c>
      <c r="E1092">
        <v>2023</v>
      </c>
      <c r="F1092" t="s">
        <v>30</v>
      </c>
      <c r="G1092" t="s">
        <v>21</v>
      </c>
      <c r="H1092" t="s">
        <v>18</v>
      </c>
      <c r="I1092" t="s">
        <v>31</v>
      </c>
      <c r="J1092">
        <v>6809.85</v>
      </c>
      <c r="K1092">
        <v>6593.53</v>
      </c>
      <c r="L1092" s="20">
        <f>tbl_Budget[[#This Row],[Actual]]-tbl_Budget[[#This Row],[Budget]]</f>
        <v>-216.32000000000062</v>
      </c>
      <c r="M1092" s="3">
        <f>tbl_Budget[[#This Row],[Variance]]/tbl_Budget[[#This Row],[Budget]]</f>
        <v>-3.1765751081154592E-2</v>
      </c>
      <c r="N1092" t="str">
        <f>IF(tbl_Budget[[#This Row],[Variance_%]]&gt;0.05,"Overspend",IF(tbl_Budget[[#This Row],[Variance_%]]&lt;-0.05,"Underspend","On Budget"))</f>
        <v>On Budget</v>
      </c>
    </row>
    <row r="1093" spans="1:14">
      <c r="A1093" s="1">
        <v>45231</v>
      </c>
      <c r="B1093">
        <v>11</v>
      </c>
      <c r="C1093" t="s">
        <v>50</v>
      </c>
      <c r="D1093" t="s">
        <v>51</v>
      </c>
      <c r="E1093">
        <v>2023</v>
      </c>
      <c r="F1093" t="s">
        <v>30</v>
      </c>
      <c r="G1093" t="s">
        <v>21</v>
      </c>
      <c r="H1093" t="s">
        <v>19</v>
      </c>
      <c r="I1093" t="s">
        <v>31</v>
      </c>
      <c r="J1093">
        <v>6987.82</v>
      </c>
      <c r="K1093">
        <v>6874.17</v>
      </c>
      <c r="L1093" s="20">
        <f>tbl_Budget[[#This Row],[Actual]]-tbl_Budget[[#This Row],[Budget]]</f>
        <v>-113.64999999999964</v>
      </c>
      <c r="M1093" s="3">
        <f>tbl_Budget[[#This Row],[Variance]]/tbl_Budget[[#This Row],[Budget]]</f>
        <v>-1.6264013669499162E-2</v>
      </c>
      <c r="N1093" t="str">
        <f>IF(tbl_Budget[[#This Row],[Variance_%]]&gt;0.05,"Overspend",IF(tbl_Budget[[#This Row],[Variance_%]]&lt;-0.05,"Underspend","On Budget"))</f>
        <v>On Budget</v>
      </c>
    </row>
    <row r="1094" spans="1:14" hidden="1">
      <c r="A1094" s="1">
        <v>45231</v>
      </c>
      <c r="B1094">
        <v>11</v>
      </c>
      <c r="C1094" t="s">
        <v>50</v>
      </c>
      <c r="D1094" t="s">
        <v>51</v>
      </c>
      <c r="E1094">
        <v>2023</v>
      </c>
      <c r="F1094" t="s">
        <v>30</v>
      </c>
      <c r="G1094" t="s">
        <v>22</v>
      </c>
      <c r="H1094" t="s">
        <v>15</v>
      </c>
      <c r="I1094" t="s">
        <v>31</v>
      </c>
      <c r="J1094">
        <v>7450.39</v>
      </c>
      <c r="K1094">
        <v>7703.71</v>
      </c>
      <c r="L1094" s="20">
        <f>tbl_Budget[[#This Row],[Actual]]-tbl_Budget[[#This Row],[Budget]]</f>
        <v>253.31999999999971</v>
      </c>
      <c r="M1094" s="3">
        <f>tbl_Budget[[#This Row],[Variance]]/tbl_Budget[[#This Row],[Budget]]</f>
        <v>3.4000904650628987E-2</v>
      </c>
      <c r="N1094" t="str">
        <f>IF(tbl_Budget[[#This Row],[Variance_%]]&gt;0.05,"Overspend",IF(tbl_Budget[[#This Row],[Variance_%]]&lt;-0.05,"Underspend","On Budget"))</f>
        <v>On Budget</v>
      </c>
    </row>
    <row r="1095" spans="1:14" hidden="1">
      <c r="A1095" s="1">
        <v>45231</v>
      </c>
      <c r="B1095">
        <v>11</v>
      </c>
      <c r="C1095" t="s">
        <v>50</v>
      </c>
      <c r="D1095" t="s">
        <v>51</v>
      </c>
      <c r="E1095">
        <v>2023</v>
      </c>
      <c r="F1095" t="s">
        <v>30</v>
      </c>
      <c r="G1095" t="s">
        <v>22</v>
      </c>
      <c r="H1095" t="s">
        <v>17</v>
      </c>
      <c r="I1095" t="s">
        <v>31</v>
      </c>
      <c r="J1095">
        <v>7087.06</v>
      </c>
      <c r="K1095">
        <v>7018.64</v>
      </c>
      <c r="L1095" s="20">
        <f>tbl_Budget[[#This Row],[Actual]]-tbl_Budget[[#This Row],[Budget]]</f>
        <v>-68.420000000000073</v>
      </c>
      <c r="M1095" s="3">
        <f>tbl_Budget[[#This Row],[Variance]]/tbl_Budget[[#This Row],[Budget]]</f>
        <v>-9.6542148648381797E-3</v>
      </c>
      <c r="N1095" t="str">
        <f>IF(tbl_Budget[[#This Row],[Variance_%]]&gt;0.05,"Overspend",IF(tbl_Budget[[#This Row],[Variance_%]]&lt;-0.05,"Underspend","On Budget"))</f>
        <v>On Budget</v>
      </c>
    </row>
    <row r="1096" spans="1:14" hidden="1">
      <c r="A1096" s="1">
        <v>45231</v>
      </c>
      <c r="B1096">
        <v>11</v>
      </c>
      <c r="C1096" t="s">
        <v>50</v>
      </c>
      <c r="D1096" t="s">
        <v>51</v>
      </c>
      <c r="E1096">
        <v>2023</v>
      </c>
      <c r="F1096" t="s">
        <v>30</v>
      </c>
      <c r="G1096" t="s">
        <v>22</v>
      </c>
      <c r="H1096" t="s">
        <v>18</v>
      </c>
      <c r="I1096" t="s">
        <v>31</v>
      </c>
      <c r="J1096">
        <v>7074.31</v>
      </c>
      <c r="K1096">
        <v>6794.23</v>
      </c>
      <c r="L1096" s="20">
        <f>tbl_Budget[[#This Row],[Actual]]-tbl_Budget[[#This Row],[Budget]]</f>
        <v>-280.08000000000084</v>
      </c>
      <c r="M1096" s="3">
        <f>tbl_Budget[[#This Row],[Variance]]/tbl_Budget[[#This Row],[Budget]]</f>
        <v>-3.9591140337361642E-2</v>
      </c>
      <c r="N1096" t="str">
        <f>IF(tbl_Budget[[#This Row],[Variance_%]]&gt;0.05,"Overspend",IF(tbl_Budget[[#This Row],[Variance_%]]&lt;-0.05,"Underspend","On Budget"))</f>
        <v>On Budget</v>
      </c>
    </row>
    <row r="1097" spans="1:14" hidden="1">
      <c r="A1097" s="1">
        <v>45231</v>
      </c>
      <c r="B1097">
        <v>11</v>
      </c>
      <c r="C1097" t="s">
        <v>50</v>
      </c>
      <c r="D1097" t="s">
        <v>51</v>
      </c>
      <c r="E1097">
        <v>2023</v>
      </c>
      <c r="F1097" t="s">
        <v>30</v>
      </c>
      <c r="G1097" t="s">
        <v>22</v>
      </c>
      <c r="H1097" t="s">
        <v>19</v>
      </c>
      <c r="I1097" t="s">
        <v>31</v>
      </c>
      <c r="J1097">
        <v>7807.99</v>
      </c>
      <c r="K1097">
        <v>8053.15</v>
      </c>
      <c r="L1097" s="20">
        <f>tbl_Budget[[#This Row],[Actual]]-tbl_Budget[[#This Row],[Budget]]</f>
        <v>245.15999999999985</v>
      </c>
      <c r="M1097" s="3">
        <f>tbl_Budget[[#This Row],[Variance]]/tbl_Budget[[#This Row],[Budget]]</f>
        <v>3.1398605787148787E-2</v>
      </c>
      <c r="N1097" t="str">
        <f>IF(tbl_Budget[[#This Row],[Variance_%]]&gt;0.05,"Overspend",IF(tbl_Budget[[#This Row],[Variance_%]]&lt;-0.05,"Underspend","On Budget"))</f>
        <v>On Budget</v>
      </c>
    </row>
    <row r="1098" spans="1:14" hidden="1">
      <c r="A1098" s="1">
        <v>45231</v>
      </c>
      <c r="B1098">
        <v>11</v>
      </c>
      <c r="C1098" t="s">
        <v>50</v>
      </c>
      <c r="D1098" t="s">
        <v>51</v>
      </c>
      <c r="E1098">
        <v>2023</v>
      </c>
      <c r="F1098" t="s">
        <v>30</v>
      </c>
      <c r="G1098" t="s">
        <v>23</v>
      </c>
      <c r="H1098" t="s">
        <v>15</v>
      </c>
      <c r="I1098" t="s">
        <v>31</v>
      </c>
      <c r="J1098">
        <v>6481.38</v>
      </c>
      <c r="K1098">
        <v>6351.94</v>
      </c>
      <c r="L1098" s="20">
        <f>tbl_Budget[[#This Row],[Actual]]-tbl_Budget[[#This Row],[Budget]]</f>
        <v>-129.44000000000051</v>
      </c>
      <c r="M1098" s="3">
        <f>tbl_Budget[[#This Row],[Variance]]/tbl_Budget[[#This Row],[Budget]]</f>
        <v>-1.9971055546812638E-2</v>
      </c>
      <c r="N1098" t="str">
        <f>IF(tbl_Budget[[#This Row],[Variance_%]]&gt;0.05,"Overspend",IF(tbl_Budget[[#This Row],[Variance_%]]&lt;-0.05,"Underspend","On Budget"))</f>
        <v>On Budget</v>
      </c>
    </row>
    <row r="1099" spans="1:14" hidden="1">
      <c r="A1099" s="1">
        <v>45231</v>
      </c>
      <c r="B1099">
        <v>11</v>
      </c>
      <c r="C1099" t="s">
        <v>50</v>
      </c>
      <c r="D1099" t="s">
        <v>51</v>
      </c>
      <c r="E1099">
        <v>2023</v>
      </c>
      <c r="F1099" t="s">
        <v>30</v>
      </c>
      <c r="G1099" t="s">
        <v>23</v>
      </c>
      <c r="H1099" t="s">
        <v>17</v>
      </c>
      <c r="I1099" t="s">
        <v>31</v>
      </c>
      <c r="J1099">
        <v>5927.31</v>
      </c>
      <c r="K1099">
        <v>5634.55</v>
      </c>
      <c r="L1099" s="20">
        <f>tbl_Budget[[#This Row],[Actual]]-tbl_Budget[[#This Row],[Budget]]</f>
        <v>-292.76000000000022</v>
      </c>
      <c r="M1099" s="3">
        <f>tbl_Budget[[#This Row],[Variance]]/tbl_Budget[[#This Row],[Budget]]</f>
        <v>-4.9391713947811097E-2</v>
      </c>
      <c r="N1099" t="str">
        <f>IF(tbl_Budget[[#This Row],[Variance_%]]&gt;0.05,"Overspend",IF(tbl_Budget[[#This Row],[Variance_%]]&lt;-0.05,"Underspend","On Budget"))</f>
        <v>On Budget</v>
      </c>
    </row>
    <row r="1100" spans="1:14" hidden="1">
      <c r="A1100" s="1">
        <v>45231</v>
      </c>
      <c r="B1100">
        <v>11</v>
      </c>
      <c r="C1100" t="s">
        <v>50</v>
      </c>
      <c r="D1100" t="s">
        <v>51</v>
      </c>
      <c r="E1100">
        <v>2023</v>
      </c>
      <c r="F1100" t="s">
        <v>30</v>
      </c>
      <c r="G1100" t="s">
        <v>23</v>
      </c>
      <c r="H1100" t="s">
        <v>18</v>
      </c>
      <c r="I1100" t="s">
        <v>31</v>
      </c>
      <c r="J1100">
        <v>6189.21</v>
      </c>
      <c r="K1100">
        <v>6107.68</v>
      </c>
      <c r="L1100" s="20">
        <f>tbl_Budget[[#This Row],[Actual]]-tbl_Budget[[#This Row],[Budget]]</f>
        <v>-81.529999999999745</v>
      </c>
      <c r="M1100" s="3">
        <f>tbl_Budget[[#This Row],[Variance]]/tbl_Budget[[#This Row],[Budget]]</f>
        <v>-1.3172925139072636E-2</v>
      </c>
      <c r="N1100" t="str">
        <f>IF(tbl_Budget[[#This Row],[Variance_%]]&gt;0.05,"Overspend",IF(tbl_Budget[[#This Row],[Variance_%]]&lt;-0.05,"Underspend","On Budget"))</f>
        <v>On Budget</v>
      </c>
    </row>
    <row r="1101" spans="1:14" hidden="1">
      <c r="A1101" s="1">
        <v>45231</v>
      </c>
      <c r="B1101">
        <v>11</v>
      </c>
      <c r="C1101" t="s">
        <v>50</v>
      </c>
      <c r="D1101" t="s">
        <v>51</v>
      </c>
      <c r="E1101">
        <v>2023</v>
      </c>
      <c r="F1101" t="s">
        <v>30</v>
      </c>
      <c r="G1101" t="s">
        <v>23</v>
      </c>
      <c r="H1101" t="s">
        <v>19</v>
      </c>
      <c r="I1101" t="s">
        <v>31</v>
      </c>
      <c r="J1101">
        <v>6616.54</v>
      </c>
      <c r="K1101">
        <v>6756.76</v>
      </c>
      <c r="L1101" s="20">
        <f>tbl_Budget[[#This Row],[Actual]]-tbl_Budget[[#This Row],[Budget]]</f>
        <v>140.22000000000025</v>
      </c>
      <c r="M1101" s="3">
        <f>tbl_Budget[[#This Row],[Variance]]/tbl_Budget[[#This Row],[Budget]]</f>
        <v>2.1192345243888838E-2</v>
      </c>
      <c r="N1101" t="str">
        <f>IF(tbl_Budget[[#This Row],[Variance_%]]&gt;0.05,"Overspend",IF(tbl_Budget[[#This Row],[Variance_%]]&lt;-0.05,"Underspend","On Budget"))</f>
        <v>On Budget</v>
      </c>
    </row>
    <row r="1102" spans="1:14" hidden="1">
      <c r="A1102" s="1">
        <v>45261</v>
      </c>
      <c r="B1102">
        <v>12</v>
      </c>
      <c r="C1102" t="s">
        <v>52</v>
      </c>
      <c r="D1102" t="s">
        <v>53</v>
      </c>
      <c r="E1102">
        <v>2023</v>
      </c>
      <c r="F1102" t="s">
        <v>13</v>
      </c>
      <c r="G1102" t="s">
        <v>14</v>
      </c>
      <c r="H1102" t="s">
        <v>15</v>
      </c>
      <c r="I1102" t="s">
        <v>16</v>
      </c>
      <c r="J1102">
        <v>47443.08</v>
      </c>
      <c r="K1102">
        <v>53921.61</v>
      </c>
      <c r="L1102" s="20">
        <f>tbl_Budget[[#This Row],[Actual]]-tbl_Budget[[#This Row],[Budget]]</f>
        <v>6478.5299999999988</v>
      </c>
      <c r="M1102" s="3">
        <f>tbl_Budget[[#This Row],[Variance]]/tbl_Budget[[#This Row],[Budget]]</f>
        <v>0.13655373976563071</v>
      </c>
      <c r="N1102" t="str">
        <f>IF(tbl_Budget[[#This Row],[Variance_%]]&gt;0.05,"Overspend",IF(tbl_Budget[[#This Row],[Variance_%]]&lt;-0.05,"Underspend","On Budget"))</f>
        <v>Overspend</v>
      </c>
    </row>
    <row r="1103" spans="1:14" hidden="1">
      <c r="A1103" s="1">
        <v>45261</v>
      </c>
      <c r="B1103">
        <v>12</v>
      </c>
      <c r="C1103" t="s">
        <v>52</v>
      </c>
      <c r="D1103" t="s">
        <v>53</v>
      </c>
      <c r="E1103">
        <v>2023</v>
      </c>
      <c r="F1103" t="s">
        <v>13</v>
      </c>
      <c r="G1103" t="s">
        <v>14</v>
      </c>
      <c r="H1103" t="s">
        <v>17</v>
      </c>
      <c r="I1103" t="s">
        <v>16</v>
      </c>
      <c r="J1103">
        <v>45902.27</v>
      </c>
      <c r="K1103">
        <v>51760.79</v>
      </c>
      <c r="L1103" s="20">
        <f>tbl_Budget[[#This Row],[Actual]]-tbl_Budget[[#This Row],[Budget]]</f>
        <v>5858.5200000000041</v>
      </c>
      <c r="M1103" s="3">
        <f>tbl_Budget[[#This Row],[Variance]]/tbl_Budget[[#This Row],[Budget]]</f>
        <v>0.12763028930813236</v>
      </c>
      <c r="N1103" t="str">
        <f>IF(tbl_Budget[[#This Row],[Variance_%]]&gt;0.05,"Overspend",IF(tbl_Budget[[#This Row],[Variance_%]]&lt;-0.05,"Underspend","On Budget"))</f>
        <v>Overspend</v>
      </c>
    </row>
    <row r="1104" spans="1:14" hidden="1">
      <c r="A1104" s="1">
        <v>45261</v>
      </c>
      <c r="B1104">
        <v>12</v>
      </c>
      <c r="C1104" t="s">
        <v>52</v>
      </c>
      <c r="D1104" t="s">
        <v>53</v>
      </c>
      <c r="E1104">
        <v>2023</v>
      </c>
      <c r="F1104" t="s">
        <v>13</v>
      </c>
      <c r="G1104" t="s">
        <v>14</v>
      </c>
      <c r="H1104" t="s">
        <v>18</v>
      </c>
      <c r="I1104" t="s">
        <v>16</v>
      </c>
      <c r="J1104">
        <v>47111.8</v>
      </c>
      <c r="K1104">
        <v>54472.53</v>
      </c>
      <c r="L1104" s="20">
        <f>tbl_Budget[[#This Row],[Actual]]-tbl_Budget[[#This Row],[Budget]]</f>
        <v>7360.7299999999959</v>
      </c>
      <c r="M1104" s="3">
        <f>tbl_Budget[[#This Row],[Variance]]/tbl_Budget[[#This Row],[Budget]]</f>
        <v>0.15623962574132161</v>
      </c>
      <c r="N1104" t="str">
        <f>IF(tbl_Budget[[#This Row],[Variance_%]]&gt;0.05,"Overspend",IF(tbl_Budget[[#This Row],[Variance_%]]&lt;-0.05,"Underspend","On Budget"))</f>
        <v>Overspend</v>
      </c>
    </row>
    <row r="1105" spans="1:14" hidden="1">
      <c r="A1105" s="1">
        <v>45261</v>
      </c>
      <c r="B1105">
        <v>12</v>
      </c>
      <c r="C1105" t="s">
        <v>52</v>
      </c>
      <c r="D1105" t="s">
        <v>53</v>
      </c>
      <c r="E1105">
        <v>2023</v>
      </c>
      <c r="F1105" t="s">
        <v>13</v>
      </c>
      <c r="G1105" t="s">
        <v>14</v>
      </c>
      <c r="H1105" t="s">
        <v>19</v>
      </c>
      <c r="I1105" t="s">
        <v>16</v>
      </c>
      <c r="J1105">
        <v>49653.2</v>
      </c>
      <c r="K1105">
        <v>58503.46</v>
      </c>
      <c r="L1105" s="20">
        <f>tbl_Budget[[#This Row],[Actual]]-tbl_Budget[[#This Row],[Budget]]</f>
        <v>8850.260000000002</v>
      </c>
      <c r="M1105" s="3">
        <f>tbl_Budget[[#This Row],[Variance]]/tbl_Budget[[#This Row],[Budget]]</f>
        <v>0.17824148292557182</v>
      </c>
      <c r="N1105" t="str">
        <f>IF(tbl_Budget[[#This Row],[Variance_%]]&gt;0.05,"Overspend",IF(tbl_Budget[[#This Row],[Variance_%]]&lt;-0.05,"Underspend","On Budget"))</f>
        <v>Overspend</v>
      </c>
    </row>
    <row r="1106" spans="1:14" hidden="1">
      <c r="A1106" s="1">
        <v>45261</v>
      </c>
      <c r="B1106">
        <v>12</v>
      </c>
      <c r="C1106" t="s">
        <v>52</v>
      </c>
      <c r="D1106" t="s">
        <v>53</v>
      </c>
      <c r="E1106">
        <v>2023</v>
      </c>
      <c r="F1106" t="s">
        <v>13</v>
      </c>
      <c r="G1106" t="s">
        <v>20</v>
      </c>
      <c r="H1106" t="s">
        <v>15</v>
      </c>
      <c r="I1106" t="s">
        <v>16</v>
      </c>
      <c r="J1106">
        <v>18662.419999999998</v>
      </c>
      <c r="K1106">
        <v>20836.21</v>
      </c>
      <c r="L1106" s="20">
        <f>tbl_Budget[[#This Row],[Actual]]-tbl_Budget[[#This Row],[Budget]]</f>
        <v>2173.7900000000009</v>
      </c>
      <c r="M1106" s="3">
        <f>tbl_Budget[[#This Row],[Variance]]/tbl_Budget[[#This Row],[Budget]]</f>
        <v>0.1164795348084547</v>
      </c>
      <c r="N1106" t="str">
        <f>IF(tbl_Budget[[#This Row],[Variance_%]]&gt;0.05,"Overspend",IF(tbl_Budget[[#This Row],[Variance_%]]&lt;-0.05,"Underspend","On Budget"))</f>
        <v>Overspend</v>
      </c>
    </row>
    <row r="1107" spans="1:14" hidden="1">
      <c r="A1107" s="1">
        <v>45261</v>
      </c>
      <c r="B1107">
        <v>12</v>
      </c>
      <c r="C1107" t="s">
        <v>52</v>
      </c>
      <c r="D1107" t="s">
        <v>53</v>
      </c>
      <c r="E1107">
        <v>2023</v>
      </c>
      <c r="F1107" t="s">
        <v>13</v>
      </c>
      <c r="G1107" t="s">
        <v>20</v>
      </c>
      <c r="H1107" t="s">
        <v>17</v>
      </c>
      <c r="I1107" t="s">
        <v>16</v>
      </c>
      <c r="J1107">
        <v>17307.05</v>
      </c>
      <c r="K1107">
        <v>19213.599999999999</v>
      </c>
      <c r="L1107" s="20">
        <f>tbl_Budget[[#This Row],[Actual]]-tbl_Budget[[#This Row],[Budget]]</f>
        <v>1906.5499999999993</v>
      </c>
      <c r="M1107" s="3">
        <f>tbl_Budget[[#This Row],[Variance]]/tbl_Budget[[#This Row],[Budget]]</f>
        <v>0.11016031039374125</v>
      </c>
      <c r="N1107" t="str">
        <f>IF(tbl_Budget[[#This Row],[Variance_%]]&gt;0.05,"Overspend",IF(tbl_Budget[[#This Row],[Variance_%]]&lt;-0.05,"Underspend","On Budget"))</f>
        <v>Overspend</v>
      </c>
    </row>
    <row r="1108" spans="1:14" hidden="1">
      <c r="A1108" s="1">
        <v>45261</v>
      </c>
      <c r="B1108">
        <v>12</v>
      </c>
      <c r="C1108" t="s">
        <v>52</v>
      </c>
      <c r="D1108" t="s">
        <v>53</v>
      </c>
      <c r="E1108">
        <v>2023</v>
      </c>
      <c r="F1108" t="s">
        <v>13</v>
      </c>
      <c r="G1108" t="s">
        <v>20</v>
      </c>
      <c r="H1108" t="s">
        <v>18</v>
      </c>
      <c r="I1108" t="s">
        <v>16</v>
      </c>
      <c r="J1108">
        <v>17692.82</v>
      </c>
      <c r="K1108">
        <v>21060.26</v>
      </c>
      <c r="L1108" s="20">
        <f>tbl_Budget[[#This Row],[Actual]]-tbl_Budget[[#This Row],[Budget]]</f>
        <v>3367.4399999999987</v>
      </c>
      <c r="M1108" s="3">
        <f>tbl_Budget[[#This Row],[Variance]]/tbl_Budget[[#This Row],[Budget]]</f>
        <v>0.19032805397895863</v>
      </c>
      <c r="N1108" t="str">
        <f>IF(tbl_Budget[[#This Row],[Variance_%]]&gt;0.05,"Overspend",IF(tbl_Budget[[#This Row],[Variance_%]]&lt;-0.05,"Underspend","On Budget"))</f>
        <v>Overspend</v>
      </c>
    </row>
    <row r="1109" spans="1:14" hidden="1">
      <c r="A1109" s="1">
        <v>45261</v>
      </c>
      <c r="B1109">
        <v>12</v>
      </c>
      <c r="C1109" t="s">
        <v>52</v>
      </c>
      <c r="D1109" t="s">
        <v>53</v>
      </c>
      <c r="E1109">
        <v>2023</v>
      </c>
      <c r="F1109" t="s">
        <v>13</v>
      </c>
      <c r="G1109" t="s">
        <v>20</v>
      </c>
      <c r="H1109" t="s">
        <v>19</v>
      </c>
      <c r="I1109" t="s">
        <v>16</v>
      </c>
      <c r="J1109">
        <v>19399.830000000002</v>
      </c>
      <c r="K1109">
        <v>23155.52</v>
      </c>
      <c r="L1109" s="20">
        <f>tbl_Budget[[#This Row],[Actual]]-tbl_Budget[[#This Row],[Budget]]</f>
        <v>3755.6899999999987</v>
      </c>
      <c r="M1109" s="3">
        <f>tbl_Budget[[#This Row],[Variance]]/tbl_Budget[[#This Row],[Budget]]</f>
        <v>0.19359396448319385</v>
      </c>
      <c r="N1109" t="str">
        <f>IF(tbl_Budget[[#This Row],[Variance_%]]&gt;0.05,"Overspend",IF(tbl_Budget[[#This Row],[Variance_%]]&lt;-0.05,"Underspend","On Budget"))</f>
        <v>Overspend</v>
      </c>
    </row>
    <row r="1110" spans="1:14">
      <c r="A1110" s="1">
        <v>45261</v>
      </c>
      <c r="B1110">
        <v>12</v>
      </c>
      <c r="C1110" t="s">
        <v>52</v>
      </c>
      <c r="D1110" t="s">
        <v>53</v>
      </c>
      <c r="E1110">
        <v>2023</v>
      </c>
      <c r="F1110" t="s">
        <v>13</v>
      </c>
      <c r="G1110" t="s">
        <v>21</v>
      </c>
      <c r="H1110" t="s">
        <v>15</v>
      </c>
      <c r="I1110" t="s">
        <v>16</v>
      </c>
      <c r="J1110">
        <v>10095.209999999999</v>
      </c>
      <c r="K1110">
        <v>11808.06</v>
      </c>
      <c r="L1110" s="20">
        <f>tbl_Budget[[#This Row],[Actual]]-tbl_Budget[[#This Row],[Budget]]</f>
        <v>1712.8500000000004</v>
      </c>
      <c r="M1110" s="3">
        <f>tbl_Budget[[#This Row],[Variance]]/tbl_Budget[[#This Row],[Budget]]</f>
        <v>0.16966957596721619</v>
      </c>
      <c r="N1110" t="str">
        <f>IF(tbl_Budget[[#This Row],[Variance_%]]&gt;0.05,"Overspend",IF(tbl_Budget[[#This Row],[Variance_%]]&lt;-0.05,"Underspend","On Budget"))</f>
        <v>Overspend</v>
      </c>
    </row>
    <row r="1111" spans="1:14">
      <c r="A1111" s="1">
        <v>45261</v>
      </c>
      <c r="B1111">
        <v>12</v>
      </c>
      <c r="C1111" t="s">
        <v>52</v>
      </c>
      <c r="D1111" t="s">
        <v>53</v>
      </c>
      <c r="E1111">
        <v>2023</v>
      </c>
      <c r="F1111" t="s">
        <v>13</v>
      </c>
      <c r="G1111" t="s">
        <v>21</v>
      </c>
      <c r="H1111" t="s">
        <v>17</v>
      </c>
      <c r="I1111" t="s">
        <v>16</v>
      </c>
      <c r="J1111">
        <v>10040.459999999999</v>
      </c>
      <c r="K1111">
        <v>11432.38</v>
      </c>
      <c r="L1111" s="20">
        <f>tbl_Budget[[#This Row],[Actual]]-tbl_Budget[[#This Row],[Budget]]</f>
        <v>1391.92</v>
      </c>
      <c r="M1111" s="3">
        <f>tbl_Budget[[#This Row],[Variance]]/tbl_Budget[[#This Row],[Budget]]</f>
        <v>0.1386310985751649</v>
      </c>
      <c r="N1111" t="str">
        <f>IF(tbl_Budget[[#This Row],[Variance_%]]&gt;0.05,"Overspend",IF(tbl_Budget[[#This Row],[Variance_%]]&lt;-0.05,"Underspend","On Budget"))</f>
        <v>Overspend</v>
      </c>
    </row>
    <row r="1112" spans="1:14">
      <c r="A1112" s="1">
        <v>45261</v>
      </c>
      <c r="B1112">
        <v>12</v>
      </c>
      <c r="C1112" t="s">
        <v>52</v>
      </c>
      <c r="D1112" t="s">
        <v>53</v>
      </c>
      <c r="E1112">
        <v>2023</v>
      </c>
      <c r="F1112" t="s">
        <v>13</v>
      </c>
      <c r="G1112" t="s">
        <v>21</v>
      </c>
      <c r="H1112" t="s">
        <v>18</v>
      </c>
      <c r="I1112" t="s">
        <v>16</v>
      </c>
      <c r="J1112">
        <v>9762.6200000000008</v>
      </c>
      <c r="K1112">
        <v>11529.23</v>
      </c>
      <c r="L1112" s="20">
        <f>tbl_Budget[[#This Row],[Actual]]-tbl_Budget[[#This Row],[Budget]]</f>
        <v>1766.6099999999988</v>
      </c>
      <c r="M1112" s="3">
        <f>tbl_Budget[[#This Row],[Variance]]/tbl_Budget[[#This Row],[Budget]]</f>
        <v>0.18095654650083673</v>
      </c>
      <c r="N1112" t="str">
        <f>IF(tbl_Budget[[#This Row],[Variance_%]]&gt;0.05,"Overspend",IF(tbl_Budget[[#This Row],[Variance_%]]&lt;-0.05,"Underspend","On Budget"))</f>
        <v>Overspend</v>
      </c>
    </row>
    <row r="1113" spans="1:14">
      <c r="A1113" s="1">
        <v>45261</v>
      </c>
      <c r="B1113">
        <v>12</v>
      </c>
      <c r="C1113" t="s">
        <v>52</v>
      </c>
      <c r="D1113" t="s">
        <v>53</v>
      </c>
      <c r="E1113">
        <v>2023</v>
      </c>
      <c r="F1113" t="s">
        <v>13</v>
      </c>
      <c r="G1113" t="s">
        <v>21</v>
      </c>
      <c r="H1113" t="s">
        <v>19</v>
      </c>
      <c r="I1113" t="s">
        <v>16</v>
      </c>
      <c r="J1113">
        <v>10375.57</v>
      </c>
      <c r="K1113">
        <v>12285.39</v>
      </c>
      <c r="L1113" s="20">
        <f>tbl_Budget[[#This Row],[Actual]]-tbl_Budget[[#This Row],[Budget]]</f>
        <v>1909.8199999999997</v>
      </c>
      <c r="M1113" s="3">
        <f>tbl_Budget[[#This Row],[Variance]]/tbl_Budget[[#This Row],[Budget]]</f>
        <v>0.18406892344227832</v>
      </c>
      <c r="N1113" t="str">
        <f>IF(tbl_Budget[[#This Row],[Variance_%]]&gt;0.05,"Overspend",IF(tbl_Budget[[#This Row],[Variance_%]]&lt;-0.05,"Underspend","On Budget"))</f>
        <v>Overspend</v>
      </c>
    </row>
    <row r="1114" spans="1:14" hidden="1">
      <c r="A1114" s="1">
        <v>45261</v>
      </c>
      <c r="B1114">
        <v>12</v>
      </c>
      <c r="C1114" t="s">
        <v>52</v>
      </c>
      <c r="D1114" t="s">
        <v>53</v>
      </c>
      <c r="E1114">
        <v>2023</v>
      </c>
      <c r="F1114" t="s">
        <v>13</v>
      </c>
      <c r="G1114" t="s">
        <v>22</v>
      </c>
      <c r="H1114" t="s">
        <v>15</v>
      </c>
      <c r="I1114" t="s">
        <v>16</v>
      </c>
      <c r="J1114">
        <v>8180.01</v>
      </c>
      <c r="K1114">
        <v>9123.02</v>
      </c>
      <c r="L1114" s="20">
        <f>tbl_Budget[[#This Row],[Actual]]-tbl_Budget[[#This Row],[Budget]]</f>
        <v>943.01000000000022</v>
      </c>
      <c r="M1114" s="3">
        <f>tbl_Budget[[#This Row],[Variance]]/tbl_Budget[[#This Row],[Budget]]</f>
        <v>0.11528225515616732</v>
      </c>
      <c r="N1114" t="str">
        <f>IF(tbl_Budget[[#This Row],[Variance_%]]&gt;0.05,"Overspend",IF(tbl_Budget[[#This Row],[Variance_%]]&lt;-0.05,"Underspend","On Budget"))</f>
        <v>Overspend</v>
      </c>
    </row>
    <row r="1115" spans="1:14" hidden="1">
      <c r="A1115" s="1">
        <v>45261</v>
      </c>
      <c r="B1115">
        <v>12</v>
      </c>
      <c r="C1115" t="s">
        <v>52</v>
      </c>
      <c r="D1115" t="s">
        <v>53</v>
      </c>
      <c r="E1115">
        <v>2023</v>
      </c>
      <c r="F1115" t="s">
        <v>13</v>
      </c>
      <c r="G1115" t="s">
        <v>22</v>
      </c>
      <c r="H1115" t="s">
        <v>17</v>
      </c>
      <c r="I1115" t="s">
        <v>16</v>
      </c>
      <c r="J1115">
        <v>8057.59</v>
      </c>
      <c r="K1115">
        <v>8978.4599999999991</v>
      </c>
      <c r="L1115" s="20">
        <f>tbl_Budget[[#This Row],[Actual]]-tbl_Budget[[#This Row],[Budget]]</f>
        <v>920.86999999999898</v>
      </c>
      <c r="M1115" s="3">
        <f>tbl_Budget[[#This Row],[Variance]]/tbl_Budget[[#This Row],[Budget]]</f>
        <v>0.11428603341693967</v>
      </c>
      <c r="N1115" t="str">
        <f>IF(tbl_Budget[[#This Row],[Variance_%]]&gt;0.05,"Overspend",IF(tbl_Budget[[#This Row],[Variance_%]]&lt;-0.05,"Underspend","On Budget"))</f>
        <v>Overspend</v>
      </c>
    </row>
    <row r="1116" spans="1:14" hidden="1">
      <c r="A1116" s="1">
        <v>45261</v>
      </c>
      <c r="B1116">
        <v>12</v>
      </c>
      <c r="C1116" t="s">
        <v>52</v>
      </c>
      <c r="D1116" t="s">
        <v>53</v>
      </c>
      <c r="E1116">
        <v>2023</v>
      </c>
      <c r="F1116" t="s">
        <v>13</v>
      </c>
      <c r="G1116" t="s">
        <v>22</v>
      </c>
      <c r="H1116" t="s">
        <v>18</v>
      </c>
      <c r="I1116" t="s">
        <v>16</v>
      </c>
      <c r="J1116">
        <v>8161.13</v>
      </c>
      <c r="K1116">
        <v>9791.08</v>
      </c>
      <c r="L1116" s="20">
        <f>tbl_Budget[[#This Row],[Actual]]-tbl_Budget[[#This Row],[Budget]]</f>
        <v>1629.9499999999998</v>
      </c>
      <c r="M1116" s="3">
        <f>tbl_Budget[[#This Row],[Variance]]/tbl_Budget[[#This Row],[Budget]]</f>
        <v>0.19972111705119264</v>
      </c>
      <c r="N1116" t="str">
        <f>IF(tbl_Budget[[#This Row],[Variance_%]]&gt;0.05,"Overspend",IF(tbl_Budget[[#This Row],[Variance_%]]&lt;-0.05,"Underspend","On Budget"))</f>
        <v>Overspend</v>
      </c>
    </row>
    <row r="1117" spans="1:14" hidden="1">
      <c r="A1117" s="1">
        <v>45261</v>
      </c>
      <c r="B1117">
        <v>12</v>
      </c>
      <c r="C1117" t="s">
        <v>52</v>
      </c>
      <c r="D1117" t="s">
        <v>53</v>
      </c>
      <c r="E1117">
        <v>2023</v>
      </c>
      <c r="F1117" t="s">
        <v>13</v>
      </c>
      <c r="G1117" t="s">
        <v>22</v>
      </c>
      <c r="H1117" t="s">
        <v>19</v>
      </c>
      <c r="I1117" t="s">
        <v>16</v>
      </c>
      <c r="J1117">
        <v>8883.66</v>
      </c>
      <c r="K1117">
        <v>10179.530000000001</v>
      </c>
      <c r="L1117" s="20">
        <f>tbl_Budget[[#This Row],[Actual]]-tbl_Budget[[#This Row],[Budget]]</f>
        <v>1295.8700000000008</v>
      </c>
      <c r="M1117" s="3">
        <f>tbl_Budget[[#This Row],[Variance]]/tbl_Budget[[#This Row],[Budget]]</f>
        <v>0.14587118372382563</v>
      </c>
      <c r="N1117" t="str">
        <f>IF(tbl_Budget[[#This Row],[Variance_%]]&gt;0.05,"Overspend",IF(tbl_Budget[[#This Row],[Variance_%]]&lt;-0.05,"Underspend","On Budget"))</f>
        <v>Overspend</v>
      </c>
    </row>
    <row r="1118" spans="1:14" hidden="1">
      <c r="A1118" s="1">
        <v>45261</v>
      </c>
      <c r="B1118">
        <v>12</v>
      </c>
      <c r="C1118" t="s">
        <v>52</v>
      </c>
      <c r="D1118" t="s">
        <v>53</v>
      </c>
      <c r="E1118">
        <v>2023</v>
      </c>
      <c r="F1118" t="s">
        <v>13</v>
      </c>
      <c r="G1118" t="s">
        <v>23</v>
      </c>
      <c r="H1118" t="s">
        <v>15</v>
      </c>
      <c r="I1118" t="s">
        <v>16</v>
      </c>
      <c r="J1118">
        <v>8637.1</v>
      </c>
      <c r="K1118">
        <v>9618.34</v>
      </c>
      <c r="L1118" s="20">
        <f>tbl_Budget[[#This Row],[Actual]]-tbl_Budget[[#This Row],[Budget]]</f>
        <v>981.23999999999978</v>
      </c>
      <c r="M1118" s="3">
        <f>tbl_Budget[[#This Row],[Variance]]/tbl_Budget[[#This Row],[Budget]]</f>
        <v>0.11360757661715155</v>
      </c>
      <c r="N1118" t="str">
        <f>IF(tbl_Budget[[#This Row],[Variance_%]]&gt;0.05,"Overspend",IF(tbl_Budget[[#This Row],[Variance_%]]&lt;-0.05,"Underspend","On Budget"))</f>
        <v>Overspend</v>
      </c>
    </row>
    <row r="1119" spans="1:14" hidden="1">
      <c r="A1119" s="1">
        <v>45261</v>
      </c>
      <c r="B1119">
        <v>12</v>
      </c>
      <c r="C1119" t="s">
        <v>52</v>
      </c>
      <c r="D1119" t="s">
        <v>53</v>
      </c>
      <c r="E1119">
        <v>2023</v>
      </c>
      <c r="F1119" t="s">
        <v>13</v>
      </c>
      <c r="G1119" t="s">
        <v>23</v>
      </c>
      <c r="H1119" t="s">
        <v>17</v>
      </c>
      <c r="I1119" t="s">
        <v>16</v>
      </c>
      <c r="J1119">
        <v>8034.47</v>
      </c>
      <c r="K1119">
        <v>9166.19</v>
      </c>
      <c r="L1119" s="20">
        <f>tbl_Budget[[#This Row],[Actual]]-tbl_Budget[[#This Row],[Budget]]</f>
        <v>1131.7200000000003</v>
      </c>
      <c r="M1119" s="3">
        <f>tbl_Budget[[#This Row],[Variance]]/tbl_Budget[[#This Row],[Budget]]</f>
        <v>0.14085807775746256</v>
      </c>
      <c r="N1119" t="str">
        <f>IF(tbl_Budget[[#This Row],[Variance_%]]&gt;0.05,"Overspend",IF(tbl_Budget[[#This Row],[Variance_%]]&lt;-0.05,"Underspend","On Budget"))</f>
        <v>Overspend</v>
      </c>
    </row>
    <row r="1120" spans="1:14" hidden="1">
      <c r="A1120" s="1">
        <v>45261</v>
      </c>
      <c r="B1120">
        <v>12</v>
      </c>
      <c r="C1120" t="s">
        <v>52</v>
      </c>
      <c r="D1120" t="s">
        <v>53</v>
      </c>
      <c r="E1120">
        <v>2023</v>
      </c>
      <c r="F1120" t="s">
        <v>13</v>
      </c>
      <c r="G1120" t="s">
        <v>23</v>
      </c>
      <c r="H1120" t="s">
        <v>18</v>
      </c>
      <c r="I1120" t="s">
        <v>16</v>
      </c>
      <c r="J1120">
        <v>8281.69</v>
      </c>
      <c r="K1120">
        <v>9324.39</v>
      </c>
      <c r="L1120" s="20">
        <f>tbl_Budget[[#This Row],[Actual]]-tbl_Budget[[#This Row],[Budget]]</f>
        <v>1042.6999999999989</v>
      </c>
      <c r="M1120" s="3">
        <f>tbl_Budget[[#This Row],[Variance]]/tbl_Budget[[#This Row],[Budget]]</f>
        <v>0.12590425384190895</v>
      </c>
      <c r="N1120" t="str">
        <f>IF(tbl_Budget[[#This Row],[Variance_%]]&gt;0.05,"Overspend",IF(tbl_Budget[[#This Row],[Variance_%]]&lt;-0.05,"Underspend","On Budget"))</f>
        <v>Overspend</v>
      </c>
    </row>
    <row r="1121" spans="1:14" hidden="1">
      <c r="A1121" s="1">
        <v>45261</v>
      </c>
      <c r="B1121">
        <v>12</v>
      </c>
      <c r="C1121" t="s">
        <v>52</v>
      </c>
      <c r="D1121" t="s">
        <v>53</v>
      </c>
      <c r="E1121">
        <v>2023</v>
      </c>
      <c r="F1121" t="s">
        <v>13</v>
      </c>
      <c r="G1121" t="s">
        <v>23</v>
      </c>
      <c r="H1121" t="s">
        <v>19</v>
      </c>
      <c r="I1121" t="s">
        <v>16</v>
      </c>
      <c r="J1121">
        <v>9123.64</v>
      </c>
      <c r="K1121">
        <v>10158.959999999999</v>
      </c>
      <c r="L1121" s="20">
        <f>tbl_Budget[[#This Row],[Actual]]-tbl_Budget[[#This Row],[Budget]]</f>
        <v>1035.3199999999997</v>
      </c>
      <c r="M1121" s="3">
        <f>tbl_Budget[[#This Row],[Variance]]/tbl_Budget[[#This Row],[Budget]]</f>
        <v>0.11347663870998853</v>
      </c>
      <c r="N1121" t="str">
        <f>IF(tbl_Budget[[#This Row],[Variance_%]]&gt;0.05,"Overspend",IF(tbl_Budget[[#This Row],[Variance_%]]&lt;-0.05,"Underspend","On Budget"))</f>
        <v>Overspend</v>
      </c>
    </row>
    <row r="1122" spans="1:14" hidden="1">
      <c r="A1122" s="1">
        <v>45261</v>
      </c>
      <c r="B1122">
        <v>12</v>
      </c>
      <c r="C1122" t="s">
        <v>52</v>
      </c>
      <c r="D1122" t="s">
        <v>53</v>
      </c>
      <c r="E1122">
        <v>2023</v>
      </c>
      <c r="F1122" t="s">
        <v>24</v>
      </c>
      <c r="G1122" t="s">
        <v>14</v>
      </c>
      <c r="H1122" t="s">
        <v>15</v>
      </c>
      <c r="I1122" t="s">
        <v>25</v>
      </c>
      <c r="J1122">
        <v>51630.239999999998</v>
      </c>
      <c r="K1122">
        <v>44911.65</v>
      </c>
      <c r="L1122" s="20">
        <f>tbl_Budget[[#This Row],[Actual]]-tbl_Budget[[#This Row],[Budget]]</f>
        <v>-6718.5899999999965</v>
      </c>
      <c r="M1122" s="3">
        <f>tbl_Budget[[#This Row],[Variance]]/tbl_Budget[[#This Row],[Budget]]</f>
        <v>-0.13012897092866499</v>
      </c>
      <c r="N1122" t="str">
        <f>IF(tbl_Budget[[#This Row],[Variance_%]]&gt;0.05,"Overspend",IF(tbl_Budget[[#This Row],[Variance_%]]&lt;-0.05,"Underspend","On Budget"))</f>
        <v>Underspend</v>
      </c>
    </row>
    <row r="1123" spans="1:14" hidden="1">
      <c r="A1123" s="1">
        <v>45261</v>
      </c>
      <c r="B1123">
        <v>12</v>
      </c>
      <c r="C1123" t="s">
        <v>52</v>
      </c>
      <c r="D1123" t="s">
        <v>53</v>
      </c>
      <c r="E1123">
        <v>2023</v>
      </c>
      <c r="F1123" t="s">
        <v>24</v>
      </c>
      <c r="G1123" t="s">
        <v>14</v>
      </c>
      <c r="H1123" t="s">
        <v>17</v>
      </c>
      <c r="I1123" t="s">
        <v>25</v>
      </c>
      <c r="J1123">
        <v>47802.15</v>
      </c>
      <c r="K1123">
        <v>41023.86</v>
      </c>
      <c r="L1123" s="20">
        <f>tbl_Budget[[#This Row],[Actual]]-tbl_Budget[[#This Row],[Budget]]</f>
        <v>-6778.2900000000009</v>
      </c>
      <c r="M1123" s="3">
        <f>tbl_Budget[[#This Row],[Variance]]/tbl_Budget[[#This Row],[Budget]]</f>
        <v>-0.14179885214367974</v>
      </c>
      <c r="N1123" t="str">
        <f>IF(tbl_Budget[[#This Row],[Variance_%]]&gt;0.05,"Overspend",IF(tbl_Budget[[#This Row],[Variance_%]]&lt;-0.05,"Underspend","On Budget"))</f>
        <v>Underspend</v>
      </c>
    </row>
    <row r="1124" spans="1:14" hidden="1">
      <c r="A1124" s="1">
        <v>45261</v>
      </c>
      <c r="B1124">
        <v>12</v>
      </c>
      <c r="C1124" t="s">
        <v>52</v>
      </c>
      <c r="D1124" t="s">
        <v>53</v>
      </c>
      <c r="E1124">
        <v>2023</v>
      </c>
      <c r="F1124" t="s">
        <v>24</v>
      </c>
      <c r="G1124" t="s">
        <v>14</v>
      </c>
      <c r="H1124" t="s">
        <v>18</v>
      </c>
      <c r="I1124" t="s">
        <v>25</v>
      </c>
      <c r="J1124">
        <v>47846.7</v>
      </c>
      <c r="K1124">
        <v>43134.239999999998</v>
      </c>
      <c r="L1124" s="20">
        <f>tbl_Budget[[#This Row],[Actual]]-tbl_Budget[[#This Row],[Budget]]</f>
        <v>-4712.4599999999991</v>
      </c>
      <c r="M1124" s="3">
        <f>tbl_Budget[[#This Row],[Variance]]/tbl_Budget[[#This Row],[Budget]]</f>
        <v>-9.8490805008495871E-2</v>
      </c>
      <c r="N1124" t="str">
        <f>IF(tbl_Budget[[#This Row],[Variance_%]]&gt;0.05,"Overspend",IF(tbl_Budget[[#This Row],[Variance_%]]&lt;-0.05,"Underspend","On Budget"))</f>
        <v>Underspend</v>
      </c>
    </row>
    <row r="1125" spans="1:14" hidden="1">
      <c r="A1125" s="1">
        <v>45261</v>
      </c>
      <c r="B1125">
        <v>12</v>
      </c>
      <c r="C1125" t="s">
        <v>52</v>
      </c>
      <c r="D1125" t="s">
        <v>53</v>
      </c>
      <c r="E1125">
        <v>2023</v>
      </c>
      <c r="F1125" t="s">
        <v>24</v>
      </c>
      <c r="G1125" t="s">
        <v>14</v>
      </c>
      <c r="H1125" t="s">
        <v>19</v>
      </c>
      <c r="I1125" t="s">
        <v>25</v>
      </c>
      <c r="J1125">
        <v>53511.97</v>
      </c>
      <c r="K1125">
        <v>47044.41</v>
      </c>
      <c r="L1125" s="20">
        <f>tbl_Budget[[#This Row],[Actual]]-tbl_Budget[[#This Row],[Budget]]</f>
        <v>-6467.5599999999977</v>
      </c>
      <c r="M1125" s="3">
        <f>tbl_Budget[[#This Row],[Variance]]/tbl_Budget[[#This Row],[Budget]]</f>
        <v>-0.1208619305176019</v>
      </c>
      <c r="N1125" t="str">
        <f>IF(tbl_Budget[[#This Row],[Variance_%]]&gt;0.05,"Overspend",IF(tbl_Budget[[#This Row],[Variance_%]]&lt;-0.05,"Underspend","On Budget"))</f>
        <v>Underspend</v>
      </c>
    </row>
    <row r="1126" spans="1:14" hidden="1">
      <c r="A1126" s="1">
        <v>45261</v>
      </c>
      <c r="B1126">
        <v>12</v>
      </c>
      <c r="C1126" t="s">
        <v>52</v>
      </c>
      <c r="D1126" t="s">
        <v>53</v>
      </c>
      <c r="E1126">
        <v>2023</v>
      </c>
      <c r="F1126" t="s">
        <v>24</v>
      </c>
      <c r="G1126" t="s">
        <v>20</v>
      </c>
      <c r="H1126" t="s">
        <v>15</v>
      </c>
      <c r="I1126" t="s">
        <v>25</v>
      </c>
      <c r="J1126">
        <v>28726.99</v>
      </c>
      <c r="K1126">
        <v>24563.91</v>
      </c>
      <c r="L1126" s="20">
        <f>tbl_Budget[[#This Row],[Actual]]-tbl_Budget[[#This Row],[Budget]]</f>
        <v>-4163.0800000000017</v>
      </c>
      <c r="M1126" s="3">
        <f>tbl_Budget[[#This Row],[Variance]]/tbl_Budget[[#This Row],[Budget]]</f>
        <v>-0.14491876802964743</v>
      </c>
      <c r="N1126" t="str">
        <f>IF(tbl_Budget[[#This Row],[Variance_%]]&gt;0.05,"Overspend",IF(tbl_Budget[[#This Row],[Variance_%]]&lt;-0.05,"Underspend","On Budget"))</f>
        <v>Underspend</v>
      </c>
    </row>
    <row r="1127" spans="1:14" hidden="1">
      <c r="A1127" s="1">
        <v>45261</v>
      </c>
      <c r="B1127">
        <v>12</v>
      </c>
      <c r="C1127" t="s">
        <v>52</v>
      </c>
      <c r="D1127" t="s">
        <v>53</v>
      </c>
      <c r="E1127">
        <v>2023</v>
      </c>
      <c r="F1127" t="s">
        <v>24</v>
      </c>
      <c r="G1127" t="s">
        <v>20</v>
      </c>
      <c r="H1127" t="s">
        <v>17</v>
      </c>
      <c r="I1127" t="s">
        <v>25</v>
      </c>
      <c r="J1127">
        <v>26658.9</v>
      </c>
      <c r="K1127">
        <v>23016.240000000002</v>
      </c>
      <c r="L1127" s="20">
        <f>tbl_Budget[[#This Row],[Actual]]-tbl_Budget[[#This Row],[Budget]]</f>
        <v>-3642.66</v>
      </c>
      <c r="M1127" s="3">
        <f>tbl_Budget[[#This Row],[Variance]]/tbl_Budget[[#This Row],[Budget]]</f>
        <v>-0.13663954626785049</v>
      </c>
      <c r="N1127" t="str">
        <f>IF(tbl_Budget[[#This Row],[Variance_%]]&gt;0.05,"Overspend",IF(tbl_Budget[[#This Row],[Variance_%]]&lt;-0.05,"Underspend","On Budget"))</f>
        <v>Underspend</v>
      </c>
    </row>
    <row r="1128" spans="1:14" hidden="1">
      <c r="A1128" s="1">
        <v>45261</v>
      </c>
      <c r="B1128">
        <v>12</v>
      </c>
      <c r="C1128" t="s">
        <v>52</v>
      </c>
      <c r="D1128" t="s">
        <v>53</v>
      </c>
      <c r="E1128">
        <v>2023</v>
      </c>
      <c r="F1128" t="s">
        <v>24</v>
      </c>
      <c r="G1128" t="s">
        <v>20</v>
      </c>
      <c r="H1128" t="s">
        <v>18</v>
      </c>
      <c r="I1128" t="s">
        <v>25</v>
      </c>
      <c r="J1128">
        <v>26300.69</v>
      </c>
      <c r="K1128">
        <v>23030.46</v>
      </c>
      <c r="L1128" s="20">
        <f>tbl_Budget[[#This Row],[Actual]]-tbl_Budget[[#This Row],[Budget]]</f>
        <v>-3270.2299999999996</v>
      </c>
      <c r="M1128" s="3">
        <f>tbl_Budget[[#This Row],[Variance]]/tbl_Budget[[#This Row],[Budget]]</f>
        <v>-0.12434008385331334</v>
      </c>
      <c r="N1128" t="str">
        <f>IF(tbl_Budget[[#This Row],[Variance_%]]&gt;0.05,"Overspend",IF(tbl_Budget[[#This Row],[Variance_%]]&lt;-0.05,"Underspend","On Budget"))</f>
        <v>Underspend</v>
      </c>
    </row>
    <row r="1129" spans="1:14" hidden="1">
      <c r="A1129" s="1">
        <v>45261</v>
      </c>
      <c r="B1129">
        <v>12</v>
      </c>
      <c r="C1129" t="s">
        <v>52</v>
      </c>
      <c r="D1129" t="s">
        <v>53</v>
      </c>
      <c r="E1129">
        <v>2023</v>
      </c>
      <c r="F1129" t="s">
        <v>24</v>
      </c>
      <c r="G1129" t="s">
        <v>20</v>
      </c>
      <c r="H1129" t="s">
        <v>19</v>
      </c>
      <c r="I1129" t="s">
        <v>25</v>
      </c>
      <c r="J1129">
        <v>28456.28</v>
      </c>
      <c r="K1129">
        <v>24179.59</v>
      </c>
      <c r="L1129" s="20">
        <f>tbl_Budget[[#This Row],[Actual]]-tbl_Budget[[#This Row],[Budget]]</f>
        <v>-4276.6899999999987</v>
      </c>
      <c r="M1129" s="3">
        <f>tbl_Budget[[#This Row],[Variance]]/tbl_Budget[[#This Row],[Budget]]</f>
        <v>-0.15028984814599797</v>
      </c>
      <c r="N1129" t="str">
        <f>IF(tbl_Budget[[#This Row],[Variance_%]]&gt;0.05,"Overspend",IF(tbl_Budget[[#This Row],[Variance_%]]&lt;-0.05,"Underspend","On Budget"))</f>
        <v>Underspend</v>
      </c>
    </row>
    <row r="1130" spans="1:14">
      <c r="A1130" s="1">
        <v>45261</v>
      </c>
      <c r="B1130">
        <v>12</v>
      </c>
      <c r="C1130" t="s">
        <v>52</v>
      </c>
      <c r="D1130" t="s">
        <v>53</v>
      </c>
      <c r="E1130">
        <v>2023</v>
      </c>
      <c r="F1130" t="s">
        <v>24</v>
      </c>
      <c r="G1130" t="s">
        <v>21</v>
      </c>
      <c r="H1130" t="s">
        <v>15</v>
      </c>
      <c r="I1130" t="s">
        <v>25</v>
      </c>
      <c r="J1130">
        <v>11075.45</v>
      </c>
      <c r="K1130">
        <v>9634.9599999999991</v>
      </c>
      <c r="L1130" s="20">
        <f>tbl_Budget[[#This Row],[Actual]]-tbl_Budget[[#This Row],[Budget]]</f>
        <v>-1440.4900000000016</v>
      </c>
      <c r="M1130" s="3">
        <f>tbl_Budget[[#This Row],[Variance]]/tbl_Budget[[#This Row],[Budget]]</f>
        <v>-0.13006153248852204</v>
      </c>
      <c r="N1130" t="str">
        <f>IF(tbl_Budget[[#This Row],[Variance_%]]&gt;0.05,"Overspend",IF(tbl_Budget[[#This Row],[Variance_%]]&lt;-0.05,"Underspend","On Budget"))</f>
        <v>Underspend</v>
      </c>
    </row>
    <row r="1131" spans="1:14">
      <c r="A1131" s="1">
        <v>45261</v>
      </c>
      <c r="B1131">
        <v>12</v>
      </c>
      <c r="C1131" t="s">
        <v>52</v>
      </c>
      <c r="D1131" t="s">
        <v>53</v>
      </c>
      <c r="E1131">
        <v>2023</v>
      </c>
      <c r="F1131" t="s">
        <v>24</v>
      </c>
      <c r="G1131" t="s">
        <v>21</v>
      </c>
      <c r="H1131" t="s">
        <v>17</v>
      </c>
      <c r="I1131" t="s">
        <v>25</v>
      </c>
      <c r="J1131">
        <v>10462.120000000001</v>
      </c>
      <c r="K1131">
        <v>9122.74</v>
      </c>
      <c r="L1131" s="20">
        <f>tbl_Budget[[#This Row],[Actual]]-tbl_Budget[[#This Row],[Budget]]</f>
        <v>-1339.380000000001</v>
      </c>
      <c r="M1131" s="3">
        <f>tbl_Budget[[#This Row],[Variance]]/tbl_Budget[[#This Row],[Budget]]</f>
        <v>-0.12802185407928804</v>
      </c>
      <c r="N1131" t="str">
        <f>IF(tbl_Budget[[#This Row],[Variance_%]]&gt;0.05,"Overspend",IF(tbl_Budget[[#This Row],[Variance_%]]&lt;-0.05,"Underspend","On Budget"))</f>
        <v>Underspend</v>
      </c>
    </row>
    <row r="1132" spans="1:14">
      <c r="A1132" s="1">
        <v>45261</v>
      </c>
      <c r="B1132">
        <v>12</v>
      </c>
      <c r="C1132" t="s">
        <v>52</v>
      </c>
      <c r="D1132" t="s">
        <v>53</v>
      </c>
      <c r="E1132">
        <v>2023</v>
      </c>
      <c r="F1132" t="s">
        <v>24</v>
      </c>
      <c r="G1132" t="s">
        <v>21</v>
      </c>
      <c r="H1132" t="s">
        <v>18</v>
      </c>
      <c r="I1132" t="s">
        <v>25</v>
      </c>
      <c r="J1132">
        <v>10634.84</v>
      </c>
      <c r="K1132">
        <v>9243.7999999999993</v>
      </c>
      <c r="L1132" s="20">
        <f>tbl_Budget[[#This Row],[Actual]]-tbl_Budget[[#This Row],[Budget]]</f>
        <v>-1391.0400000000009</v>
      </c>
      <c r="M1132" s="3">
        <f>tbl_Budget[[#This Row],[Variance]]/tbl_Budget[[#This Row],[Budget]]</f>
        <v>-0.13080027532149058</v>
      </c>
      <c r="N1132" t="str">
        <f>IF(tbl_Budget[[#This Row],[Variance_%]]&gt;0.05,"Overspend",IF(tbl_Budget[[#This Row],[Variance_%]]&lt;-0.05,"Underspend","On Budget"))</f>
        <v>Underspend</v>
      </c>
    </row>
    <row r="1133" spans="1:14">
      <c r="A1133" s="1">
        <v>45261</v>
      </c>
      <c r="B1133">
        <v>12</v>
      </c>
      <c r="C1133" t="s">
        <v>52</v>
      </c>
      <c r="D1133" t="s">
        <v>53</v>
      </c>
      <c r="E1133">
        <v>2023</v>
      </c>
      <c r="F1133" t="s">
        <v>24</v>
      </c>
      <c r="G1133" t="s">
        <v>21</v>
      </c>
      <c r="H1133" t="s">
        <v>19</v>
      </c>
      <c r="I1133" t="s">
        <v>25</v>
      </c>
      <c r="J1133">
        <v>10935.96</v>
      </c>
      <c r="K1133">
        <v>9892.91</v>
      </c>
      <c r="L1133" s="20">
        <f>tbl_Budget[[#This Row],[Actual]]-tbl_Budget[[#This Row],[Budget]]</f>
        <v>-1043.0499999999993</v>
      </c>
      <c r="M1133" s="3">
        <f>tbl_Budget[[#This Row],[Variance]]/tbl_Budget[[#This Row],[Budget]]</f>
        <v>-9.5378000651063041E-2</v>
      </c>
      <c r="N1133" t="str">
        <f>IF(tbl_Budget[[#This Row],[Variance_%]]&gt;0.05,"Overspend",IF(tbl_Budget[[#This Row],[Variance_%]]&lt;-0.05,"Underspend","On Budget"))</f>
        <v>Underspend</v>
      </c>
    </row>
    <row r="1134" spans="1:14" hidden="1">
      <c r="A1134" s="1">
        <v>45261</v>
      </c>
      <c r="B1134">
        <v>12</v>
      </c>
      <c r="C1134" t="s">
        <v>52</v>
      </c>
      <c r="D1134" t="s">
        <v>53</v>
      </c>
      <c r="E1134">
        <v>2023</v>
      </c>
      <c r="F1134" t="s">
        <v>24</v>
      </c>
      <c r="G1134" t="s">
        <v>22</v>
      </c>
      <c r="H1134" t="s">
        <v>15</v>
      </c>
      <c r="I1134" t="s">
        <v>25</v>
      </c>
      <c r="J1134">
        <v>9076.0400000000009</v>
      </c>
      <c r="K1134">
        <v>8046.18</v>
      </c>
      <c r="L1134" s="20">
        <f>tbl_Budget[[#This Row],[Actual]]-tbl_Budget[[#This Row],[Budget]]</f>
        <v>-1029.8600000000006</v>
      </c>
      <c r="M1134" s="3">
        <f>tbl_Budget[[#This Row],[Variance]]/tbl_Budget[[#This Row],[Budget]]</f>
        <v>-0.11347019184578301</v>
      </c>
      <c r="N1134" t="str">
        <f>IF(tbl_Budget[[#This Row],[Variance_%]]&gt;0.05,"Overspend",IF(tbl_Budget[[#This Row],[Variance_%]]&lt;-0.05,"Underspend","On Budget"))</f>
        <v>Underspend</v>
      </c>
    </row>
    <row r="1135" spans="1:14" hidden="1">
      <c r="A1135" s="1">
        <v>45261</v>
      </c>
      <c r="B1135">
        <v>12</v>
      </c>
      <c r="C1135" t="s">
        <v>52</v>
      </c>
      <c r="D1135" t="s">
        <v>53</v>
      </c>
      <c r="E1135">
        <v>2023</v>
      </c>
      <c r="F1135" t="s">
        <v>24</v>
      </c>
      <c r="G1135" t="s">
        <v>22</v>
      </c>
      <c r="H1135" t="s">
        <v>17</v>
      </c>
      <c r="I1135" t="s">
        <v>25</v>
      </c>
      <c r="J1135">
        <v>8561.89</v>
      </c>
      <c r="K1135">
        <v>7514</v>
      </c>
      <c r="L1135" s="20">
        <f>tbl_Budget[[#This Row],[Actual]]-tbl_Budget[[#This Row],[Budget]]</f>
        <v>-1047.8899999999994</v>
      </c>
      <c r="M1135" s="3">
        <f>tbl_Budget[[#This Row],[Variance]]/tbl_Budget[[#This Row],[Budget]]</f>
        <v>-0.12239003304176993</v>
      </c>
      <c r="N1135" t="str">
        <f>IF(tbl_Budget[[#This Row],[Variance_%]]&gt;0.05,"Overspend",IF(tbl_Budget[[#This Row],[Variance_%]]&lt;-0.05,"Underspend","On Budget"))</f>
        <v>Underspend</v>
      </c>
    </row>
    <row r="1136" spans="1:14" hidden="1">
      <c r="A1136" s="1">
        <v>45261</v>
      </c>
      <c r="B1136">
        <v>12</v>
      </c>
      <c r="C1136" t="s">
        <v>52</v>
      </c>
      <c r="D1136" t="s">
        <v>53</v>
      </c>
      <c r="E1136">
        <v>2023</v>
      </c>
      <c r="F1136" t="s">
        <v>24</v>
      </c>
      <c r="G1136" t="s">
        <v>22</v>
      </c>
      <c r="H1136" t="s">
        <v>18</v>
      </c>
      <c r="I1136" t="s">
        <v>25</v>
      </c>
      <c r="J1136">
        <v>8332.14</v>
      </c>
      <c r="K1136">
        <v>7238.59</v>
      </c>
      <c r="L1136" s="20">
        <f>tbl_Budget[[#This Row],[Actual]]-tbl_Budget[[#This Row],[Budget]]</f>
        <v>-1093.5499999999993</v>
      </c>
      <c r="M1136" s="3">
        <f>tbl_Budget[[#This Row],[Variance]]/tbl_Budget[[#This Row],[Budget]]</f>
        <v>-0.13124479425453717</v>
      </c>
      <c r="N1136" t="str">
        <f>IF(tbl_Budget[[#This Row],[Variance_%]]&gt;0.05,"Overspend",IF(tbl_Budget[[#This Row],[Variance_%]]&lt;-0.05,"Underspend","On Budget"))</f>
        <v>Underspend</v>
      </c>
    </row>
    <row r="1137" spans="1:14" hidden="1">
      <c r="A1137" s="1">
        <v>45261</v>
      </c>
      <c r="B1137">
        <v>12</v>
      </c>
      <c r="C1137" t="s">
        <v>52</v>
      </c>
      <c r="D1137" t="s">
        <v>53</v>
      </c>
      <c r="E1137">
        <v>2023</v>
      </c>
      <c r="F1137" t="s">
        <v>24</v>
      </c>
      <c r="G1137" t="s">
        <v>22</v>
      </c>
      <c r="H1137" t="s">
        <v>19</v>
      </c>
      <c r="I1137" t="s">
        <v>25</v>
      </c>
      <c r="J1137">
        <v>9348.83</v>
      </c>
      <c r="K1137">
        <v>8203.4500000000007</v>
      </c>
      <c r="L1137" s="20">
        <f>tbl_Budget[[#This Row],[Actual]]-tbl_Budget[[#This Row],[Budget]]</f>
        <v>-1145.3799999999992</v>
      </c>
      <c r="M1137" s="3">
        <f>tbl_Budget[[#This Row],[Variance]]/tbl_Budget[[#This Row],[Budget]]</f>
        <v>-0.12251586562168733</v>
      </c>
      <c r="N1137" t="str">
        <f>IF(tbl_Budget[[#This Row],[Variance_%]]&gt;0.05,"Overspend",IF(tbl_Budget[[#This Row],[Variance_%]]&lt;-0.05,"Underspend","On Budget"))</f>
        <v>Underspend</v>
      </c>
    </row>
    <row r="1138" spans="1:14" hidden="1">
      <c r="A1138" s="1">
        <v>45261</v>
      </c>
      <c r="B1138">
        <v>12</v>
      </c>
      <c r="C1138" t="s">
        <v>52</v>
      </c>
      <c r="D1138" t="s">
        <v>53</v>
      </c>
      <c r="E1138">
        <v>2023</v>
      </c>
      <c r="F1138" t="s">
        <v>24</v>
      </c>
      <c r="G1138" t="s">
        <v>23</v>
      </c>
      <c r="H1138" t="s">
        <v>15</v>
      </c>
      <c r="I1138" t="s">
        <v>25</v>
      </c>
      <c r="J1138">
        <v>7494.2</v>
      </c>
      <c r="K1138">
        <v>6724.14</v>
      </c>
      <c r="L1138" s="20">
        <f>tbl_Budget[[#This Row],[Actual]]-tbl_Budget[[#This Row],[Budget]]</f>
        <v>-770.05999999999949</v>
      </c>
      <c r="M1138" s="3">
        <f>tbl_Budget[[#This Row],[Variance]]/tbl_Budget[[#This Row],[Budget]]</f>
        <v>-0.10275412986042533</v>
      </c>
      <c r="N1138" t="str">
        <f>IF(tbl_Budget[[#This Row],[Variance_%]]&gt;0.05,"Overspend",IF(tbl_Budget[[#This Row],[Variance_%]]&lt;-0.05,"Underspend","On Budget"))</f>
        <v>Underspend</v>
      </c>
    </row>
    <row r="1139" spans="1:14" hidden="1">
      <c r="A1139" s="1">
        <v>45261</v>
      </c>
      <c r="B1139">
        <v>12</v>
      </c>
      <c r="C1139" t="s">
        <v>52</v>
      </c>
      <c r="D1139" t="s">
        <v>53</v>
      </c>
      <c r="E1139">
        <v>2023</v>
      </c>
      <c r="F1139" t="s">
        <v>24</v>
      </c>
      <c r="G1139" t="s">
        <v>23</v>
      </c>
      <c r="H1139" t="s">
        <v>17</v>
      </c>
      <c r="I1139" t="s">
        <v>25</v>
      </c>
      <c r="J1139">
        <v>7189.59</v>
      </c>
      <c r="K1139">
        <v>6298.28</v>
      </c>
      <c r="L1139" s="20">
        <f>tbl_Budget[[#This Row],[Actual]]-tbl_Budget[[#This Row],[Budget]]</f>
        <v>-891.3100000000004</v>
      </c>
      <c r="M1139" s="3">
        <f>tbl_Budget[[#This Row],[Variance]]/tbl_Budget[[#This Row],[Budget]]</f>
        <v>-0.12397229883762501</v>
      </c>
      <c r="N1139" t="str">
        <f>IF(tbl_Budget[[#This Row],[Variance_%]]&gt;0.05,"Overspend",IF(tbl_Budget[[#This Row],[Variance_%]]&lt;-0.05,"Underspend","On Budget"))</f>
        <v>Underspend</v>
      </c>
    </row>
    <row r="1140" spans="1:14" hidden="1">
      <c r="A1140" s="1">
        <v>45261</v>
      </c>
      <c r="B1140">
        <v>12</v>
      </c>
      <c r="C1140" t="s">
        <v>52</v>
      </c>
      <c r="D1140" t="s">
        <v>53</v>
      </c>
      <c r="E1140">
        <v>2023</v>
      </c>
      <c r="F1140" t="s">
        <v>24</v>
      </c>
      <c r="G1140" t="s">
        <v>23</v>
      </c>
      <c r="H1140" t="s">
        <v>18</v>
      </c>
      <c r="I1140" t="s">
        <v>25</v>
      </c>
      <c r="J1140">
        <v>7382.92</v>
      </c>
      <c r="K1140">
        <v>6477.13</v>
      </c>
      <c r="L1140" s="20">
        <f>tbl_Budget[[#This Row],[Actual]]-tbl_Budget[[#This Row],[Budget]]</f>
        <v>-905.79</v>
      </c>
      <c r="M1140" s="3">
        <f>tbl_Budget[[#This Row],[Variance]]/tbl_Budget[[#This Row],[Budget]]</f>
        <v>-0.12268722944309297</v>
      </c>
      <c r="N1140" t="str">
        <f>IF(tbl_Budget[[#This Row],[Variance_%]]&gt;0.05,"Overspend",IF(tbl_Budget[[#This Row],[Variance_%]]&lt;-0.05,"Underspend","On Budget"))</f>
        <v>Underspend</v>
      </c>
    </row>
    <row r="1141" spans="1:14" hidden="1">
      <c r="A1141" s="1">
        <v>45261</v>
      </c>
      <c r="B1141">
        <v>12</v>
      </c>
      <c r="C1141" t="s">
        <v>52</v>
      </c>
      <c r="D1141" t="s">
        <v>53</v>
      </c>
      <c r="E1141">
        <v>2023</v>
      </c>
      <c r="F1141" t="s">
        <v>24</v>
      </c>
      <c r="G1141" t="s">
        <v>23</v>
      </c>
      <c r="H1141" t="s">
        <v>19</v>
      </c>
      <c r="I1141" t="s">
        <v>25</v>
      </c>
      <c r="J1141">
        <v>8068.11</v>
      </c>
      <c r="K1141">
        <v>7243.21</v>
      </c>
      <c r="L1141" s="20">
        <f>tbl_Budget[[#This Row],[Actual]]-tbl_Budget[[#This Row],[Budget]]</f>
        <v>-824.89999999999964</v>
      </c>
      <c r="M1141" s="3">
        <f>tbl_Budget[[#This Row],[Variance]]/tbl_Budget[[#This Row],[Budget]]</f>
        <v>-0.10224203685869425</v>
      </c>
      <c r="N1141" t="str">
        <f>IF(tbl_Budget[[#This Row],[Variance_%]]&gt;0.05,"Overspend",IF(tbl_Budget[[#This Row],[Variance_%]]&lt;-0.05,"Underspend","On Budget"))</f>
        <v>Underspend</v>
      </c>
    </row>
    <row r="1142" spans="1:14" hidden="1">
      <c r="A1142" s="1">
        <v>45261</v>
      </c>
      <c r="B1142">
        <v>12</v>
      </c>
      <c r="C1142" t="s">
        <v>52</v>
      </c>
      <c r="D1142" t="s">
        <v>53</v>
      </c>
      <c r="E1142">
        <v>2023</v>
      </c>
      <c r="F1142" t="s">
        <v>26</v>
      </c>
      <c r="G1142" t="s">
        <v>14</v>
      </c>
      <c r="H1142" t="s">
        <v>15</v>
      </c>
      <c r="I1142" t="s">
        <v>27</v>
      </c>
      <c r="J1142">
        <v>43976.18</v>
      </c>
      <c r="K1142">
        <v>44818.95</v>
      </c>
      <c r="L1142" s="20">
        <f>tbl_Budget[[#This Row],[Actual]]-tbl_Budget[[#This Row],[Budget]]</f>
        <v>842.7699999999968</v>
      </c>
      <c r="M1142" s="3">
        <f>tbl_Budget[[#This Row],[Variance]]/tbl_Budget[[#This Row],[Budget]]</f>
        <v>1.9164238458183425E-2</v>
      </c>
      <c r="N1142" t="str">
        <f>IF(tbl_Budget[[#This Row],[Variance_%]]&gt;0.05,"Overspend",IF(tbl_Budget[[#This Row],[Variance_%]]&lt;-0.05,"Underspend","On Budget"))</f>
        <v>On Budget</v>
      </c>
    </row>
    <row r="1143" spans="1:14" hidden="1">
      <c r="A1143" s="1">
        <v>45261</v>
      </c>
      <c r="B1143">
        <v>12</v>
      </c>
      <c r="C1143" t="s">
        <v>52</v>
      </c>
      <c r="D1143" t="s">
        <v>53</v>
      </c>
      <c r="E1143">
        <v>2023</v>
      </c>
      <c r="F1143" t="s">
        <v>26</v>
      </c>
      <c r="G1143" t="s">
        <v>14</v>
      </c>
      <c r="H1143" t="s">
        <v>17</v>
      </c>
      <c r="I1143" t="s">
        <v>27</v>
      </c>
      <c r="J1143">
        <v>42145.82</v>
      </c>
      <c r="K1143">
        <v>42864.55</v>
      </c>
      <c r="L1143" s="20">
        <f>tbl_Budget[[#This Row],[Actual]]-tbl_Budget[[#This Row],[Budget]]</f>
        <v>718.7300000000032</v>
      </c>
      <c r="M1143" s="3">
        <f>tbl_Budget[[#This Row],[Variance]]/tbl_Budget[[#This Row],[Budget]]</f>
        <v>1.7053411227970015E-2</v>
      </c>
      <c r="N1143" t="str">
        <f>IF(tbl_Budget[[#This Row],[Variance_%]]&gt;0.05,"Overspend",IF(tbl_Budget[[#This Row],[Variance_%]]&lt;-0.05,"Underspend","On Budget"))</f>
        <v>On Budget</v>
      </c>
    </row>
    <row r="1144" spans="1:14" hidden="1">
      <c r="A1144" s="1">
        <v>45261</v>
      </c>
      <c r="B1144">
        <v>12</v>
      </c>
      <c r="C1144" t="s">
        <v>52</v>
      </c>
      <c r="D1144" t="s">
        <v>53</v>
      </c>
      <c r="E1144">
        <v>2023</v>
      </c>
      <c r="F1144" t="s">
        <v>26</v>
      </c>
      <c r="G1144" t="s">
        <v>14</v>
      </c>
      <c r="H1144" t="s">
        <v>18</v>
      </c>
      <c r="I1144" t="s">
        <v>27</v>
      </c>
      <c r="J1144">
        <v>43297.48</v>
      </c>
      <c r="K1144">
        <v>43680.87</v>
      </c>
      <c r="L1144" s="20">
        <f>tbl_Budget[[#This Row],[Actual]]-tbl_Budget[[#This Row],[Budget]]</f>
        <v>383.38999999999942</v>
      </c>
      <c r="M1144" s="3">
        <f>tbl_Budget[[#This Row],[Variance]]/tbl_Budget[[#This Row],[Budget]]</f>
        <v>8.8547878537041744E-3</v>
      </c>
      <c r="N1144" t="str">
        <f>IF(tbl_Budget[[#This Row],[Variance_%]]&gt;0.05,"Overspend",IF(tbl_Budget[[#This Row],[Variance_%]]&lt;-0.05,"Underspend","On Budget"))</f>
        <v>On Budget</v>
      </c>
    </row>
    <row r="1145" spans="1:14" hidden="1">
      <c r="A1145" s="1">
        <v>45261</v>
      </c>
      <c r="B1145">
        <v>12</v>
      </c>
      <c r="C1145" t="s">
        <v>52</v>
      </c>
      <c r="D1145" t="s">
        <v>53</v>
      </c>
      <c r="E1145">
        <v>2023</v>
      </c>
      <c r="F1145" t="s">
        <v>26</v>
      </c>
      <c r="G1145" t="s">
        <v>14</v>
      </c>
      <c r="H1145" t="s">
        <v>19</v>
      </c>
      <c r="I1145" t="s">
        <v>27</v>
      </c>
      <c r="J1145">
        <v>45838.64</v>
      </c>
      <c r="K1145">
        <v>45622.879999999997</v>
      </c>
      <c r="L1145" s="20">
        <f>tbl_Budget[[#This Row],[Actual]]-tbl_Budget[[#This Row],[Budget]]</f>
        <v>-215.76000000000204</v>
      </c>
      <c r="M1145" s="3">
        <f>tbl_Budget[[#This Row],[Variance]]/tbl_Budget[[#This Row],[Budget]]</f>
        <v>-4.706945930333056E-3</v>
      </c>
      <c r="N1145" t="str">
        <f>IF(tbl_Budget[[#This Row],[Variance_%]]&gt;0.05,"Overspend",IF(tbl_Budget[[#This Row],[Variance_%]]&lt;-0.05,"Underspend","On Budget"))</f>
        <v>On Budget</v>
      </c>
    </row>
    <row r="1146" spans="1:14" hidden="1">
      <c r="A1146" s="1">
        <v>45261</v>
      </c>
      <c r="B1146">
        <v>12</v>
      </c>
      <c r="C1146" t="s">
        <v>52</v>
      </c>
      <c r="D1146" t="s">
        <v>53</v>
      </c>
      <c r="E1146">
        <v>2023</v>
      </c>
      <c r="F1146" t="s">
        <v>26</v>
      </c>
      <c r="G1146" t="s">
        <v>20</v>
      </c>
      <c r="H1146" t="s">
        <v>15</v>
      </c>
      <c r="I1146" t="s">
        <v>27</v>
      </c>
      <c r="J1146">
        <v>15330.56</v>
      </c>
      <c r="K1146">
        <v>15317.3</v>
      </c>
      <c r="L1146" s="20">
        <f>tbl_Budget[[#This Row],[Actual]]-tbl_Budget[[#This Row],[Budget]]</f>
        <v>-13.260000000000218</v>
      </c>
      <c r="M1146" s="3">
        <f>tbl_Budget[[#This Row],[Variance]]/tbl_Budget[[#This Row],[Budget]]</f>
        <v>-8.6493904984555152E-4</v>
      </c>
      <c r="N1146" t="str">
        <f>IF(tbl_Budget[[#This Row],[Variance_%]]&gt;0.05,"Overspend",IF(tbl_Budget[[#This Row],[Variance_%]]&lt;-0.05,"Underspend","On Budget"))</f>
        <v>On Budget</v>
      </c>
    </row>
    <row r="1147" spans="1:14" hidden="1">
      <c r="A1147" s="1">
        <v>45261</v>
      </c>
      <c r="B1147">
        <v>12</v>
      </c>
      <c r="C1147" t="s">
        <v>52</v>
      </c>
      <c r="D1147" t="s">
        <v>53</v>
      </c>
      <c r="E1147">
        <v>2023</v>
      </c>
      <c r="F1147" t="s">
        <v>26</v>
      </c>
      <c r="G1147" t="s">
        <v>20</v>
      </c>
      <c r="H1147" t="s">
        <v>17</v>
      </c>
      <c r="I1147" t="s">
        <v>27</v>
      </c>
      <c r="J1147">
        <v>14552.42</v>
      </c>
      <c r="K1147">
        <v>14818.1</v>
      </c>
      <c r="L1147" s="20">
        <f>tbl_Budget[[#This Row],[Actual]]-tbl_Budget[[#This Row],[Budget]]</f>
        <v>265.68000000000029</v>
      </c>
      <c r="M1147" s="3">
        <f>tbl_Budget[[#This Row],[Variance]]/tbl_Budget[[#This Row],[Budget]]</f>
        <v>1.8256757295350208E-2</v>
      </c>
      <c r="N1147" t="str">
        <f>IF(tbl_Budget[[#This Row],[Variance_%]]&gt;0.05,"Overspend",IF(tbl_Budget[[#This Row],[Variance_%]]&lt;-0.05,"Underspend","On Budget"))</f>
        <v>On Budget</v>
      </c>
    </row>
    <row r="1148" spans="1:14" hidden="1">
      <c r="A1148" s="1">
        <v>45261</v>
      </c>
      <c r="B1148">
        <v>12</v>
      </c>
      <c r="C1148" t="s">
        <v>52</v>
      </c>
      <c r="D1148" t="s">
        <v>53</v>
      </c>
      <c r="E1148">
        <v>2023</v>
      </c>
      <c r="F1148" t="s">
        <v>26</v>
      </c>
      <c r="G1148" t="s">
        <v>20</v>
      </c>
      <c r="H1148" t="s">
        <v>18</v>
      </c>
      <c r="I1148" t="s">
        <v>27</v>
      </c>
      <c r="J1148">
        <v>14478.41</v>
      </c>
      <c r="K1148">
        <v>14760.68</v>
      </c>
      <c r="L1148" s="20">
        <f>tbl_Budget[[#This Row],[Actual]]-tbl_Budget[[#This Row],[Budget]]</f>
        <v>282.27000000000044</v>
      </c>
      <c r="M1148" s="3">
        <f>tbl_Budget[[#This Row],[Variance]]/tbl_Budget[[#This Row],[Budget]]</f>
        <v>1.9495925312240807E-2</v>
      </c>
      <c r="N1148" t="str">
        <f>IF(tbl_Budget[[#This Row],[Variance_%]]&gt;0.05,"Overspend",IF(tbl_Budget[[#This Row],[Variance_%]]&lt;-0.05,"Underspend","On Budget"))</f>
        <v>On Budget</v>
      </c>
    </row>
    <row r="1149" spans="1:14" hidden="1">
      <c r="A1149" s="1">
        <v>45261</v>
      </c>
      <c r="B1149">
        <v>12</v>
      </c>
      <c r="C1149" t="s">
        <v>52</v>
      </c>
      <c r="D1149" t="s">
        <v>53</v>
      </c>
      <c r="E1149">
        <v>2023</v>
      </c>
      <c r="F1149" t="s">
        <v>26</v>
      </c>
      <c r="G1149" t="s">
        <v>20</v>
      </c>
      <c r="H1149" t="s">
        <v>19</v>
      </c>
      <c r="I1149" t="s">
        <v>27</v>
      </c>
      <c r="J1149">
        <v>15658.86</v>
      </c>
      <c r="K1149">
        <v>15233.71</v>
      </c>
      <c r="L1149" s="20">
        <f>tbl_Budget[[#This Row],[Actual]]-tbl_Budget[[#This Row],[Budget]]</f>
        <v>-425.15000000000146</v>
      </c>
      <c r="M1149" s="3">
        <f>tbl_Budget[[#This Row],[Variance]]/tbl_Budget[[#This Row],[Budget]]</f>
        <v>-2.7150763210093291E-2</v>
      </c>
      <c r="N1149" t="str">
        <f>IF(tbl_Budget[[#This Row],[Variance_%]]&gt;0.05,"Overspend",IF(tbl_Budget[[#This Row],[Variance_%]]&lt;-0.05,"Underspend","On Budget"))</f>
        <v>On Budget</v>
      </c>
    </row>
    <row r="1150" spans="1:14">
      <c r="A1150" s="1">
        <v>45261</v>
      </c>
      <c r="B1150">
        <v>12</v>
      </c>
      <c r="C1150" t="s">
        <v>52</v>
      </c>
      <c r="D1150" t="s">
        <v>53</v>
      </c>
      <c r="E1150">
        <v>2023</v>
      </c>
      <c r="F1150" t="s">
        <v>26</v>
      </c>
      <c r="G1150" t="s">
        <v>21</v>
      </c>
      <c r="H1150" t="s">
        <v>15</v>
      </c>
      <c r="I1150" t="s">
        <v>27</v>
      </c>
      <c r="J1150">
        <v>8553.64</v>
      </c>
      <c r="K1150">
        <v>8587.49</v>
      </c>
      <c r="L1150" s="20">
        <f>tbl_Budget[[#This Row],[Actual]]-tbl_Budget[[#This Row],[Budget]]</f>
        <v>33.850000000000364</v>
      </c>
      <c r="M1150" s="3">
        <f>tbl_Budget[[#This Row],[Variance]]/tbl_Budget[[#This Row],[Budget]]</f>
        <v>3.9573795483560641E-3</v>
      </c>
      <c r="N1150" t="str">
        <f>IF(tbl_Budget[[#This Row],[Variance_%]]&gt;0.05,"Overspend",IF(tbl_Budget[[#This Row],[Variance_%]]&lt;-0.05,"Underspend","On Budget"))</f>
        <v>On Budget</v>
      </c>
    </row>
    <row r="1151" spans="1:14">
      <c r="A1151" s="1">
        <v>45261</v>
      </c>
      <c r="B1151">
        <v>12</v>
      </c>
      <c r="C1151" t="s">
        <v>52</v>
      </c>
      <c r="D1151" t="s">
        <v>53</v>
      </c>
      <c r="E1151">
        <v>2023</v>
      </c>
      <c r="F1151" t="s">
        <v>26</v>
      </c>
      <c r="G1151" t="s">
        <v>21</v>
      </c>
      <c r="H1151" t="s">
        <v>17</v>
      </c>
      <c r="I1151" t="s">
        <v>27</v>
      </c>
      <c r="J1151">
        <v>8182.64</v>
      </c>
      <c r="K1151">
        <v>8234.9699999999993</v>
      </c>
      <c r="L1151" s="20">
        <f>tbl_Budget[[#This Row],[Actual]]-tbl_Budget[[#This Row],[Budget]]</f>
        <v>52.329999999999018</v>
      </c>
      <c r="M1151" s="3">
        <f>tbl_Budget[[#This Row],[Variance]]/tbl_Budget[[#This Row],[Budget]]</f>
        <v>6.3952465219047905E-3</v>
      </c>
      <c r="N1151" t="str">
        <f>IF(tbl_Budget[[#This Row],[Variance_%]]&gt;0.05,"Overspend",IF(tbl_Budget[[#This Row],[Variance_%]]&lt;-0.05,"Underspend","On Budget"))</f>
        <v>On Budget</v>
      </c>
    </row>
    <row r="1152" spans="1:14">
      <c r="A1152" s="1">
        <v>45261</v>
      </c>
      <c r="B1152">
        <v>12</v>
      </c>
      <c r="C1152" t="s">
        <v>52</v>
      </c>
      <c r="D1152" t="s">
        <v>53</v>
      </c>
      <c r="E1152">
        <v>2023</v>
      </c>
      <c r="F1152" t="s">
        <v>26</v>
      </c>
      <c r="G1152" t="s">
        <v>21</v>
      </c>
      <c r="H1152" t="s">
        <v>18</v>
      </c>
      <c r="I1152" t="s">
        <v>27</v>
      </c>
      <c r="J1152">
        <v>8422.99</v>
      </c>
      <c r="K1152">
        <v>8610.9599999999991</v>
      </c>
      <c r="L1152" s="20">
        <f>tbl_Budget[[#This Row],[Actual]]-tbl_Budget[[#This Row],[Budget]]</f>
        <v>187.96999999999935</v>
      </c>
      <c r="M1152" s="3">
        <f>tbl_Budget[[#This Row],[Variance]]/tbl_Budget[[#This Row],[Budget]]</f>
        <v>2.2316303355459206E-2</v>
      </c>
      <c r="N1152" t="str">
        <f>IF(tbl_Budget[[#This Row],[Variance_%]]&gt;0.05,"Overspend",IF(tbl_Budget[[#This Row],[Variance_%]]&lt;-0.05,"Underspend","On Budget"))</f>
        <v>On Budget</v>
      </c>
    </row>
    <row r="1153" spans="1:14">
      <c r="A1153" s="1">
        <v>45261</v>
      </c>
      <c r="B1153">
        <v>12</v>
      </c>
      <c r="C1153" t="s">
        <v>52</v>
      </c>
      <c r="D1153" t="s">
        <v>53</v>
      </c>
      <c r="E1153">
        <v>2023</v>
      </c>
      <c r="F1153" t="s">
        <v>26</v>
      </c>
      <c r="G1153" t="s">
        <v>21</v>
      </c>
      <c r="H1153" t="s">
        <v>19</v>
      </c>
      <c r="I1153" t="s">
        <v>27</v>
      </c>
      <c r="J1153">
        <v>9019.01</v>
      </c>
      <c r="K1153">
        <v>9292.92</v>
      </c>
      <c r="L1153" s="20">
        <f>tbl_Budget[[#This Row],[Actual]]-tbl_Budget[[#This Row],[Budget]]</f>
        <v>273.90999999999985</v>
      </c>
      <c r="M1153" s="3">
        <f>tbl_Budget[[#This Row],[Variance]]/tbl_Budget[[#This Row],[Budget]]</f>
        <v>3.0370295631116925E-2</v>
      </c>
      <c r="N1153" t="str">
        <f>IF(tbl_Budget[[#This Row],[Variance_%]]&gt;0.05,"Overspend",IF(tbl_Budget[[#This Row],[Variance_%]]&lt;-0.05,"Underspend","On Budget"))</f>
        <v>On Budget</v>
      </c>
    </row>
    <row r="1154" spans="1:14" hidden="1">
      <c r="A1154" s="1">
        <v>45261</v>
      </c>
      <c r="B1154">
        <v>12</v>
      </c>
      <c r="C1154" t="s">
        <v>52</v>
      </c>
      <c r="D1154" t="s">
        <v>53</v>
      </c>
      <c r="E1154">
        <v>2023</v>
      </c>
      <c r="F1154" t="s">
        <v>26</v>
      </c>
      <c r="G1154" t="s">
        <v>22</v>
      </c>
      <c r="H1154" t="s">
        <v>15</v>
      </c>
      <c r="I1154" t="s">
        <v>27</v>
      </c>
      <c r="J1154">
        <v>6940.48</v>
      </c>
      <c r="K1154">
        <v>6809.86</v>
      </c>
      <c r="L1154" s="20">
        <f>tbl_Budget[[#This Row],[Actual]]-tbl_Budget[[#This Row],[Budget]]</f>
        <v>-130.61999999999989</v>
      </c>
      <c r="M1154" s="3">
        <f>tbl_Budget[[#This Row],[Variance]]/tbl_Budget[[#This Row],[Budget]]</f>
        <v>-1.8820023975286999E-2</v>
      </c>
      <c r="N1154" t="str">
        <f>IF(tbl_Budget[[#This Row],[Variance_%]]&gt;0.05,"Overspend",IF(tbl_Budget[[#This Row],[Variance_%]]&lt;-0.05,"Underspend","On Budget"))</f>
        <v>On Budget</v>
      </c>
    </row>
    <row r="1155" spans="1:14" hidden="1">
      <c r="A1155" s="1">
        <v>45261</v>
      </c>
      <c r="B1155">
        <v>12</v>
      </c>
      <c r="C1155" t="s">
        <v>52</v>
      </c>
      <c r="D1155" t="s">
        <v>53</v>
      </c>
      <c r="E1155">
        <v>2023</v>
      </c>
      <c r="F1155" t="s">
        <v>26</v>
      </c>
      <c r="G1155" t="s">
        <v>22</v>
      </c>
      <c r="H1155" t="s">
        <v>17</v>
      </c>
      <c r="I1155" t="s">
        <v>27</v>
      </c>
      <c r="J1155">
        <v>6664.95</v>
      </c>
      <c r="K1155">
        <v>6722.44</v>
      </c>
      <c r="L1155" s="20">
        <f>tbl_Budget[[#This Row],[Actual]]-tbl_Budget[[#This Row],[Budget]]</f>
        <v>57.489999999999782</v>
      </c>
      <c r="M1155" s="3">
        <f>tbl_Budget[[#This Row],[Variance]]/tbl_Budget[[#This Row],[Budget]]</f>
        <v>8.6257211231891891E-3</v>
      </c>
      <c r="N1155" t="str">
        <f>IF(tbl_Budget[[#This Row],[Variance_%]]&gt;0.05,"Overspend",IF(tbl_Budget[[#This Row],[Variance_%]]&lt;-0.05,"Underspend","On Budget"))</f>
        <v>On Budget</v>
      </c>
    </row>
    <row r="1156" spans="1:14" hidden="1">
      <c r="A1156" s="1">
        <v>45261</v>
      </c>
      <c r="B1156">
        <v>12</v>
      </c>
      <c r="C1156" t="s">
        <v>52</v>
      </c>
      <c r="D1156" t="s">
        <v>53</v>
      </c>
      <c r="E1156">
        <v>2023</v>
      </c>
      <c r="F1156" t="s">
        <v>26</v>
      </c>
      <c r="G1156" t="s">
        <v>22</v>
      </c>
      <c r="H1156" t="s">
        <v>18</v>
      </c>
      <c r="I1156" t="s">
        <v>27</v>
      </c>
      <c r="J1156">
        <v>6537.59</v>
      </c>
      <c r="K1156">
        <v>6491.66</v>
      </c>
      <c r="L1156" s="20">
        <f>tbl_Budget[[#This Row],[Actual]]-tbl_Budget[[#This Row],[Budget]]</f>
        <v>-45.930000000000291</v>
      </c>
      <c r="M1156" s="3">
        <f>tbl_Budget[[#This Row],[Variance]]/tbl_Budget[[#This Row],[Budget]]</f>
        <v>-7.0255246964095776E-3</v>
      </c>
      <c r="N1156" t="str">
        <f>IF(tbl_Budget[[#This Row],[Variance_%]]&gt;0.05,"Overspend",IF(tbl_Budget[[#This Row],[Variance_%]]&lt;-0.05,"Underspend","On Budget"))</f>
        <v>On Budget</v>
      </c>
    </row>
    <row r="1157" spans="1:14" hidden="1">
      <c r="A1157" s="1">
        <v>45261</v>
      </c>
      <c r="B1157">
        <v>12</v>
      </c>
      <c r="C1157" t="s">
        <v>52</v>
      </c>
      <c r="D1157" t="s">
        <v>53</v>
      </c>
      <c r="E1157">
        <v>2023</v>
      </c>
      <c r="F1157" t="s">
        <v>26</v>
      </c>
      <c r="G1157" t="s">
        <v>22</v>
      </c>
      <c r="H1157" t="s">
        <v>19</v>
      </c>
      <c r="I1157" t="s">
        <v>27</v>
      </c>
      <c r="J1157">
        <v>7133.9</v>
      </c>
      <c r="K1157">
        <v>6918.09</v>
      </c>
      <c r="L1157" s="20">
        <f>tbl_Budget[[#This Row],[Actual]]-tbl_Budget[[#This Row],[Budget]]</f>
        <v>-215.80999999999949</v>
      </c>
      <c r="M1157" s="3">
        <f>tbl_Budget[[#This Row],[Variance]]/tbl_Budget[[#This Row],[Budget]]</f>
        <v>-3.0251335174308513E-2</v>
      </c>
      <c r="N1157" t="str">
        <f>IF(tbl_Budget[[#This Row],[Variance_%]]&gt;0.05,"Overspend",IF(tbl_Budget[[#This Row],[Variance_%]]&lt;-0.05,"Underspend","On Budget"))</f>
        <v>On Budget</v>
      </c>
    </row>
    <row r="1158" spans="1:14" hidden="1">
      <c r="A1158" s="1">
        <v>45261</v>
      </c>
      <c r="B1158">
        <v>12</v>
      </c>
      <c r="C1158" t="s">
        <v>52</v>
      </c>
      <c r="D1158" t="s">
        <v>53</v>
      </c>
      <c r="E1158">
        <v>2023</v>
      </c>
      <c r="F1158" t="s">
        <v>26</v>
      </c>
      <c r="G1158" t="s">
        <v>23</v>
      </c>
      <c r="H1158" t="s">
        <v>15</v>
      </c>
      <c r="I1158" t="s">
        <v>27</v>
      </c>
      <c r="J1158">
        <v>6029.9</v>
      </c>
      <c r="K1158">
        <v>5969.88</v>
      </c>
      <c r="L1158" s="20">
        <f>tbl_Budget[[#This Row],[Actual]]-tbl_Budget[[#This Row],[Budget]]</f>
        <v>-60.019999999999527</v>
      </c>
      <c r="M1158" s="3">
        <f>tbl_Budget[[#This Row],[Variance]]/tbl_Budget[[#This Row],[Budget]]</f>
        <v>-9.9537305759630386E-3</v>
      </c>
      <c r="N1158" t="str">
        <f>IF(tbl_Budget[[#This Row],[Variance_%]]&gt;0.05,"Overspend",IF(tbl_Budget[[#This Row],[Variance_%]]&lt;-0.05,"Underspend","On Budget"))</f>
        <v>On Budget</v>
      </c>
    </row>
    <row r="1159" spans="1:14" hidden="1">
      <c r="A1159" s="1">
        <v>45261</v>
      </c>
      <c r="B1159">
        <v>12</v>
      </c>
      <c r="C1159" t="s">
        <v>52</v>
      </c>
      <c r="D1159" t="s">
        <v>53</v>
      </c>
      <c r="E1159">
        <v>2023</v>
      </c>
      <c r="F1159" t="s">
        <v>26</v>
      </c>
      <c r="G1159" t="s">
        <v>23</v>
      </c>
      <c r="H1159" t="s">
        <v>17</v>
      </c>
      <c r="I1159" t="s">
        <v>27</v>
      </c>
      <c r="J1159">
        <v>5460.14</v>
      </c>
      <c r="K1159">
        <v>5414.86</v>
      </c>
      <c r="L1159" s="20">
        <f>tbl_Budget[[#This Row],[Actual]]-tbl_Budget[[#This Row],[Budget]]</f>
        <v>-45.280000000000655</v>
      </c>
      <c r="M1159" s="3">
        <f>tbl_Budget[[#This Row],[Variance]]/tbl_Budget[[#This Row],[Budget]]</f>
        <v>-8.292827656433837E-3</v>
      </c>
      <c r="N1159" t="str">
        <f>IF(tbl_Budget[[#This Row],[Variance_%]]&gt;0.05,"Overspend",IF(tbl_Budget[[#This Row],[Variance_%]]&lt;-0.05,"Underspend","On Budget"))</f>
        <v>On Budget</v>
      </c>
    </row>
    <row r="1160" spans="1:14" hidden="1">
      <c r="A1160" s="1">
        <v>45261</v>
      </c>
      <c r="B1160">
        <v>12</v>
      </c>
      <c r="C1160" t="s">
        <v>52</v>
      </c>
      <c r="D1160" t="s">
        <v>53</v>
      </c>
      <c r="E1160">
        <v>2023</v>
      </c>
      <c r="F1160" t="s">
        <v>26</v>
      </c>
      <c r="G1160" t="s">
        <v>23</v>
      </c>
      <c r="H1160" t="s">
        <v>18</v>
      </c>
      <c r="I1160" t="s">
        <v>27</v>
      </c>
      <c r="J1160">
        <v>5808.66</v>
      </c>
      <c r="K1160">
        <v>5879.46</v>
      </c>
      <c r="L1160" s="20">
        <f>tbl_Budget[[#This Row],[Actual]]-tbl_Budget[[#This Row],[Budget]]</f>
        <v>70.800000000000182</v>
      </c>
      <c r="M1160" s="3">
        <f>tbl_Budget[[#This Row],[Variance]]/tbl_Budget[[#This Row],[Budget]]</f>
        <v>1.2188697565359339E-2</v>
      </c>
      <c r="N1160" t="str">
        <f>IF(tbl_Budget[[#This Row],[Variance_%]]&gt;0.05,"Overspend",IF(tbl_Budget[[#This Row],[Variance_%]]&lt;-0.05,"Underspend","On Budget"))</f>
        <v>On Budget</v>
      </c>
    </row>
    <row r="1161" spans="1:14" hidden="1">
      <c r="A1161" s="1">
        <v>45261</v>
      </c>
      <c r="B1161">
        <v>12</v>
      </c>
      <c r="C1161" t="s">
        <v>52</v>
      </c>
      <c r="D1161" t="s">
        <v>53</v>
      </c>
      <c r="E1161">
        <v>2023</v>
      </c>
      <c r="F1161" t="s">
        <v>26</v>
      </c>
      <c r="G1161" t="s">
        <v>23</v>
      </c>
      <c r="H1161" t="s">
        <v>19</v>
      </c>
      <c r="I1161" t="s">
        <v>27</v>
      </c>
      <c r="J1161">
        <v>6173.66</v>
      </c>
      <c r="K1161">
        <v>6021.91</v>
      </c>
      <c r="L1161" s="20">
        <f>tbl_Budget[[#This Row],[Actual]]-tbl_Budget[[#This Row],[Budget]]</f>
        <v>-151.75</v>
      </c>
      <c r="M1161" s="3">
        <f>tbl_Budget[[#This Row],[Variance]]/tbl_Budget[[#This Row],[Budget]]</f>
        <v>-2.4580232795456829E-2</v>
      </c>
      <c r="N1161" t="str">
        <f>IF(tbl_Budget[[#This Row],[Variance_%]]&gt;0.05,"Overspend",IF(tbl_Budget[[#This Row],[Variance_%]]&lt;-0.05,"Underspend","On Budget"))</f>
        <v>On Budget</v>
      </c>
    </row>
    <row r="1162" spans="1:14" hidden="1">
      <c r="A1162" s="1">
        <v>45261</v>
      </c>
      <c r="B1162">
        <v>12</v>
      </c>
      <c r="C1162" t="s">
        <v>52</v>
      </c>
      <c r="D1162" t="s">
        <v>53</v>
      </c>
      <c r="E1162">
        <v>2023</v>
      </c>
      <c r="F1162" t="s">
        <v>28</v>
      </c>
      <c r="G1162" t="s">
        <v>14</v>
      </c>
      <c r="H1162" t="s">
        <v>15</v>
      </c>
      <c r="I1162" t="s">
        <v>29</v>
      </c>
      <c r="J1162">
        <v>54783.08</v>
      </c>
      <c r="K1162">
        <v>57089.03</v>
      </c>
      <c r="L1162" s="20">
        <f>tbl_Budget[[#This Row],[Actual]]-tbl_Budget[[#This Row],[Budget]]</f>
        <v>2305.9499999999971</v>
      </c>
      <c r="M1162" s="3">
        <f>tbl_Budget[[#This Row],[Variance]]/tbl_Budget[[#This Row],[Budget]]</f>
        <v>4.2092375967178131E-2</v>
      </c>
      <c r="N1162" t="str">
        <f>IF(tbl_Budget[[#This Row],[Variance_%]]&gt;0.05,"Overspend",IF(tbl_Budget[[#This Row],[Variance_%]]&lt;-0.05,"Underspend","On Budget"))</f>
        <v>On Budget</v>
      </c>
    </row>
    <row r="1163" spans="1:14" hidden="1">
      <c r="A1163" s="1">
        <v>45261</v>
      </c>
      <c r="B1163">
        <v>12</v>
      </c>
      <c r="C1163" t="s">
        <v>52</v>
      </c>
      <c r="D1163" t="s">
        <v>53</v>
      </c>
      <c r="E1163">
        <v>2023</v>
      </c>
      <c r="F1163" t="s">
        <v>28</v>
      </c>
      <c r="G1163" t="s">
        <v>14</v>
      </c>
      <c r="H1163" t="s">
        <v>17</v>
      </c>
      <c r="I1163" t="s">
        <v>29</v>
      </c>
      <c r="J1163">
        <v>50095.82</v>
      </c>
      <c r="K1163">
        <v>48344.81</v>
      </c>
      <c r="L1163" s="20">
        <f>tbl_Budget[[#This Row],[Actual]]-tbl_Budget[[#This Row],[Budget]]</f>
        <v>-1751.010000000002</v>
      </c>
      <c r="M1163" s="3">
        <f>tbl_Budget[[#This Row],[Variance]]/tbl_Budget[[#This Row],[Budget]]</f>
        <v>-3.4953215657513984E-2</v>
      </c>
      <c r="N1163" t="str">
        <f>IF(tbl_Budget[[#This Row],[Variance_%]]&gt;0.05,"Overspend",IF(tbl_Budget[[#This Row],[Variance_%]]&lt;-0.05,"Underspend","On Budget"))</f>
        <v>On Budget</v>
      </c>
    </row>
    <row r="1164" spans="1:14" hidden="1">
      <c r="A1164" s="1">
        <v>45261</v>
      </c>
      <c r="B1164">
        <v>12</v>
      </c>
      <c r="C1164" t="s">
        <v>52</v>
      </c>
      <c r="D1164" t="s">
        <v>53</v>
      </c>
      <c r="E1164">
        <v>2023</v>
      </c>
      <c r="F1164" t="s">
        <v>28</v>
      </c>
      <c r="G1164" t="s">
        <v>14</v>
      </c>
      <c r="H1164" t="s">
        <v>18</v>
      </c>
      <c r="I1164" t="s">
        <v>29</v>
      </c>
      <c r="J1164">
        <v>51912.88</v>
      </c>
      <c r="K1164">
        <v>60746.07</v>
      </c>
      <c r="L1164" s="20">
        <f>tbl_Budget[[#This Row],[Actual]]-tbl_Budget[[#This Row],[Budget]]</f>
        <v>8833.1900000000023</v>
      </c>
      <c r="M1164" s="3">
        <f>tbl_Budget[[#This Row],[Variance]]/tbl_Budget[[#This Row],[Budget]]</f>
        <v>0.17015411204309996</v>
      </c>
      <c r="N1164" t="str">
        <f>IF(tbl_Budget[[#This Row],[Variance_%]]&gt;0.05,"Overspend",IF(tbl_Budget[[#This Row],[Variance_%]]&lt;-0.05,"Underspend","On Budget"))</f>
        <v>Overspend</v>
      </c>
    </row>
    <row r="1165" spans="1:14" hidden="1">
      <c r="A1165" s="1">
        <v>45261</v>
      </c>
      <c r="B1165">
        <v>12</v>
      </c>
      <c r="C1165" t="s">
        <v>52</v>
      </c>
      <c r="D1165" t="s">
        <v>53</v>
      </c>
      <c r="E1165">
        <v>2023</v>
      </c>
      <c r="F1165" t="s">
        <v>28</v>
      </c>
      <c r="G1165" t="s">
        <v>14</v>
      </c>
      <c r="H1165" t="s">
        <v>19</v>
      </c>
      <c r="I1165" t="s">
        <v>29</v>
      </c>
      <c r="J1165">
        <v>56787.69</v>
      </c>
      <c r="K1165">
        <v>64600.959999999999</v>
      </c>
      <c r="L1165" s="20">
        <f>tbl_Budget[[#This Row],[Actual]]-tbl_Budget[[#This Row],[Budget]]</f>
        <v>7813.2699999999968</v>
      </c>
      <c r="M1165" s="3">
        <f>tbl_Budget[[#This Row],[Variance]]/tbl_Budget[[#This Row],[Budget]]</f>
        <v>0.13758738909788365</v>
      </c>
      <c r="N1165" t="str">
        <f>IF(tbl_Budget[[#This Row],[Variance_%]]&gt;0.05,"Overspend",IF(tbl_Budget[[#This Row],[Variance_%]]&lt;-0.05,"Underspend","On Budget"))</f>
        <v>Overspend</v>
      </c>
    </row>
    <row r="1166" spans="1:14" hidden="1">
      <c r="A1166" s="1">
        <v>45261</v>
      </c>
      <c r="B1166">
        <v>12</v>
      </c>
      <c r="C1166" t="s">
        <v>52</v>
      </c>
      <c r="D1166" t="s">
        <v>53</v>
      </c>
      <c r="E1166">
        <v>2023</v>
      </c>
      <c r="F1166" t="s">
        <v>28</v>
      </c>
      <c r="G1166" t="s">
        <v>20</v>
      </c>
      <c r="H1166" t="s">
        <v>15</v>
      </c>
      <c r="I1166" t="s">
        <v>29</v>
      </c>
      <c r="J1166">
        <v>20203.16</v>
      </c>
      <c r="K1166">
        <v>20645.47</v>
      </c>
      <c r="L1166" s="20">
        <f>tbl_Budget[[#This Row],[Actual]]-tbl_Budget[[#This Row],[Budget]]</f>
        <v>442.31000000000131</v>
      </c>
      <c r="M1166" s="3">
        <f>tbl_Budget[[#This Row],[Variance]]/tbl_Budget[[#This Row],[Budget]]</f>
        <v>2.1893109790745671E-2</v>
      </c>
      <c r="N1166" t="str">
        <f>IF(tbl_Budget[[#This Row],[Variance_%]]&gt;0.05,"Overspend",IF(tbl_Budget[[#This Row],[Variance_%]]&lt;-0.05,"Underspend","On Budget"))</f>
        <v>On Budget</v>
      </c>
    </row>
    <row r="1167" spans="1:14" hidden="1">
      <c r="A1167" s="1">
        <v>45261</v>
      </c>
      <c r="B1167">
        <v>12</v>
      </c>
      <c r="C1167" t="s">
        <v>52</v>
      </c>
      <c r="D1167" t="s">
        <v>53</v>
      </c>
      <c r="E1167">
        <v>2023</v>
      </c>
      <c r="F1167" t="s">
        <v>28</v>
      </c>
      <c r="G1167" t="s">
        <v>20</v>
      </c>
      <c r="H1167" t="s">
        <v>17</v>
      </c>
      <c r="I1167" t="s">
        <v>29</v>
      </c>
      <c r="J1167">
        <v>19752.23</v>
      </c>
      <c r="K1167">
        <v>20307.900000000001</v>
      </c>
      <c r="L1167" s="20">
        <f>tbl_Budget[[#This Row],[Actual]]-tbl_Budget[[#This Row],[Budget]]</f>
        <v>555.67000000000189</v>
      </c>
      <c r="M1167" s="3">
        <f>tbl_Budget[[#This Row],[Variance]]/tbl_Budget[[#This Row],[Budget]]</f>
        <v>2.8132013448608179E-2</v>
      </c>
      <c r="N1167" t="str">
        <f>IF(tbl_Budget[[#This Row],[Variance_%]]&gt;0.05,"Overspend",IF(tbl_Budget[[#This Row],[Variance_%]]&lt;-0.05,"Underspend","On Budget"))</f>
        <v>On Budget</v>
      </c>
    </row>
    <row r="1168" spans="1:14" hidden="1">
      <c r="A1168" s="1">
        <v>45261</v>
      </c>
      <c r="B1168">
        <v>12</v>
      </c>
      <c r="C1168" t="s">
        <v>52</v>
      </c>
      <c r="D1168" t="s">
        <v>53</v>
      </c>
      <c r="E1168">
        <v>2023</v>
      </c>
      <c r="F1168" t="s">
        <v>28</v>
      </c>
      <c r="G1168" t="s">
        <v>20</v>
      </c>
      <c r="H1168" t="s">
        <v>18</v>
      </c>
      <c r="I1168" t="s">
        <v>29</v>
      </c>
      <c r="J1168">
        <v>19945.759999999998</v>
      </c>
      <c r="K1168">
        <v>20522.34</v>
      </c>
      <c r="L1168" s="20">
        <f>tbl_Budget[[#This Row],[Actual]]-tbl_Budget[[#This Row],[Budget]]</f>
        <v>576.58000000000175</v>
      </c>
      <c r="M1168" s="3">
        <f>tbl_Budget[[#This Row],[Variance]]/tbl_Budget[[#This Row],[Budget]]</f>
        <v>2.8907396860285182E-2</v>
      </c>
      <c r="N1168" t="str">
        <f>IF(tbl_Budget[[#This Row],[Variance_%]]&gt;0.05,"Overspend",IF(tbl_Budget[[#This Row],[Variance_%]]&lt;-0.05,"Underspend","On Budget"))</f>
        <v>On Budget</v>
      </c>
    </row>
    <row r="1169" spans="1:14" hidden="1">
      <c r="A1169" s="1">
        <v>45261</v>
      </c>
      <c r="B1169">
        <v>12</v>
      </c>
      <c r="C1169" t="s">
        <v>52</v>
      </c>
      <c r="D1169" t="s">
        <v>53</v>
      </c>
      <c r="E1169">
        <v>2023</v>
      </c>
      <c r="F1169" t="s">
        <v>28</v>
      </c>
      <c r="G1169" t="s">
        <v>20</v>
      </c>
      <c r="H1169" t="s">
        <v>19</v>
      </c>
      <c r="I1169" t="s">
        <v>29</v>
      </c>
      <c r="J1169">
        <v>21191</v>
      </c>
      <c r="K1169">
        <v>24204.1</v>
      </c>
      <c r="L1169" s="20">
        <f>tbl_Budget[[#This Row],[Actual]]-tbl_Budget[[#This Row],[Budget]]</f>
        <v>3013.0999999999985</v>
      </c>
      <c r="M1169" s="3">
        <f>tbl_Budget[[#This Row],[Variance]]/tbl_Budget[[#This Row],[Budget]]</f>
        <v>0.14218772120239717</v>
      </c>
      <c r="N1169" t="str">
        <f>IF(tbl_Budget[[#This Row],[Variance_%]]&gt;0.05,"Overspend",IF(tbl_Budget[[#This Row],[Variance_%]]&lt;-0.05,"Underspend","On Budget"))</f>
        <v>Overspend</v>
      </c>
    </row>
    <row r="1170" spans="1:14">
      <c r="A1170" s="1">
        <v>45261</v>
      </c>
      <c r="B1170">
        <v>12</v>
      </c>
      <c r="C1170" t="s">
        <v>52</v>
      </c>
      <c r="D1170" t="s">
        <v>53</v>
      </c>
      <c r="E1170">
        <v>2023</v>
      </c>
      <c r="F1170" t="s">
        <v>28</v>
      </c>
      <c r="G1170" t="s">
        <v>21</v>
      </c>
      <c r="H1170" t="s">
        <v>15</v>
      </c>
      <c r="I1170" t="s">
        <v>29</v>
      </c>
      <c r="J1170">
        <v>11797.43</v>
      </c>
      <c r="K1170">
        <v>13307.27</v>
      </c>
      <c r="L1170" s="20">
        <f>tbl_Budget[[#This Row],[Actual]]-tbl_Budget[[#This Row],[Budget]]</f>
        <v>1509.8400000000001</v>
      </c>
      <c r="M1170" s="3">
        <f>tbl_Budget[[#This Row],[Variance]]/tbl_Budget[[#This Row],[Budget]]</f>
        <v>0.12798041607367028</v>
      </c>
      <c r="N1170" t="str">
        <f>IF(tbl_Budget[[#This Row],[Variance_%]]&gt;0.05,"Overspend",IF(tbl_Budget[[#This Row],[Variance_%]]&lt;-0.05,"Underspend","On Budget"))</f>
        <v>Overspend</v>
      </c>
    </row>
    <row r="1171" spans="1:14">
      <c r="A1171" s="1">
        <v>45261</v>
      </c>
      <c r="B1171">
        <v>12</v>
      </c>
      <c r="C1171" t="s">
        <v>52</v>
      </c>
      <c r="D1171" t="s">
        <v>53</v>
      </c>
      <c r="E1171">
        <v>2023</v>
      </c>
      <c r="F1171" t="s">
        <v>28</v>
      </c>
      <c r="G1171" t="s">
        <v>21</v>
      </c>
      <c r="H1171" t="s">
        <v>17</v>
      </c>
      <c r="I1171" t="s">
        <v>29</v>
      </c>
      <c r="J1171">
        <v>10903.56</v>
      </c>
      <c r="K1171">
        <v>12250.65</v>
      </c>
      <c r="L1171" s="20">
        <f>tbl_Budget[[#This Row],[Actual]]-tbl_Budget[[#This Row],[Budget]]</f>
        <v>1347.0900000000001</v>
      </c>
      <c r="M1171" s="3">
        <f>tbl_Budget[[#This Row],[Variance]]/tbl_Budget[[#This Row],[Budget]]</f>
        <v>0.12354588776509692</v>
      </c>
      <c r="N1171" t="str">
        <f>IF(tbl_Budget[[#This Row],[Variance_%]]&gt;0.05,"Overspend",IF(tbl_Budget[[#This Row],[Variance_%]]&lt;-0.05,"Underspend","On Budget"))</f>
        <v>Overspend</v>
      </c>
    </row>
    <row r="1172" spans="1:14">
      <c r="A1172" s="1">
        <v>45261</v>
      </c>
      <c r="B1172">
        <v>12</v>
      </c>
      <c r="C1172" t="s">
        <v>52</v>
      </c>
      <c r="D1172" t="s">
        <v>53</v>
      </c>
      <c r="E1172">
        <v>2023</v>
      </c>
      <c r="F1172" t="s">
        <v>28</v>
      </c>
      <c r="G1172" t="s">
        <v>21</v>
      </c>
      <c r="H1172" t="s">
        <v>18</v>
      </c>
      <c r="I1172" t="s">
        <v>29</v>
      </c>
      <c r="J1172">
        <v>11312.55</v>
      </c>
      <c r="K1172">
        <v>10197.719999999999</v>
      </c>
      <c r="L1172" s="20">
        <f>tbl_Budget[[#This Row],[Actual]]-tbl_Budget[[#This Row],[Budget]]</f>
        <v>-1114.83</v>
      </c>
      <c r="M1172" s="3">
        <f>tbl_Budget[[#This Row],[Variance]]/tbl_Budget[[#This Row],[Budget]]</f>
        <v>-9.8548072715700707E-2</v>
      </c>
      <c r="N1172" t="str">
        <f>IF(tbl_Budget[[#This Row],[Variance_%]]&gt;0.05,"Overspend",IF(tbl_Budget[[#This Row],[Variance_%]]&lt;-0.05,"Underspend","On Budget"))</f>
        <v>Underspend</v>
      </c>
    </row>
    <row r="1173" spans="1:14">
      <c r="A1173" s="1">
        <v>45261</v>
      </c>
      <c r="B1173">
        <v>12</v>
      </c>
      <c r="C1173" t="s">
        <v>52</v>
      </c>
      <c r="D1173" t="s">
        <v>53</v>
      </c>
      <c r="E1173">
        <v>2023</v>
      </c>
      <c r="F1173" t="s">
        <v>28</v>
      </c>
      <c r="G1173" t="s">
        <v>21</v>
      </c>
      <c r="H1173" t="s">
        <v>19</v>
      </c>
      <c r="I1173" t="s">
        <v>29</v>
      </c>
      <c r="J1173">
        <v>11878.32</v>
      </c>
      <c r="K1173">
        <v>11414.66</v>
      </c>
      <c r="L1173" s="20">
        <f>tbl_Budget[[#This Row],[Actual]]-tbl_Budget[[#This Row],[Budget]]</f>
        <v>-463.65999999999985</v>
      </c>
      <c r="M1173" s="3">
        <f>tbl_Budget[[#This Row],[Variance]]/tbl_Budget[[#This Row],[Budget]]</f>
        <v>-3.903413950794387E-2</v>
      </c>
      <c r="N1173" t="str">
        <f>IF(tbl_Budget[[#This Row],[Variance_%]]&gt;0.05,"Overspend",IF(tbl_Budget[[#This Row],[Variance_%]]&lt;-0.05,"Underspend","On Budget"))</f>
        <v>On Budget</v>
      </c>
    </row>
    <row r="1174" spans="1:14" hidden="1">
      <c r="A1174" s="1">
        <v>45261</v>
      </c>
      <c r="B1174">
        <v>12</v>
      </c>
      <c r="C1174" t="s">
        <v>52</v>
      </c>
      <c r="D1174" t="s">
        <v>53</v>
      </c>
      <c r="E1174">
        <v>2023</v>
      </c>
      <c r="F1174" t="s">
        <v>28</v>
      </c>
      <c r="G1174" t="s">
        <v>22</v>
      </c>
      <c r="H1174" t="s">
        <v>15</v>
      </c>
      <c r="I1174" t="s">
        <v>29</v>
      </c>
      <c r="J1174">
        <v>12890.38</v>
      </c>
      <c r="K1174">
        <v>12204.07</v>
      </c>
      <c r="L1174" s="20">
        <f>tbl_Budget[[#This Row],[Actual]]-tbl_Budget[[#This Row],[Budget]]</f>
        <v>-686.30999999999949</v>
      </c>
      <c r="M1174" s="3">
        <f>tbl_Budget[[#This Row],[Variance]]/tbl_Budget[[#This Row],[Budget]]</f>
        <v>-5.3242030103069077E-2</v>
      </c>
      <c r="N1174" t="str">
        <f>IF(tbl_Budget[[#This Row],[Variance_%]]&gt;0.05,"Overspend",IF(tbl_Budget[[#This Row],[Variance_%]]&lt;-0.05,"Underspend","On Budget"))</f>
        <v>Underspend</v>
      </c>
    </row>
    <row r="1175" spans="1:14" hidden="1">
      <c r="A1175" s="1">
        <v>45261</v>
      </c>
      <c r="B1175">
        <v>12</v>
      </c>
      <c r="C1175" t="s">
        <v>52</v>
      </c>
      <c r="D1175" t="s">
        <v>53</v>
      </c>
      <c r="E1175">
        <v>2023</v>
      </c>
      <c r="F1175" t="s">
        <v>28</v>
      </c>
      <c r="G1175" t="s">
        <v>22</v>
      </c>
      <c r="H1175" t="s">
        <v>17</v>
      </c>
      <c r="I1175" t="s">
        <v>29</v>
      </c>
      <c r="J1175">
        <v>11725.73</v>
      </c>
      <c r="K1175">
        <v>13033.04</v>
      </c>
      <c r="L1175" s="20">
        <f>tbl_Budget[[#This Row],[Actual]]-tbl_Budget[[#This Row],[Budget]]</f>
        <v>1307.3100000000013</v>
      </c>
      <c r="M1175" s="3">
        <f>tbl_Budget[[#This Row],[Variance]]/tbl_Budget[[#This Row],[Budget]]</f>
        <v>0.11149071315815744</v>
      </c>
      <c r="N1175" t="str">
        <f>IF(tbl_Budget[[#This Row],[Variance_%]]&gt;0.05,"Overspend",IF(tbl_Budget[[#This Row],[Variance_%]]&lt;-0.05,"Underspend","On Budget"))</f>
        <v>Overspend</v>
      </c>
    </row>
    <row r="1176" spans="1:14" hidden="1">
      <c r="A1176" s="1">
        <v>45261</v>
      </c>
      <c r="B1176">
        <v>12</v>
      </c>
      <c r="C1176" t="s">
        <v>52</v>
      </c>
      <c r="D1176" t="s">
        <v>53</v>
      </c>
      <c r="E1176">
        <v>2023</v>
      </c>
      <c r="F1176" t="s">
        <v>28</v>
      </c>
      <c r="G1176" t="s">
        <v>22</v>
      </c>
      <c r="H1176" t="s">
        <v>18</v>
      </c>
      <c r="I1176" t="s">
        <v>29</v>
      </c>
      <c r="J1176">
        <v>12206.67</v>
      </c>
      <c r="K1176">
        <v>13430.42</v>
      </c>
      <c r="L1176" s="20">
        <f>tbl_Budget[[#This Row],[Actual]]-tbl_Budget[[#This Row],[Budget]]</f>
        <v>1223.75</v>
      </c>
      <c r="M1176" s="3">
        <f>tbl_Budget[[#This Row],[Variance]]/tbl_Budget[[#This Row],[Budget]]</f>
        <v>0.10025256683436187</v>
      </c>
      <c r="N1176" t="str">
        <f>IF(tbl_Budget[[#This Row],[Variance_%]]&gt;0.05,"Overspend",IF(tbl_Budget[[#This Row],[Variance_%]]&lt;-0.05,"Underspend","On Budget"))</f>
        <v>Overspend</v>
      </c>
    </row>
    <row r="1177" spans="1:14" hidden="1">
      <c r="A1177" s="1">
        <v>45261</v>
      </c>
      <c r="B1177">
        <v>12</v>
      </c>
      <c r="C1177" t="s">
        <v>52</v>
      </c>
      <c r="D1177" t="s">
        <v>53</v>
      </c>
      <c r="E1177">
        <v>2023</v>
      </c>
      <c r="F1177" t="s">
        <v>28</v>
      </c>
      <c r="G1177" t="s">
        <v>22</v>
      </c>
      <c r="H1177" t="s">
        <v>19</v>
      </c>
      <c r="I1177" t="s">
        <v>29</v>
      </c>
      <c r="J1177">
        <v>13375.69</v>
      </c>
      <c r="K1177">
        <v>13170.13</v>
      </c>
      <c r="L1177" s="20">
        <f>tbl_Budget[[#This Row],[Actual]]-tbl_Budget[[#This Row],[Budget]]</f>
        <v>-205.56000000000131</v>
      </c>
      <c r="M1177" s="3">
        <f>tbl_Budget[[#This Row],[Variance]]/tbl_Budget[[#This Row],[Budget]]</f>
        <v>-1.5368179136926865E-2</v>
      </c>
      <c r="N1177" t="str">
        <f>IF(tbl_Budget[[#This Row],[Variance_%]]&gt;0.05,"Overspend",IF(tbl_Budget[[#This Row],[Variance_%]]&lt;-0.05,"Underspend","On Budget"))</f>
        <v>On Budget</v>
      </c>
    </row>
    <row r="1178" spans="1:14" hidden="1">
      <c r="A1178" s="1">
        <v>45261</v>
      </c>
      <c r="B1178">
        <v>12</v>
      </c>
      <c r="C1178" t="s">
        <v>52</v>
      </c>
      <c r="D1178" t="s">
        <v>53</v>
      </c>
      <c r="E1178">
        <v>2023</v>
      </c>
      <c r="F1178" t="s">
        <v>28</v>
      </c>
      <c r="G1178" t="s">
        <v>23</v>
      </c>
      <c r="H1178" t="s">
        <v>15</v>
      </c>
      <c r="I1178" t="s">
        <v>29</v>
      </c>
      <c r="J1178">
        <v>8164.73</v>
      </c>
      <c r="K1178">
        <v>7833.46</v>
      </c>
      <c r="L1178" s="20">
        <f>tbl_Budget[[#This Row],[Actual]]-tbl_Budget[[#This Row],[Budget]]</f>
        <v>-331.26999999999953</v>
      </c>
      <c r="M1178" s="3">
        <f>tbl_Budget[[#This Row],[Variance]]/tbl_Budget[[#This Row],[Budget]]</f>
        <v>-4.0573295136520075E-2</v>
      </c>
      <c r="N1178" t="str">
        <f>IF(tbl_Budget[[#This Row],[Variance_%]]&gt;0.05,"Overspend",IF(tbl_Budget[[#This Row],[Variance_%]]&lt;-0.05,"Underspend","On Budget"))</f>
        <v>On Budget</v>
      </c>
    </row>
    <row r="1179" spans="1:14" hidden="1">
      <c r="A1179" s="1">
        <v>45261</v>
      </c>
      <c r="B1179">
        <v>12</v>
      </c>
      <c r="C1179" t="s">
        <v>52</v>
      </c>
      <c r="D1179" t="s">
        <v>53</v>
      </c>
      <c r="E1179">
        <v>2023</v>
      </c>
      <c r="F1179" t="s">
        <v>28</v>
      </c>
      <c r="G1179" t="s">
        <v>23</v>
      </c>
      <c r="H1179" t="s">
        <v>17</v>
      </c>
      <c r="I1179" t="s">
        <v>29</v>
      </c>
      <c r="J1179">
        <v>7561.51</v>
      </c>
      <c r="K1179">
        <v>8383.2800000000007</v>
      </c>
      <c r="L1179" s="20">
        <f>tbl_Budget[[#This Row],[Actual]]-tbl_Budget[[#This Row],[Budget]]</f>
        <v>821.77000000000044</v>
      </c>
      <c r="M1179" s="3">
        <f>tbl_Budget[[#This Row],[Variance]]/tbl_Budget[[#This Row],[Budget]]</f>
        <v>0.10867802859481776</v>
      </c>
      <c r="N1179" t="str">
        <f>IF(tbl_Budget[[#This Row],[Variance_%]]&gt;0.05,"Overspend",IF(tbl_Budget[[#This Row],[Variance_%]]&lt;-0.05,"Underspend","On Budget"))</f>
        <v>Overspend</v>
      </c>
    </row>
    <row r="1180" spans="1:14" hidden="1">
      <c r="A1180" s="1">
        <v>45261</v>
      </c>
      <c r="B1180">
        <v>12</v>
      </c>
      <c r="C1180" t="s">
        <v>52</v>
      </c>
      <c r="D1180" t="s">
        <v>53</v>
      </c>
      <c r="E1180">
        <v>2023</v>
      </c>
      <c r="F1180" t="s">
        <v>28</v>
      </c>
      <c r="G1180" t="s">
        <v>23</v>
      </c>
      <c r="H1180" t="s">
        <v>18</v>
      </c>
      <c r="I1180" t="s">
        <v>29</v>
      </c>
      <c r="J1180">
        <v>7583.13</v>
      </c>
      <c r="K1180">
        <v>9008.5300000000007</v>
      </c>
      <c r="L1180" s="20">
        <f>tbl_Budget[[#This Row],[Actual]]-tbl_Budget[[#This Row],[Budget]]</f>
        <v>1425.4000000000005</v>
      </c>
      <c r="M1180" s="3">
        <f>tbl_Budget[[#This Row],[Variance]]/tbl_Budget[[#This Row],[Budget]]</f>
        <v>0.18796987523621519</v>
      </c>
      <c r="N1180" t="str">
        <f>IF(tbl_Budget[[#This Row],[Variance_%]]&gt;0.05,"Overspend",IF(tbl_Budget[[#This Row],[Variance_%]]&lt;-0.05,"Underspend","On Budget"))</f>
        <v>Overspend</v>
      </c>
    </row>
    <row r="1181" spans="1:14" hidden="1">
      <c r="A1181" s="1">
        <v>45261</v>
      </c>
      <c r="B1181">
        <v>12</v>
      </c>
      <c r="C1181" t="s">
        <v>52</v>
      </c>
      <c r="D1181" t="s">
        <v>53</v>
      </c>
      <c r="E1181">
        <v>2023</v>
      </c>
      <c r="F1181" t="s">
        <v>28</v>
      </c>
      <c r="G1181" t="s">
        <v>23</v>
      </c>
      <c r="H1181" t="s">
        <v>19</v>
      </c>
      <c r="I1181" t="s">
        <v>29</v>
      </c>
      <c r="J1181">
        <v>8533.61</v>
      </c>
      <c r="K1181">
        <v>9924.36</v>
      </c>
      <c r="L1181" s="20">
        <f>tbl_Budget[[#This Row],[Actual]]-tbl_Budget[[#This Row],[Budget]]</f>
        <v>1390.75</v>
      </c>
      <c r="M1181" s="3">
        <f>tbl_Budget[[#This Row],[Variance]]/tbl_Budget[[#This Row],[Budget]]</f>
        <v>0.16297323172725259</v>
      </c>
      <c r="N1181" t="str">
        <f>IF(tbl_Budget[[#This Row],[Variance_%]]&gt;0.05,"Overspend",IF(tbl_Budget[[#This Row],[Variance_%]]&lt;-0.05,"Underspend","On Budget"))</f>
        <v>Overspend</v>
      </c>
    </row>
    <row r="1182" spans="1:14" hidden="1">
      <c r="A1182" s="1">
        <v>45261</v>
      </c>
      <c r="B1182">
        <v>12</v>
      </c>
      <c r="C1182" t="s">
        <v>52</v>
      </c>
      <c r="D1182" t="s">
        <v>53</v>
      </c>
      <c r="E1182">
        <v>2023</v>
      </c>
      <c r="F1182" t="s">
        <v>30</v>
      </c>
      <c r="G1182" t="s">
        <v>14</v>
      </c>
      <c r="H1182" t="s">
        <v>15</v>
      </c>
      <c r="I1182" t="s">
        <v>31</v>
      </c>
      <c r="J1182">
        <v>42279.64</v>
      </c>
      <c r="K1182">
        <v>40716.379999999997</v>
      </c>
      <c r="L1182" s="20">
        <f>tbl_Budget[[#This Row],[Actual]]-tbl_Budget[[#This Row],[Budget]]</f>
        <v>-1563.260000000002</v>
      </c>
      <c r="M1182" s="3">
        <f>tbl_Budget[[#This Row],[Variance]]/tbl_Budget[[#This Row],[Budget]]</f>
        <v>-3.6974297794399431E-2</v>
      </c>
      <c r="N1182" t="str">
        <f>IF(tbl_Budget[[#This Row],[Variance_%]]&gt;0.05,"Overspend",IF(tbl_Budget[[#This Row],[Variance_%]]&lt;-0.05,"Underspend","On Budget"))</f>
        <v>On Budget</v>
      </c>
    </row>
    <row r="1183" spans="1:14" hidden="1">
      <c r="A1183" s="1">
        <v>45261</v>
      </c>
      <c r="B1183">
        <v>12</v>
      </c>
      <c r="C1183" t="s">
        <v>52</v>
      </c>
      <c r="D1183" t="s">
        <v>53</v>
      </c>
      <c r="E1183">
        <v>2023</v>
      </c>
      <c r="F1183" t="s">
        <v>30</v>
      </c>
      <c r="G1183" t="s">
        <v>14</v>
      </c>
      <c r="H1183" t="s">
        <v>17</v>
      </c>
      <c r="I1183" t="s">
        <v>31</v>
      </c>
      <c r="J1183">
        <v>40063.949999999997</v>
      </c>
      <c r="K1183">
        <v>41394.199999999997</v>
      </c>
      <c r="L1183" s="20">
        <f>tbl_Budget[[#This Row],[Actual]]-tbl_Budget[[#This Row],[Budget]]</f>
        <v>1330.25</v>
      </c>
      <c r="M1183" s="3">
        <f>tbl_Budget[[#This Row],[Variance]]/tbl_Budget[[#This Row],[Budget]]</f>
        <v>3.3203166437657798E-2</v>
      </c>
      <c r="N1183" t="str">
        <f>IF(tbl_Budget[[#This Row],[Variance_%]]&gt;0.05,"Overspend",IF(tbl_Budget[[#This Row],[Variance_%]]&lt;-0.05,"Underspend","On Budget"))</f>
        <v>On Budget</v>
      </c>
    </row>
    <row r="1184" spans="1:14" hidden="1">
      <c r="A1184" s="1">
        <v>45261</v>
      </c>
      <c r="B1184">
        <v>12</v>
      </c>
      <c r="C1184" t="s">
        <v>52</v>
      </c>
      <c r="D1184" t="s">
        <v>53</v>
      </c>
      <c r="E1184">
        <v>2023</v>
      </c>
      <c r="F1184" t="s">
        <v>30</v>
      </c>
      <c r="G1184" t="s">
        <v>14</v>
      </c>
      <c r="H1184" t="s">
        <v>18</v>
      </c>
      <c r="I1184" t="s">
        <v>31</v>
      </c>
      <c r="J1184">
        <v>40689.85</v>
      </c>
      <c r="K1184">
        <v>39419.49</v>
      </c>
      <c r="L1184" s="20">
        <f>tbl_Budget[[#This Row],[Actual]]-tbl_Budget[[#This Row],[Budget]]</f>
        <v>-1270.3600000000006</v>
      </c>
      <c r="M1184" s="3">
        <f>tbl_Budget[[#This Row],[Variance]]/tbl_Budget[[#This Row],[Budget]]</f>
        <v>-3.1220562376120843E-2</v>
      </c>
      <c r="N1184" t="str">
        <f>IF(tbl_Budget[[#This Row],[Variance_%]]&gt;0.05,"Overspend",IF(tbl_Budget[[#This Row],[Variance_%]]&lt;-0.05,"Underspend","On Budget"))</f>
        <v>On Budget</v>
      </c>
    </row>
    <row r="1185" spans="1:14" hidden="1">
      <c r="A1185" s="1">
        <v>45261</v>
      </c>
      <c r="B1185">
        <v>12</v>
      </c>
      <c r="C1185" t="s">
        <v>52</v>
      </c>
      <c r="D1185" t="s">
        <v>53</v>
      </c>
      <c r="E1185">
        <v>2023</v>
      </c>
      <c r="F1185" t="s">
        <v>30</v>
      </c>
      <c r="G1185" t="s">
        <v>14</v>
      </c>
      <c r="H1185" t="s">
        <v>19</v>
      </c>
      <c r="I1185" t="s">
        <v>31</v>
      </c>
      <c r="J1185">
        <v>43758.58</v>
      </c>
      <c r="K1185">
        <v>44288.11</v>
      </c>
      <c r="L1185" s="20">
        <f>tbl_Budget[[#This Row],[Actual]]-tbl_Budget[[#This Row],[Budget]]</f>
        <v>529.52999999999884</v>
      </c>
      <c r="M1185" s="3">
        <f>tbl_Budget[[#This Row],[Variance]]/tbl_Budget[[#This Row],[Budget]]</f>
        <v>1.2101169644901613E-2</v>
      </c>
      <c r="N1185" t="str">
        <f>IF(tbl_Budget[[#This Row],[Variance_%]]&gt;0.05,"Overspend",IF(tbl_Budget[[#This Row],[Variance_%]]&lt;-0.05,"Underspend","On Budget"))</f>
        <v>On Budget</v>
      </c>
    </row>
    <row r="1186" spans="1:14" hidden="1">
      <c r="A1186" s="1">
        <v>45261</v>
      </c>
      <c r="B1186">
        <v>12</v>
      </c>
      <c r="C1186" t="s">
        <v>52</v>
      </c>
      <c r="D1186" t="s">
        <v>53</v>
      </c>
      <c r="E1186">
        <v>2023</v>
      </c>
      <c r="F1186" t="s">
        <v>30</v>
      </c>
      <c r="G1186" t="s">
        <v>20</v>
      </c>
      <c r="H1186" t="s">
        <v>15</v>
      </c>
      <c r="I1186" t="s">
        <v>31</v>
      </c>
      <c r="J1186">
        <v>16427.8</v>
      </c>
      <c r="K1186">
        <v>17103.919999999998</v>
      </c>
      <c r="L1186" s="20">
        <f>tbl_Budget[[#This Row],[Actual]]-tbl_Budget[[#This Row],[Budget]]</f>
        <v>676.11999999999898</v>
      </c>
      <c r="M1186" s="3">
        <f>tbl_Budget[[#This Row],[Variance]]/tbl_Budget[[#This Row],[Budget]]</f>
        <v>4.115706302730731E-2</v>
      </c>
      <c r="N1186" t="str">
        <f>IF(tbl_Budget[[#This Row],[Variance_%]]&gt;0.05,"Overspend",IF(tbl_Budget[[#This Row],[Variance_%]]&lt;-0.05,"Underspend","On Budget"))</f>
        <v>On Budget</v>
      </c>
    </row>
    <row r="1187" spans="1:14" hidden="1">
      <c r="A1187" s="1">
        <v>45261</v>
      </c>
      <c r="B1187">
        <v>12</v>
      </c>
      <c r="C1187" t="s">
        <v>52</v>
      </c>
      <c r="D1187" t="s">
        <v>53</v>
      </c>
      <c r="E1187">
        <v>2023</v>
      </c>
      <c r="F1187" t="s">
        <v>30</v>
      </c>
      <c r="G1187" t="s">
        <v>20</v>
      </c>
      <c r="H1187" t="s">
        <v>17</v>
      </c>
      <c r="I1187" t="s">
        <v>31</v>
      </c>
      <c r="J1187">
        <v>15704.39</v>
      </c>
      <c r="K1187">
        <v>15387.74</v>
      </c>
      <c r="L1187" s="20">
        <f>tbl_Budget[[#This Row],[Actual]]-tbl_Budget[[#This Row],[Budget]]</f>
        <v>-316.64999999999964</v>
      </c>
      <c r="M1187" s="3">
        <f>tbl_Budget[[#This Row],[Variance]]/tbl_Budget[[#This Row],[Budget]]</f>
        <v>-2.0163151832067315E-2</v>
      </c>
      <c r="N1187" t="str">
        <f>IF(tbl_Budget[[#This Row],[Variance_%]]&gt;0.05,"Overspend",IF(tbl_Budget[[#This Row],[Variance_%]]&lt;-0.05,"Underspend","On Budget"))</f>
        <v>On Budget</v>
      </c>
    </row>
    <row r="1188" spans="1:14" hidden="1">
      <c r="A1188" s="1">
        <v>45261</v>
      </c>
      <c r="B1188">
        <v>12</v>
      </c>
      <c r="C1188" t="s">
        <v>52</v>
      </c>
      <c r="D1188" t="s">
        <v>53</v>
      </c>
      <c r="E1188">
        <v>2023</v>
      </c>
      <c r="F1188" t="s">
        <v>30</v>
      </c>
      <c r="G1188" t="s">
        <v>20</v>
      </c>
      <c r="H1188" t="s">
        <v>18</v>
      </c>
      <c r="I1188" t="s">
        <v>31</v>
      </c>
      <c r="J1188">
        <v>15669.48</v>
      </c>
      <c r="K1188">
        <v>16436.93</v>
      </c>
      <c r="L1188" s="20">
        <f>tbl_Budget[[#This Row],[Actual]]-tbl_Budget[[#This Row],[Budget]]</f>
        <v>767.45000000000073</v>
      </c>
      <c r="M1188" s="3">
        <f>tbl_Budget[[#This Row],[Variance]]/tbl_Budget[[#This Row],[Budget]]</f>
        <v>4.8977375126679427E-2</v>
      </c>
      <c r="N1188" t="str">
        <f>IF(tbl_Budget[[#This Row],[Variance_%]]&gt;0.05,"Overspend",IF(tbl_Budget[[#This Row],[Variance_%]]&lt;-0.05,"Underspend","On Budget"))</f>
        <v>On Budget</v>
      </c>
    </row>
    <row r="1189" spans="1:14" hidden="1">
      <c r="A1189" s="1">
        <v>45261</v>
      </c>
      <c r="B1189">
        <v>12</v>
      </c>
      <c r="C1189" t="s">
        <v>52</v>
      </c>
      <c r="D1189" t="s">
        <v>53</v>
      </c>
      <c r="E1189">
        <v>2023</v>
      </c>
      <c r="F1189" t="s">
        <v>30</v>
      </c>
      <c r="G1189" t="s">
        <v>20</v>
      </c>
      <c r="H1189" t="s">
        <v>19</v>
      </c>
      <c r="I1189" t="s">
        <v>31</v>
      </c>
      <c r="J1189">
        <v>16722.54</v>
      </c>
      <c r="K1189">
        <v>16752.12</v>
      </c>
      <c r="L1189" s="20">
        <f>tbl_Budget[[#This Row],[Actual]]-tbl_Budget[[#This Row],[Budget]]</f>
        <v>29.579999999998108</v>
      </c>
      <c r="M1189" s="3">
        <f>tbl_Budget[[#This Row],[Variance]]/tbl_Budget[[#This Row],[Budget]]</f>
        <v>1.7688700400775306E-3</v>
      </c>
      <c r="N1189" t="str">
        <f>IF(tbl_Budget[[#This Row],[Variance_%]]&gt;0.05,"Overspend",IF(tbl_Budget[[#This Row],[Variance_%]]&lt;-0.05,"Underspend","On Budget"))</f>
        <v>On Budget</v>
      </c>
    </row>
    <row r="1190" spans="1:14">
      <c r="A1190" s="1">
        <v>45261</v>
      </c>
      <c r="B1190">
        <v>12</v>
      </c>
      <c r="C1190" t="s">
        <v>52</v>
      </c>
      <c r="D1190" t="s">
        <v>53</v>
      </c>
      <c r="E1190">
        <v>2023</v>
      </c>
      <c r="F1190" t="s">
        <v>30</v>
      </c>
      <c r="G1190" t="s">
        <v>21</v>
      </c>
      <c r="H1190" t="s">
        <v>15</v>
      </c>
      <c r="I1190" t="s">
        <v>31</v>
      </c>
      <c r="J1190">
        <v>6952.54</v>
      </c>
      <c r="K1190">
        <v>7048.59</v>
      </c>
      <c r="L1190" s="20">
        <f>tbl_Budget[[#This Row],[Actual]]-tbl_Budget[[#This Row],[Budget]]</f>
        <v>96.050000000000182</v>
      </c>
      <c r="M1190" s="3">
        <f>tbl_Budget[[#This Row],[Variance]]/tbl_Budget[[#This Row],[Budget]]</f>
        <v>1.3815094914951972E-2</v>
      </c>
      <c r="N1190" t="str">
        <f>IF(tbl_Budget[[#This Row],[Variance_%]]&gt;0.05,"Overspend",IF(tbl_Budget[[#This Row],[Variance_%]]&lt;-0.05,"Underspend","On Budget"))</f>
        <v>On Budget</v>
      </c>
    </row>
    <row r="1191" spans="1:14">
      <c r="A1191" s="1">
        <v>45261</v>
      </c>
      <c r="B1191">
        <v>12</v>
      </c>
      <c r="C1191" t="s">
        <v>52</v>
      </c>
      <c r="D1191" t="s">
        <v>53</v>
      </c>
      <c r="E1191">
        <v>2023</v>
      </c>
      <c r="F1191" t="s">
        <v>30</v>
      </c>
      <c r="G1191" t="s">
        <v>21</v>
      </c>
      <c r="H1191" t="s">
        <v>17</v>
      </c>
      <c r="I1191" t="s">
        <v>31</v>
      </c>
      <c r="J1191">
        <v>6616.61</v>
      </c>
      <c r="K1191">
        <v>6669.41</v>
      </c>
      <c r="L1191" s="20">
        <f>tbl_Budget[[#This Row],[Actual]]-tbl_Budget[[#This Row],[Budget]]</f>
        <v>52.800000000000182</v>
      </c>
      <c r="M1191" s="3">
        <f>tbl_Budget[[#This Row],[Variance]]/tbl_Budget[[#This Row],[Budget]]</f>
        <v>7.9799172083589911E-3</v>
      </c>
      <c r="N1191" t="str">
        <f>IF(tbl_Budget[[#This Row],[Variance_%]]&gt;0.05,"Overspend",IF(tbl_Budget[[#This Row],[Variance_%]]&lt;-0.05,"Underspend","On Budget"))</f>
        <v>On Budget</v>
      </c>
    </row>
    <row r="1192" spans="1:14">
      <c r="A1192" s="1">
        <v>45261</v>
      </c>
      <c r="B1192">
        <v>12</v>
      </c>
      <c r="C1192" t="s">
        <v>52</v>
      </c>
      <c r="D1192" t="s">
        <v>53</v>
      </c>
      <c r="E1192">
        <v>2023</v>
      </c>
      <c r="F1192" t="s">
        <v>30</v>
      </c>
      <c r="G1192" t="s">
        <v>21</v>
      </c>
      <c r="H1192" t="s">
        <v>18</v>
      </c>
      <c r="I1192" t="s">
        <v>31</v>
      </c>
      <c r="J1192">
        <v>6524.68</v>
      </c>
      <c r="K1192">
        <v>6841.67</v>
      </c>
      <c r="L1192" s="20">
        <f>tbl_Budget[[#This Row],[Actual]]-tbl_Budget[[#This Row],[Budget]]</f>
        <v>316.98999999999978</v>
      </c>
      <c r="M1192" s="3">
        <f>tbl_Budget[[#This Row],[Variance]]/tbl_Budget[[#This Row],[Budget]]</f>
        <v>4.8583225537497589E-2</v>
      </c>
      <c r="N1192" t="str">
        <f>IF(tbl_Budget[[#This Row],[Variance_%]]&gt;0.05,"Overspend",IF(tbl_Budget[[#This Row],[Variance_%]]&lt;-0.05,"Underspend","On Budget"))</f>
        <v>On Budget</v>
      </c>
    </row>
    <row r="1193" spans="1:14">
      <c r="A1193" s="1">
        <v>45261</v>
      </c>
      <c r="B1193">
        <v>12</v>
      </c>
      <c r="C1193" t="s">
        <v>52</v>
      </c>
      <c r="D1193" t="s">
        <v>53</v>
      </c>
      <c r="E1193">
        <v>2023</v>
      </c>
      <c r="F1193" t="s">
        <v>30</v>
      </c>
      <c r="G1193" t="s">
        <v>21</v>
      </c>
      <c r="H1193" t="s">
        <v>19</v>
      </c>
      <c r="I1193" t="s">
        <v>31</v>
      </c>
      <c r="J1193">
        <v>7114.1</v>
      </c>
      <c r="K1193">
        <v>7114.53</v>
      </c>
      <c r="L1193" s="20">
        <f>tbl_Budget[[#This Row],[Actual]]-tbl_Budget[[#This Row],[Budget]]</f>
        <v>0.42999999999938154</v>
      </c>
      <c r="M1193" s="3">
        <f>tbl_Budget[[#This Row],[Variance]]/tbl_Budget[[#This Row],[Budget]]</f>
        <v>6.0443344906507011E-5</v>
      </c>
      <c r="N1193" t="str">
        <f>IF(tbl_Budget[[#This Row],[Variance_%]]&gt;0.05,"Overspend",IF(tbl_Budget[[#This Row],[Variance_%]]&lt;-0.05,"Underspend","On Budget"))</f>
        <v>On Budget</v>
      </c>
    </row>
    <row r="1194" spans="1:14" hidden="1">
      <c r="A1194" s="1">
        <v>45261</v>
      </c>
      <c r="B1194">
        <v>12</v>
      </c>
      <c r="C1194" t="s">
        <v>52</v>
      </c>
      <c r="D1194" t="s">
        <v>53</v>
      </c>
      <c r="E1194">
        <v>2023</v>
      </c>
      <c r="F1194" t="s">
        <v>30</v>
      </c>
      <c r="G1194" t="s">
        <v>22</v>
      </c>
      <c r="H1194" t="s">
        <v>15</v>
      </c>
      <c r="I1194" t="s">
        <v>31</v>
      </c>
      <c r="J1194">
        <v>7639.65</v>
      </c>
      <c r="K1194">
        <v>7468.39</v>
      </c>
      <c r="L1194" s="20">
        <f>tbl_Budget[[#This Row],[Actual]]-tbl_Budget[[#This Row],[Budget]]</f>
        <v>-171.25999999999931</v>
      </c>
      <c r="M1194" s="3">
        <f>tbl_Budget[[#This Row],[Variance]]/tbl_Budget[[#This Row],[Budget]]</f>
        <v>-2.2417257335087253E-2</v>
      </c>
      <c r="N1194" t="str">
        <f>IF(tbl_Budget[[#This Row],[Variance_%]]&gt;0.05,"Overspend",IF(tbl_Budget[[#This Row],[Variance_%]]&lt;-0.05,"Underspend","On Budget"))</f>
        <v>On Budget</v>
      </c>
    </row>
    <row r="1195" spans="1:14" hidden="1">
      <c r="A1195" s="1">
        <v>45261</v>
      </c>
      <c r="B1195">
        <v>12</v>
      </c>
      <c r="C1195" t="s">
        <v>52</v>
      </c>
      <c r="D1195" t="s">
        <v>53</v>
      </c>
      <c r="E1195">
        <v>2023</v>
      </c>
      <c r="F1195" t="s">
        <v>30</v>
      </c>
      <c r="G1195" t="s">
        <v>22</v>
      </c>
      <c r="H1195" t="s">
        <v>17</v>
      </c>
      <c r="I1195" t="s">
        <v>31</v>
      </c>
      <c r="J1195">
        <v>7145.68</v>
      </c>
      <c r="K1195">
        <v>6920.39</v>
      </c>
      <c r="L1195" s="20">
        <f>tbl_Budget[[#This Row],[Actual]]-tbl_Budget[[#This Row],[Budget]]</f>
        <v>-225.28999999999996</v>
      </c>
      <c r="M1195" s="3">
        <f>tbl_Budget[[#This Row],[Variance]]/tbl_Budget[[#This Row],[Budget]]</f>
        <v>-3.1528140079040756E-2</v>
      </c>
      <c r="N1195" t="str">
        <f>IF(tbl_Budget[[#This Row],[Variance_%]]&gt;0.05,"Overspend",IF(tbl_Budget[[#This Row],[Variance_%]]&lt;-0.05,"Underspend","On Budget"))</f>
        <v>On Budget</v>
      </c>
    </row>
    <row r="1196" spans="1:14" hidden="1">
      <c r="A1196" s="1">
        <v>45261</v>
      </c>
      <c r="B1196">
        <v>12</v>
      </c>
      <c r="C1196" t="s">
        <v>52</v>
      </c>
      <c r="D1196" t="s">
        <v>53</v>
      </c>
      <c r="E1196">
        <v>2023</v>
      </c>
      <c r="F1196" t="s">
        <v>30</v>
      </c>
      <c r="G1196" t="s">
        <v>22</v>
      </c>
      <c r="H1196" t="s">
        <v>18</v>
      </c>
      <c r="I1196" t="s">
        <v>31</v>
      </c>
      <c r="J1196">
        <v>7414.39</v>
      </c>
      <c r="K1196">
        <v>7110.19</v>
      </c>
      <c r="L1196" s="20">
        <f>tbl_Budget[[#This Row],[Actual]]-tbl_Budget[[#This Row],[Budget]]</f>
        <v>-304.20000000000073</v>
      </c>
      <c r="M1196" s="3">
        <f>tbl_Budget[[#This Row],[Variance]]/tbl_Budget[[#This Row],[Budget]]</f>
        <v>-4.1028324649768994E-2</v>
      </c>
      <c r="N1196" t="str">
        <f>IF(tbl_Budget[[#This Row],[Variance_%]]&gt;0.05,"Overspend",IF(tbl_Budget[[#This Row],[Variance_%]]&lt;-0.05,"Underspend","On Budget"))</f>
        <v>On Budget</v>
      </c>
    </row>
    <row r="1197" spans="1:14" hidden="1">
      <c r="A1197" s="1">
        <v>45261</v>
      </c>
      <c r="B1197">
        <v>12</v>
      </c>
      <c r="C1197" t="s">
        <v>52</v>
      </c>
      <c r="D1197" t="s">
        <v>53</v>
      </c>
      <c r="E1197">
        <v>2023</v>
      </c>
      <c r="F1197" t="s">
        <v>30</v>
      </c>
      <c r="G1197" t="s">
        <v>22</v>
      </c>
      <c r="H1197" t="s">
        <v>19</v>
      </c>
      <c r="I1197" t="s">
        <v>31</v>
      </c>
      <c r="J1197">
        <v>7905.39</v>
      </c>
      <c r="K1197">
        <v>7769.61</v>
      </c>
      <c r="L1197" s="20">
        <f>tbl_Budget[[#This Row],[Actual]]-tbl_Budget[[#This Row],[Budget]]</f>
        <v>-135.78000000000065</v>
      </c>
      <c r="M1197" s="3">
        <f>tbl_Budget[[#This Row],[Variance]]/tbl_Budget[[#This Row],[Budget]]</f>
        <v>-1.7175623214035065E-2</v>
      </c>
      <c r="N1197" t="str">
        <f>IF(tbl_Budget[[#This Row],[Variance_%]]&gt;0.05,"Overspend",IF(tbl_Budget[[#This Row],[Variance_%]]&lt;-0.05,"Underspend","On Budget"))</f>
        <v>On Budget</v>
      </c>
    </row>
    <row r="1198" spans="1:14" hidden="1">
      <c r="A1198" s="1">
        <v>45261</v>
      </c>
      <c r="B1198">
        <v>12</v>
      </c>
      <c r="C1198" t="s">
        <v>52</v>
      </c>
      <c r="D1198" t="s">
        <v>53</v>
      </c>
      <c r="E1198">
        <v>2023</v>
      </c>
      <c r="F1198" t="s">
        <v>30</v>
      </c>
      <c r="G1198" t="s">
        <v>23</v>
      </c>
      <c r="H1198" t="s">
        <v>15</v>
      </c>
      <c r="I1198" t="s">
        <v>31</v>
      </c>
      <c r="J1198">
        <v>6326.62</v>
      </c>
      <c r="K1198">
        <v>6527.29</v>
      </c>
      <c r="L1198" s="20">
        <f>tbl_Budget[[#This Row],[Actual]]-tbl_Budget[[#This Row],[Budget]]</f>
        <v>200.67000000000007</v>
      </c>
      <c r="M1198" s="3">
        <f>tbl_Budget[[#This Row],[Variance]]/tbl_Budget[[#This Row],[Budget]]</f>
        <v>3.1718358301905294E-2</v>
      </c>
      <c r="N1198" t="str">
        <f>IF(tbl_Budget[[#This Row],[Variance_%]]&gt;0.05,"Overspend",IF(tbl_Budget[[#This Row],[Variance_%]]&lt;-0.05,"Underspend","On Budget"))</f>
        <v>On Budget</v>
      </c>
    </row>
    <row r="1199" spans="1:14" hidden="1">
      <c r="A1199" s="1">
        <v>45261</v>
      </c>
      <c r="B1199">
        <v>12</v>
      </c>
      <c r="C1199" t="s">
        <v>52</v>
      </c>
      <c r="D1199" t="s">
        <v>53</v>
      </c>
      <c r="E1199">
        <v>2023</v>
      </c>
      <c r="F1199" t="s">
        <v>30</v>
      </c>
      <c r="G1199" t="s">
        <v>23</v>
      </c>
      <c r="H1199" t="s">
        <v>17</v>
      </c>
      <c r="I1199" t="s">
        <v>31</v>
      </c>
      <c r="J1199">
        <v>6005.98</v>
      </c>
      <c r="K1199">
        <v>5856.44</v>
      </c>
      <c r="L1199" s="20">
        <f>tbl_Budget[[#This Row],[Actual]]-tbl_Budget[[#This Row],[Budget]]</f>
        <v>-149.53999999999996</v>
      </c>
      <c r="M1199" s="3">
        <f>tbl_Budget[[#This Row],[Variance]]/tbl_Budget[[#This Row],[Budget]]</f>
        <v>-2.4898517810582117E-2</v>
      </c>
      <c r="N1199" t="str">
        <f>IF(tbl_Budget[[#This Row],[Variance_%]]&gt;0.05,"Overspend",IF(tbl_Budget[[#This Row],[Variance_%]]&lt;-0.05,"Underspend","On Budget"))</f>
        <v>On Budget</v>
      </c>
    </row>
    <row r="1200" spans="1:14" hidden="1">
      <c r="A1200" s="1">
        <v>45261</v>
      </c>
      <c r="B1200">
        <v>12</v>
      </c>
      <c r="C1200" t="s">
        <v>52</v>
      </c>
      <c r="D1200" t="s">
        <v>53</v>
      </c>
      <c r="E1200">
        <v>2023</v>
      </c>
      <c r="F1200" t="s">
        <v>30</v>
      </c>
      <c r="G1200" t="s">
        <v>23</v>
      </c>
      <c r="H1200" t="s">
        <v>18</v>
      </c>
      <c r="I1200" t="s">
        <v>31</v>
      </c>
      <c r="J1200">
        <v>6168.76</v>
      </c>
      <c r="K1200">
        <v>5871.11</v>
      </c>
      <c r="L1200" s="20">
        <f>tbl_Budget[[#This Row],[Actual]]-tbl_Budget[[#This Row],[Budget]]</f>
        <v>-297.65000000000055</v>
      </c>
      <c r="M1200" s="3">
        <f>tbl_Budget[[#This Row],[Variance]]/tbl_Budget[[#This Row],[Budget]]</f>
        <v>-4.8251188245287631E-2</v>
      </c>
      <c r="N1200" t="str">
        <f>IF(tbl_Budget[[#This Row],[Variance_%]]&gt;0.05,"Overspend",IF(tbl_Budget[[#This Row],[Variance_%]]&lt;-0.05,"Underspend","On Budget"))</f>
        <v>On Budget</v>
      </c>
    </row>
    <row r="1201" spans="1:14" hidden="1">
      <c r="A1201" s="1">
        <v>45261</v>
      </c>
      <c r="B1201">
        <v>12</v>
      </c>
      <c r="C1201" t="s">
        <v>52</v>
      </c>
      <c r="D1201" t="s">
        <v>53</v>
      </c>
      <c r="E1201">
        <v>2023</v>
      </c>
      <c r="F1201" t="s">
        <v>30</v>
      </c>
      <c r="G1201" t="s">
        <v>23</v>
      </c>
      <c r="H1201" t="s">
        <v>19</v>
      </c>
      <c r="I1201" t="s">
        <v>31</v>
      </c>
      <c r="J1201">
        <v>6640.38</v>
      </c>
      <c r="K1201">
        <v>6831.33</v>
      </c>
      <c r="L1201" s="20">
        <f>tbl_Budget[[#This Row],[Actual]]-tbl_Budget[[#This Row],[Budget]]</f>
        <v>190.94999999999982</v>
      </c>
      <c r="M1201" s="3">
        <f>tbl_Budget[[#This Row],[Variance]]/tbl_Budget[[#This Row],[Budget]]</f>
        <v>2.8755884452395769E-2</v>
      </c>
      <c r="N1201" t="str">
        <f>IF(tbl_Budget[[#This Row],[Variance_%]]&gt;0.05,"Overspend",IF(tbl_Budget[[#This Row],[Variance_%]]&lt;-0.05,"Underspend","On Budget"))</f>
        <v>On Budget</v>
      </c>
    </row>
    <row r="1202" spans="1:14" hidden="1">
      <c r="A1202" s="1">
        <v>45292</v>
      </c>
      <c r="B1202">
        <v>1</v>
      </c>
      <c r="C1202" t="s">
        <v>11</v>
      </c>
      <c r="D1202" t="s">
        <v>54</v>
      </c>
      <c r="E1202">
        <v>2024</v>
      </c>
      <c r="F1202" t="s">
        <v>13</v>
      </c>
      <c r="G1202" t="s">
        <v>14</v>
      </c>
      <c r="H1202" t="s">
        <v>15</v>
      </c>
      <c r="I1202" t="s">
        <v>16</v>
      </c>
      <c r="J1202">
        <v>49520.56</v>
      </c>
      <c r="K1202">
        <v>59430.78</v>
      </c>
      <c r="L1202" s="20">
        <f>tbl_Budget[[#This Row],[Actual]]-tbl_Budget[[#This Row],[Budget]]</f>
        <v>9910.2200000000012</v>
      </c>
      <c r="M1202" s="3">
        <f>tbl_Budget[[#This Row],[Variance]]/tbl_Budget[[#This Row],[Budget]]</f>
        <v>0.20012334270856391</v>
      </c>
      <c r="N1202" t="str">
        <f>IF(tbl_Budget[[#This Row],[Variance_%]]&gt;0.05,"Overspend",IF(tbl_Budget[[#This Row],[Variance_%]]&lt;-0.05,"Underspend","On Budget"))</f>
        <v>Overspend</v>
      </c>
    </row>
    <row r="1203" spans="1:14" hidden="1">
      <c r="A1203" s="1">
        <v>45292</v>
      </c>
      <c r="B1203">
        <v>1</v>
      </c>
      <c r="C1203" t="s">
        <v>11</v>
      </c>
      <c r="D1203" t="s">
        <v>54</v>
      </c>
      <c r="E1203">
        <v>2024</v>
      </c>
      <c r="F1203" t="s">
        <v>13</v>
      </c>
      <c r="G1203" t="s">
        <v>14</v>
      </c>
      <c r="H1203" t="s">
        <v>17</v>
      </c>
      <c r="I1203" t="s">
        <v>16</v>
      </c>
      <c r="J1203">
        <v>48459.37</v>
      </c>
      <c r="K1203">
        <v>54383.27</v>
      </c>
      <c r="L1203" s="20">
        <f>tbl_Budget[[#This Row],[Actual]]-tbl_Budget[[#This Row],[Budget]]</f>
        <v>5923.8999999999942</v>
      </c>
      <c r="M1203" s="3">
        <f>tbl_Budget[[#This Row],[Variance]]/tbl_Budget[[#This Row],[Budget]]</f>
        <v>0.12224467631337332</v>
      </c>
      <c r="N1203" t="str">
        <f>IF(tbl_Budget[[#This Row],[Variance_%]]&gt;0.05,"Overspend",IF(tbl_Budget[[#This Row],[Variance_%]]&lt;-0.05,"Underspend","On Budget"))</f>
        <v>Overspend</v>
      </c>
    </row>
    <row r="1204" spans="1:14" hidden="1">
      <c r="A1204" s="1">
        <v>45292</v>
      </c>
      <c r="B1204">
        <v>1</v>
      </c>
      <c r="C1204" t="s">
        <v>11</v>
      </c>
      <c r="D1204" t="s">
        <v>54</v>
      </c>
      <c r="E1204">
        <v>2024</v>
      </c>
      <c r="F1204" t="s">
        <v>13</v>
      </c>
      <c r="G1204" t="s">
        <v>14</v>
      </c>
      <c r="H1204" t="s">
        <v>18</v>
      </c>
      <c r="I1204" t="s">
        <v>16</v>
      </c>
      <c r="J1204">
        <v>48073.95</v>
      </c>
      <c r="K1204">
        <v>53371.12</v>
      </c>
      <c r="L1204" s="20">
        <f>tbl_Budget[[#This Row],[Actual]]-tbl_Budget[[#This Row],[Budget]]</f>
        <v>5297.1700000000055</v>
      </c>
      <c r="M1204" s="3">
        <f>tbl_Budget[[#This Row],[Variance]]/tbl_Budget[[#This Row],[Budget]]</f>
        <v>0.11018795002282954</v>
      </c>
      <c r="N1204" t="str">
        <f>IF(tbl_Budget[[#This Row],[Variance_%]]&gt;0.05,"Overspend",IF(tbl_Budget[[#This Row],[Variance_%]]&lt;-0.05,"Underspend","On Budget"))</f>
        <v>Overspend</v>
      </c>
    </row>
    <row r="1205" spans="1:14" hidden="1">
      <c r="A1205" s="1">
        <v>45292</v>
      </c>
      <c r="B1205">
        <v>1</v>
      </c>
      <c r="C1205" t="s">
        <v>11</v>
      </c>
      <c r="D1205" t="s">
        <v>54</v>
      </c>
      <c r="E1205">
        <v>2024</v>
      </c>
      <c r="F1205" t="s">
        <v>13</v>
      </c>
      <c r="G1205" t="s">
        <v>14</v>
      </c>
      <c r="H1205" t="s">
        <v>19</v>
      </c>
      <c r="I1205" t="s">
        <v>16</v>
      </c>
      <c r="J1205">
        <v>52584.25</v>
      </c>
      <c r="K1205">
        <v>59867.76</v>
      </c>
      <c r="L1205" s="20">
        <f>tbl_Budget[[#This Row],[Actual]]-tbl_Budget[[#This Row],[Budget]]</f>
        <v>7283.510000000002</v>
      </c>
      <c r="M1205" s="3">
        <f>tbl_Budget[[#This Row],[Variance]]/tbl_Budget[[#This Row],[Budget]]</f>
        <v>0.13851124623817973</v>
      </c>
      <c r="N1205" t="str">
        <f>IF(tbl_Budget[[#This Row],[Variance_%]]&gt;0.05,"Overspend",IF(tbl_Budget[[#This Row],[Variance_%]]&lt;-0.05,"Underspend","On Budget"))</f>
        <v>Overspend</v>
      </c>
    </row>
    <row r="1206" spans="1:14" hidden="1">
      <c r="A1206" s="1">
        <v>45292</v>
      </c>
      <c r="B1206">
        <v>1</v>
      </c>
      <c r="C1206" t="s">
        <v>11</v>
      </c>
      <c r="D1206" t="s">
        <v>54</v>
      </c>
      <c r="E1206">
        <v>2024</v>
      </c>
      <c r="F1206" t="s">
        <v>13</v>
      </c>
      <c r="G1206" t="s">
        <v>20</v>
      </c>
      <c r="H1206" t="s">
        <v>15</v>
      </c>
      <c r="I1206" t="s">
        <v>16</v>
      </c>
      <c r="J1206">
        <v>18961.240000000002</v>
      </c>
      <c r="K1206">
        <v>21638.21</v>
      </c>
      <c r="L1206" s="20">
        <f>tbl_Budget[[#This Row],[Actual]]-tbl_Budget[[#This Row],[Budget]]</f>
        <v>2676.9699999999975</v>
      </c>
      <c r="M1206" s="3">
        <f>tbl_Budget[[#This Row],[Variance]]/tbl_Budget[[#This Row],[Budget]]</f>
        <v>0.14118116747638854</v>
      </c>
      <c r="N1206" t="str">
        <f>IF(tbl_Budget[[#This Row],[Variance_%]]&gt;0.05,"Overspend",IF(tbl_Budget[[#This Row],[Variance_%]]&lt;-0.05,"Underspend","On Budget"))</f>
        <v>Overspend</v>
      </c>
    </row>
    <row r="1207" spans="1:14" hidden="1">
      <c r="A1207" s="1">
        <v>45292</v>
      </c>
      <c r="B1207">
        <v>1</v>
      </c>
      <c r="C1207" t="s">
        <v>11</v>
      </c>
      <c r="D1207" t="s">
        <v>54</v>
      </c>
      <c r="E1207">
        <v>2024</v>
      </c>
      <c r="F1207" t="s">
        <v>13</v>
      </c>
      <c r="G1207" t="s">
        <v>20</v>
      </c>
      <c r="H1207" t="s">
        <v>17</v>
      </c>
      <c r="I1207" t="s">
        <v>16</v>
      </c>
      <c r="J1207">
        <v>18678.64</v>
      </c>
      <c r="K1207">
        <v>21178.27</v>
      </c>
      <c r="L1207" s="20">
        <f>tbl_Budget[[#This Row],[Actual]]-tbl_Budget[[#This Row],[Budget]]</f>
        <v>2499.630000000001</v>
      </c>
      <c r="M1207" s="3">
        <f>tbl_Budget[[#This Row],[Variance]]/tbl_Budget[[#This Row],[Budget]]</f>
        <v>0.13382291216062844</v>
      </c>
      <c r="N1207" t="str">
        <f>IF(tbl_Budget[[#This Row],[Variance_%]]&gt;0.05,"Overspend",IF(tbl_Budget[[#This Row],[Variance_%]]&lt;-0.05,"Underspend","On Budget"))</f>
        <v>Overspend</v>
      </c>
    </row>
    <row r="1208" spans="1:14" hidden="1">
      <c r="A1208" s="1">
        <v>45292</v>
      </c>
      <c r="B1208">
        <v>1</v>
      </c>
      <c r="C1208" t="s">
        <v>11</v>
      </c>
      <c r="D1208" t="s">
        <v>54</v>
      </c>
      <c r="E1208">
        <v>2024</v>
      </c>
      <c r="F1208" t="s">
        <v>13</v>
      </c>
      <c r="G1208" t="s">
        <v>20</v>
      </c>
      <c r="H1208" t="s">
        <v>18</v>
      </c>
      <c r="I1208" t="s">
        <v>16</v>
      </c>
      <c r="J1208">
        <v>18388.740000000002</v>
      </c>
      <c r="K1208">
        <v>20422.38</v>
      </c>
      <c r="L1208" s="20">
        <f>tbl_Budget[[#This Row],[Actual]]-tbl_Budget[[#This Row],[Budget]]</f>
        <v>2033.6399999999994</v>
      </c>
      <c r="M1208" s="3">
        <f>tbl_Budget[[#This Row],[Variance]]/tbl_Budget[[#This Row],[Budget]]</f>
        <v>0.11059159028840471</v>
      </c>
      <c r="N1208" t="str">
        <f>IF(tbl_Budget[[#This Row],[Variance_%]]&gt;0.05,"Overspend",IF(tbl_Budget[[#This Row],[Variance_%]]&lt;-0.05,"Underspend","On Budget"))</f>
        <v>Overspend</v>
      </c>
    </row>
    <row r="1209" spans="1:14" hidden="1">
      <c r="A1209" s="1">
        <v>45292</v>
      </c>
      <c r="B1209">
        <v>1</v>
      </c>
      <c r="C1209" t="s">
        <v>11</v>
      </c>
      <c r="D1209" t="s">
        <v>54</v>
      </c>
      <c r="E1209">
        <v>2024</v>
      </c>
      <c r="F1209" t="s">
        <v>13</v>
      </c>
      <c r="G1209" t="s">
        <v>20</v>
      </c>
      <c r="H1209" t="s">
        <v>19</v>
      </c>
      <c r="I1209" t="s">
        <v>16</v>
      </c>
      <c r="J1209">
        <v>19547.740000000002</v>
      </c>
      <c r="K1209">
        <v>22328.9</v>
      </c>
      <c r="L1209" s="20">
        <f>tbl_Budget[[#This Row],[Actual]]-tbl_Budget[[#This Row],[Budget]]</f>
        <v>2781.16</v>
      </c>
      <c r="M1209" s="3">
        <f>tbl_Budget[[#This Row],[Variance]]/tbl_Budget[[#This Row],[Budget]]</f>
        <v>0.14227527069625437</v>
      </c>
      <c r="N1209" t="str">
        <f>IF(tbl_Budget[[#This Row],[Variance_%]]&gt;0.05,"Overspend",IF(tbl_Budget[[#This Row],[Variance_%]]&lt;-0.05,"Underspend","On Budget"))</f>
        <v>Overspend</v>
      </c>
    </row>
    <row r="1210" spans="1:14">
      <c r="A1210" s="1">
        <v>45292</v>
      </c>
      <c r="B1210">
        <v>1</v>
      </c>
      <c r="C1210" t="s">
        <v>11</v>
      </c>
      <c r="D1210" t="s">
        <v>54</v>
      </c>
      <c r="E1210">
        <v>2024</v>
      </c>
      <c r="F1210" t="s">
        <v>13</v>
      </c>
      <c r="G1210" t="s">
        <v>21</v>
      </c>
      <c r="H1210" t="s">
        <v>15</v>
      </c>
      <c r="I1210" t="s">
        <v>16</v>
      </c>
      <c r="J1210">
        <v>10593.28</v>
      </c>
      <c r="K1210">
        <v>11717.05</v>
      </c>
      <c r="L1210" s="20">
        <f>tbl_Budget[[#This Row],[Actual]]-tbl_Budget[[#This Row],[Budget]]</f>
        <v>1123.7699999999986</v>
      </c>
      <c r="M1210" s="3">
        <f>tbl_Budget[[#This Row],[Variance]]/tbl_Budget[[#This Row],[Budget]]</f>
        <v>0.10608329053890755</v>
      </c>
      <c r="N1210" t="str">
        <f>IF(tbl_Budget[[#This Row],[Variance_%]]&gt;0.05,"Overspend",IF(tbl_Budget[[#This Row],[Variance_%]]&lt;-0.05,"Underspend","On Budget"))</f>
        <v>Overspend</v>
      </c>
    </row>
    <row r="1211" spans="1:14">
      <c r="A1211" s="1">
        <v>45292</v>
      </c>
      <c r="B1211">
        <v>1</v>
      </c>
      <c r="C1211" t="s">
        <v>11</v>
      </c>
      <c r="D1211" t="s">
        <v>54</v>
      </c>
      <c r="E1211">
        <v>2024</v>
      </c>
      <c r="F1211" t="s">
        <v>13</v>
      </c>
      <c r="G1211" t="s">
        <v>21</v>
      </c>
      <c r="H1211" t="s">
        <v>17</v>
      </c>
      <c r="I1211" t="s">
        <v>16</v>
      </c>
      <c r="J1211">
        <v>10552.33</v>
      </c>
      <c r="K1211">
        <v>12227.6</v>
      </c>
      <c r="L1211" s="20">
        <f>tbl_Budget[[#This Row],[Actual]]-tbl_Budget[[#This Row],[Budget]]</f>
        <v>1675.2700000000004</v>
      </c>
      <c r="M1211" s="3">
        <f>tbl_Budget[[#This Row],[Variance]]/tbl_Budget[[#This Row],[Budget]]</f>
        <v>0.15875830266869975</v>
      </c>
      <c r="N1211" t="str">
        <f>IF(tbl_Budget[[#This Row],[Variance_%]]&gt;0.05,"Overspend",IF(tbl_Budget[[#This Row],[Variance_%]]&lt;-0.05,"Underspend","On Budget"))</f>
        <v>Overspend</v>
      </c>
    </row>
    <row r="1212" spans="1:14">
      <c r="A1212" s="1">
        <v>45292</v>
      </c>
      <c r="B1212">
        <v>1</v>
      </c>
      <c r="C1212" t="s">
        <v>11</v>
      </c>
      <c r="D1212" t="s">
        <v>54</v>
      </c>
      <c r="E1212">
        <v>2024</v>
      </c>
      <c r="F1212" t="s">
        <v>13</v>
      </c>
      <c r="G1212" t="s">
        <v>21</v>
      </c>
      <c r="H1212" t="s">
        <v>18</v>
      </c>
      <c r="I1212" t="s">
        <v>16</v>
      </c>
      <c r="J1212">
        <v>10193.18</v>
      </c>
      <c r="K1212">
        <v>11727.94</v>
      </c>
      <c r="L1212" s="20">
        <f>tbl_Budget[[#This Row],[Actual]]-tbl_Budget[[#This Row],[Budget]]</f>
        <v>1534.7600000000002</v>
      </c>
      <c r="M1212" s="3">
        <f>tbl_Budget[[#This Row],[Variance]]/tbl_Budget[[#This Row],[Budget]]</f>
        <v>0.15056734012349435</v>
      </c>
      <c r="N1212" t="str">
        <f>IF(tbl_Budget[[#This Row],[Variance_%]]&gt;0.05,"Overspend",IF(tbl_Budget[[#This Row],[Variance_%]]&lt;-0.05,"Underspend","On Budget"))</f>
        <v>Overspend</v>
      </c>
    </row>
    <row r="1213" spans="1:14">
      <c r="A1213" s="1">
        <v>45292</v>
      </c>
      <c r="B1213">
        <v>1</v>
      </c>
      <c r="C1213" t="s">
        <v>11</v>
      </c>
      <c r="D1213" t="s">
        <v>54</v>
      </c>
      <c r="E1213">
        <v>2024</v>
      </c>
      <c r="F1213" t="s">
        <v>13</v>
      </c>
      <c r="G1213" t="s">
        <v>21</v>
      </c>
      <c r="H1213" t="s">
        <v>19</v>
      </c>
      <c r="I1213" t="s">
        <v>16</v>
      </c>
      <c r="J1213">
        <v>11245.66</v>
      </c>
      <c r="K1213">
        <v>13195.65</v>
      </c>
      <c r="L1213" s="20">
        <f>tbl_Budget[[#This Row],[Actual]]-tbl_Budget[[#This Row],[Budget]]</f>
        <v>1949.9899999999998</v>
      </c>
      <c r="M1213" s="3">
        <f>tbl_Budget[[#This Row],[Variance]]/tbl_Budget[[#This Row],[Budget]]</f>
        <v>0.1733993380557477</v>
      </c>
      <c r="N1213" t="str">
        <f>IF(tbl_Budget[[#This Row],[Variance_%]]&gt;0.05,"Overspend",IF(tbl_Budget[[#This Row],[Variance_%]]&lt;-0.05,"Underspend","On Budget"))</f>
        <v>Overspend</v>
      </c>
    </row>
    <row r="1214" spans="1:14" hidden="1">
      <c r="A1214" s="1">
        <v>45292</v>
      </c>
      <c r="B1214">
        <v>1</v>
      </c>
      <c r="C1214" t="s">
        <v>11</v>
      </c>
      <c r="D1214" t="s">
        <v>54</v>
      </c>
      <c r="E1214">
        <v>2024</v>
      </c>
      <c r="F1214" t="s">
        <v>13</v>
      </c>
      <c r="G1214" t="s">
        <v>22</v>
      </c>
      <c r="H1214" t="s">
        <v>15</v>
      </c>
      <c r="I1214" t="s">
        <v>16</v>
      </c>
      <c r="J1214">
        <v>8297.1299999999992</v>
      </c>
      <c r="K1214">
        <v>9079.0400000000009</v>
      </c>
      <c r="L1214" s="20">
        <f>tbl_Budget[[#This Row],[Actual]]-tbl_Budget[[#This Row],[Budget]]</f>
        <v>781.91000000000167</v>
      </c>
      <c r="M1214" s="3">
        <f>tbl_Budget[[#This Row],[Variance]]/tbl_Budget[[#This Row],[Budget]]</f>
        <v>9.4238610218232294E-2</v>
      </c>
      <c r="N1214" t="str">
        <f>IF(tbl_Budget[[#This Row],[Variance_%]]&gt;0.05,"Overspend",IF(tbl_Budget[[#This Row],[Variance_%]]&lt;-0.05,"Underspend","On Budget"))</f>
        <v>Overspend</v>
      </c>
    </row>
    <row r="1215" spans="1:14" hidden="1">
      <c r="A1215" s="1">
        <v>45292</v>
      </c>
      <c r="B1215">
        <v>1</v>
      </c>
      <c r="C1215" t="s">
        <v>11</v>
      </c>
      <c r="D1215" t="s">
        <v>54</v>
      </c>
      <c r="E1215">
        <v>2024</v>
      </c>
      <c r="F1215" t="s">
        <v>13</v>
      </c>
      <c r="G1215" t="s">
        <v>22</v>
      </c>
      <c r="H1215" t="s">
        <v>17</v>
      </c>
      <c r="I1215" t="s">
        <v>16</v>
      </c>
      <c r="J1215">
        <v>7956.98</v>
      </c>
      <c r="K1215">
        <v>9407.15</v>
      </c>
      <c r="L1215" s="20">
        <f>tbl_Budget[[#This Row],[Actual]]-tbl_Budget[[#This Row],[Budget]]</f>
        <v>1450.17</v>
      </c>
      <c r="M1215" s="3">
        <f>tbl_Budget[[#This Row],[Variance]]/tbl_Budget[[#This Row],[Budget]]</f>
        <v>0.18225130640016693</v>
      </c>
      <c r="N1215" t="str">
        <f>IF(tbl_Budget[[#This Row],[Variance_%]]&gt;0.05,"Overspend",IF(tbl_Budget[[#This Row],[Variance_%]]&lt;-0.05,"Underspend","On Budget"))</f>
        <v>Overspend</v>
      </c>
    </row>
    <row r="1216" spans="1:14" hidden="1">
      <c r="A1216" s="1">
        <v>45292</v>
      </c>
      <c r="B1216">
        <v>1</v>
      </c>
      <c r="C1216" t="s">
        <v>11</v>
      </c>
      <c r="D1216" t="s">
        <v>54</v>
      </c>
      <c r="E1216">
        <v>2024</v>
      </c>
      <c r="F1216" t="s">
        <v>13</v>
      </c>
      <c r="G1216" t="s">
        <v>22</v>
      </c>
      <c r="H1216" t="s">
        <v>18</v>
      </c>
      <c r="I1216" t="s">
        <v>16</v>
      </c>
      <c r="J1216">
        <v>8189.83</v>
      </c>
      <c r="K1216">
        <v>9485.2000000000007</v>
      </c>
      <c r="L1216" s="20">
        <f>tbl_Budget[[#This Row],[Actual]]-tbl_Budget[[#This Row],[Budget]]</f>
        <v>1295.3700000000008</v>
      </c>
      <c r="M1216" s="3">
        <f>tbl_Budget[[#This Row],[Variance]]/tbl_Budget[[#This Row],[Budget]]</f>
        <v>0.15816811826374916</v>
      </c>
      <c r="N1216" t="str">
        <f>IF(tbl_Budget[[#This Row],[Variance_%]]&gt;0.05,"Overspend",IF(tbl_Budget[[#This Row],[Variance_%]]&lt;-0.05,"Underspend","On Budget"))</f>
        <v>Overspend</v>
      </c>
    </row>
    <row r="1217" spans="1:14" hidden="1">
      <c r="A1217" s="1">
        <v>45292</v>
      </c>
      <c r="B1217">
        <v>1</v>
      </c>
      <c r="C1217" t="s">
        <v>11</v>
      </c>
      <c r="D1217" t="s">
        <v>54</v>
      </c>
      <c r="E1217">
        <v>2024</v>
      </c>
      <c r="F1217" t="s">
        <v>13</v>
      </c>
      <c r="G1217" t="s">
        <v>22</v>
      </c>
      <c r="H1217" t="s">
        <v>19</v>
      </c>
      <c r="I1217" t="s">
        <v>16</v>
      </c>
      <c r="J1217">
        <v>8542.76</v>
      </c>
      <c r="K1217">
        <v>9712.9699999999993</v>
      </c>
      <c r="L1217" s="20">
        <f>tbl_Budget[[#This Row],[Actual]]-tbl_Budget[[#This Row],[Budget]]</f>
        <v>1170.2099999999991</v>
      </c>
      <c r="M1217" s="3">
        <f>tbl_Budget[[#This Row],[Variance]]/tbl_Budget[[#This Row],[Budget]]</f>
        <v>0.13698266134129944</v>
      </c>
      <c r="N1217" t="str">
        <f>IF(tbl_Budget[[#This Row],[Variance_%]]&gt;0.05,"Overspend",IF(tbl_Budget[[#This Row],[Variance_%]]&lt;-0.05,"Underspend","On Budget"))</f>
        <v>Overspend</v>
      </c>
    </row>
    <row r="1218" spans="1:14" hidden="1">
      <c r="A1218" s="1">
        <v>45292</v>
      </c>
      <c r="B1218">
        <v>1</v>
      </c>
      <c r="C1218" t="s">
        <v>11</v>
      </c>
      <c r="D1218" t="s">
        <v>54</v>
      </c>
      <c r="E1218">
        <v>2024</v>
      </c>
      <c r="F1218" t="s">
        <v>13</v>
      </c>
      <c r="G1218" t="s">
        <v>23</v>
      </c>
      <c r="H1218" t="s">
        <v>15</v>
      </c>
      <c r="I1218" t="s">
        <v>16</v>
      </c>
      <c r="J1218">
        <v>8606.56</v>
      </c>
      <c r="K1218">
        <v>10173.35</v>
      </c>
      <c r="L1218" s="20">
        <f>tbl_Budget[[#This Row],[Actual]]-tbl_Budget[[#This Row],[Budget]]</f>
        <v>1566.7900000000009</v>
      </c>
      <c r="M1218" s="3">
        <f>tbl_Budget[[#This Row],[Variance]]/tbl_Budget[[#This Row],[Budget]]</f>
        <v>0.18204602070978429</v>
      </c>
      <c r="N1218" t="str">
        <f>IF(tbl_Budget[[#This Row],[Variance_%]]&gt;0.05,"Overspend",IF(tbl_Budget[[#This Row],[Variance_%]]&lt;-0.05,"Underspend","On Budget"))</f>
        <v>Overspend</v>
      </c>
    </row>
    <row r="1219" spans="1:14" hidden="1">
      <c r="A1219" s="1">
        <v>45292</v>
      </c>
      <c r="B1219">
        <v>1</v>
      </c>
      <c r="C1219" t="s">
        <v>11</v>
      </c>
      <c r="D1219" t="s">
        <v>54</v>
      </c>
      <c r="E1219">
        <v>2024</v>
      </c>
      <c r="F1219" t="s">
        <v>13</v>
      </c>
      <c r="G1219" t="s">
        <v>23</v>
      </c>
      <c r="H1219" t="s">
        <v>17</v>
      </c>
      <c r="I1219" t="s">
        <v>16</v>
      </c>
      <c r="J1219">
        <v>8346.24</v>
      </c>
      <c r="K1219">
        <v>10059.94</v>
      </c>
      <c r="L1219" s="20">
        <f>tbl_Budget[[#This Row],[Actual]]-tbl_Budget[[#This Row],[Budget]]</f>
        <v>1713.7000000000007</v>
      </c>
      <c r="M1219" s="3">
        <f>tbl_Budget[[#This Row],[Variance]]/tbl_Budget[[#This Row],[Budget]]</f>
        <v>0.20532599110497671</v>
      </c>
      <c r="N1219" t="str">
        <f>IF(tbl_Budget[[#This Row],[Variance_%]]&gt;0.05,"Overspend",IF(tbl_Budget[[#This Row],[Variance_%]]&lt;-0.05,"Underspend","On Budget"))</f>
        <v>Overspend</v>
      </c>
    </row>
    <row r="1220" spans="1:14" hidden="1">
      <c r="A1220" s="1">
        <v>45292</v>
      </c>
      <c r="B1220">
        <v>1</v>
      </c>
      <c r="C1220" t="s">
        <v>11</v>
      </c>
      <c r="D1220" t="s">
        <v>54</v>
      </c>
      <c r="E1220">
        <v>2024</v>
      </c>
      <c r="F1220" t="s">
        <v>13</v>
      </c>
      <c r="G1220" t="s">
        <v>23</v>
      </c>
      <c r="H1220" t="s">
        <v>18</v>
      </c>
      <c r="I1220" t="s">
        <v>16</v>
      </c>
      <c r="J1220">
        <v>8563.77</v>
      </c>
      <c r="K1220">
        <v>10179.629999999999</v>
      </c>
      <c r="L1220" s="20">
        <f>tbl_Budget[[#This Row],[Actual]]-tbl_Budget[[#This Row],[Budget]]</f>
        <v>1615.8599999999988</v>
      </c>
      <c r="M1220" s="3">
        <f>tbl_Budget[[#This Row],[Variance]]/tbl_Budget[[#This Row],[Budget]]</f>
        <v>0.18868559057517878</v>
      </c>
      <c r="N1220" t="str">
        <f>IF(tbl_Budget[[#This Row],[Variance_%]]&gt;0.05,"Overspend",IF(tbl_Budget[[#This Row],[Variance_%]]&lt;-0.05,"Underspend","On Budget"))</f>
        <v>Overspend</v>
      </c>
    </row>
    <row r="1221" spans="1:14" hidden="1">
      <c r="A1221" s="1">
        <v>45292</v>
      </c>
      <c r="B1221">
        <v>1</v>
      </c>
      <c r="C1221" t="s">
        <v>11</v>
      </c>
      <c r="D1221" t="s">
        <v>54</v>
      </c>
      <c r="E1221">
        <v>2024</v>
      </c>
      <c r="F1221" t="s">
        <v>13</v>
      </c>
      <c r="G1221" t="s">
        <v>23</v>
      </c>
      <c r="H1221" t="s">
        <v>19</v>
      </c>
      <c r="I1221" t="s">
        <v>16</v>
      </c>
      <c r="J1221">
        <v>9136.11</v>
      </c>
      <c r="K1221">
        <v>10898.25</v>
      </c>
      <c r="L1221" s="20">
        <f>tbl_Budget[[#This Row],[Actual]]-tbl_Budget[[#This Row],[Budget]]</f>
        <v>1762.1399999999994</v>
      </c>
      <c r="M1221" s="3">
        <f>tbl_Budget[[#This Row],[Variance]]/tbl_Budget[[#This Row],[Budget]]</f>
        <v>0.19287639925526284</v>
      </c>
      <c r="N1221" t="str">
        <f>IF(tbl_Budget[[#This Row],[Variance_%]]&gt;0.05,"Overspend",IF(tbl_Budget[[#This Row],[Variance_%]]&lt;-0.05,"Underspend","On Budget"))</f>
        <v>Overspend</v>
      </c>
    </row>
    <row r="1222" spans="1:14" hidden="1">
      <c r="A1222" s="1">
        <v>45292</v>
      </c>
      <c r="B1222">
        <v>1</v>
      </c>
      <c r="C1222" t="s">
        <v>11</v>
      </c>
      <c r="D1222" t="s">
        <v>54</v>
      </c>
      <c r="E1222">
        <v>2024</v>
      </c>
      <c r="F1222" t="s">
        <v>24</v>
      </c>
      <c r="G1222" t="s">
        <v>14</v>
      </c>
      <c r="H1222" t="s">
        <v>15</v>
      </c>
      <c r="I1222" t="s">
        <v>25</v>
      </c>
      <c r="J1222">
        <v>53529.16</v>
      </c>
      <c r="K1222">
        <v>47207.12</v>
      </c>
      <c r="L1222" s="20">
        <f>tbl_Budget[[#This Row],[Actual]]-tbl_Budget[[#This Row],[Budget]]</f>
        <v>-6322.0400000000009</v>
      </c>
      <c r="M1222" s="3">
        <f>tbl_Budget[[#This Row],[Variance]]/tbl_Budget[[#This Row],[Budget]]</f>
        <v>-0.11810459943701714</v>
      </c>
      <c r="N1222" t="str">
        <f>IF(tbl_Budget[[#This Row],[Variance_%]]&gt;0.05,"Overspend",IF(tbl_Budget[[#This Row],[Variance_%]]&lt;-0.05,"Underspend","On Budget"))</f>
        <v>Underspend</v>
      </c>
    </row>
    <row r="1223" spans="1:14" hidden="1">
      <c r="A1223" s="1">
        <v>45292</v>
      </c>
      <c r="B1223">
        <v>1</v>
      </c>
      <c r="C1223" t="s">
        <v>11</v>
      </c>
      <c r="D1223" t="s">
        <v>54</v>
      </c>
      <c r="E1223">
        <v>2024</v>
      </c>
      <c r="F1223" t="s">
        <v>24</v>
      </c>
      <c r="G1223" t="s">
        <v>14</v>
      </c>
      <c r="H1223" t="s">
        <v>17</v>
      </c>
      <c r="I1223" t="s">
        <v>25</v>
      </c>
      <c r="J1223">
        <v>50303.519999999997</v>
      </c>
      <c r="K1223">
        <v>45088.09</v>
      </c>
      <c r="L1223" s="20">
        <f>tbl_Budget[[#This Row],[Actual]]-tbl_Budget[[#This Row],[Budget]]</f>
        <v>-5215.43</v>
      </c>
      <c r="M1223" s="3">
        <f>tbl_Budget[[#This Row],[Variance]]/tbl_Budget[[#This Row],[Budget]]</f>
        <v>-0.10367922562874329</v>
      </c>
      <c r="N1223" t="str">
        <f>IF(tbl_Budget[[#This Row],[Variance_%]]&gt;0.05,"Overspend",IF(tbl_Budget[[#This Row],[Variance_%]]&lt;-0.05,"Underspend","On Budget"))</f>
        <v>Underspend</v>
      </c>
    </row>
    <row r="1224" spans="1:14" hidden="1">
      <c r="A1224" s="1">
        <v>45292</v>
      </c>
      <c r="B1224">
        <v>1</v>
      </c>
      <c r="C1224" t="s">
        <v>11</v>
      </c>
      <c r="D1224" t="s">
        <v>54</v>
      </c>
      <c r="E1224">
        <v>2024</v>
      </c>
      <c r="F1224" t="s">
        <v>24</v>
      </c>
      <c r="G1224" t="s">
        <v>14</v>
      </c>
      <c r="H1224" t="s">
        <v>18</v>
      </c>
      <c r="I1224" t="s">
        <v>25</v>
      </c>
      <c r="J1224">
        <v>52970.8</v>
      </c>
      <c r="K1224">
        <v>45875.98</v>
      </c>
      <c r="L1224" s="20">
        <f>tbl_Budget[[#This Row],[Actual]]-tbl_Budget[[#This Row],[Budget]]</f>
        <v>-7094.82</v>
      </c>
      <c r="M1224" s="3">
        <f>tbl_Budget[[#This Row],[Variance]]/tbl_Budget[[#This Row],[Budget]]</f>
        <v>-0.13393832073519749</v>
      </c>
      <c r="N1224" t="str">
        <f>IF(tbl_Budget[[#This Row],[Variance_%]]&gt;0.05,"Overspend",IF(tbl_Budget[[#This Row],[Variance_%]]&lt;-0.05,"Underspend","On Budget"))</f>
        <v>Underspend</v>
      </c>
    </row>
    <row r="1225" spans="1:14" hidden="1">
      <c r="A1225" s="1">
        <v>45292</v>
      </c>
      <c r="B1225">
        <v>1</v>
      </c>
      <c r="C1225" t="s">
        <v>11</v>
      </c>
      <c r="D1225" t="s">
        <v>54</v>
      </c>
      <c r="E1225">
        <v>2024</v>
      </c>
      <c r="F1225" t="s">
        <v>24</v>
      </c>
      <c r="G1225" t="s">
        <v>14</v>
      </c>
      <c r="H1225" t="s">
        <v>19</v>
      </c>
      <c r="I1225" t="s">
        <v>25</v>
      </c>
      <c r="J1225">
        <v>56000.52</v>
      </c>
      <c r="K1225">
        <v>50630.76</v>
      </c>
      <c r="L1225" s="20">
        <f>tbl_Budget[[#This Row],[Actual]]-tbl_Budget[[#This Row],[Budget]]</f>
        <v>-5369.7599999999948</v>
      </c>
      <c r="M1225" s="3">
        <f>tbl_Budget[[#This Row],[Variance]]/tbl_Budget[[#This Row],[Budget]]</f>
        <v>-9.5887681042961651E-2</v>
      </c>
      <c r="N1225" t="str">
        <f>IF(tbl_Budget[[#This Row],[Variance_%]]&gt;0.05,"Overspend",IF(tbl_Budget[[#This Row],[Variance_%]]&lt;-0.05,"Underspend","On Budget"))</f>
        <v>Underspend</v>
      </c>
    </row>
    <row r="1226" spans="1:14" hidden="1">
      <c r="A1226" s="1">
        <v>45292</v>
      </c>
      <c r="B1226">
        <v>1</v>
      </c>
      <c r="C1226" t="s">
        <v>11</v>
      </c>
      <c r="D1226" t="s">
        <v>54</v>
      </c>
      <c r="E1226">
        <v>2024</v>
      </c>
      <c r="F1226" t="s">
        <v>24</v>
      </c>
      <c r="G1226" t="s">
        <v>20</v>
      </c>
      <c r="H1226" t="s">
        <v>15</v>
      </c>
      <c r="I1226" t="s">
        <v>25</v>
      </c>
      <c r="J1226">
        <v>29454.54</v>
      </c>
      <c r="K1226">
        <v>25717.02</v>
      </c>
      <c r="L1226" s="20">
        <f>tbl_Budget[[#This Row],[Actual]]-tbl_Budget[[#This Row],[Budget]]</f>
        <v>-3737.5200000000004</v>
      </c>
      <c r="M1226" s="3">
        <f>tbl_Budget[[#This Row],[Variance]]/tbl_Budget[[#This Row],[Budget]]</f>
        <v>-0.12689113460946938</v>
      </c>
      <c r="N1226" t="str">
        <f>IF(tbl_Budget[[#This Row],[Variance_%]]&gt;0.05,"Overspend",IF(tbl_Budget[[#This Row],[Variance_%]]&lt;-0.05,"Underspend","On Budget"))</f>
        <v>Underspend</v>
      </c>
    </row>
    <row r="1227" spans="1:14" hidden="1">
      <c r="A1227" s="1">
        <v>45292</v>
      </c>
      <c r="B1227">
        <v>1</v>
      </c>
      <c r="C1227" t="s">
        <v>11</v>
      </c>
      <c r="D1227" t="s">
        <v>54</v>
      </c>
      <c r="E1227">
        <v>2024</v>
      </c>
      <c r="F1227" t="s">
        <v>24</v>
      </c>
      <c r="G1227" t="s">
        <v>20</v>
      </c>
      <c r="H1227" t="s">
        <v>17</v>
      </c>
      <c r="I1227" t="s">
        <v>25</v>
      </c>
      <c r="J1227">
        <v>28696.75</v>
      </c>
      <c r="K1227">
        <v>24869.43</v>
      </c>
      <c r="L1227" s="20">
        <f>tbl_Budget[[#This Row],[Actual]]-tbl_Budget[[#This Row],[Budget]]</f>
        <v>-3827.3199999999997</v>
      </c>
      <c r="M1227" s="3">
        <f>tbl_Budget[[#This Row],[Variance]]/tbl_Budget[[#This Row],[Budget]]</f>
        <v>-0.13337120057149326</v>
      </c>
      <c r="N1227" t="str">
        <f>IF(tbl_Budget[[#This Row],[Variance_%]]&gt;0.05,"Overspend",IF(tbl_Budget[[#This Row],[Variance_%]]&lt;-0.05,"Underspend","On Budget"))</f>
        <v>Underspend</v>
      </c>
    </row>
    <row r="1228" spans="1:14" hidden="1">
      <c r="A1228" s="1">
        <v>45292</v>
      </c>
      <c r="B1228">
        <v>1</v>
      </c>
      <c r="C1228" t="s">
        <v>11</v>
      </c>
      <c r="D1228" t="s">
        <v>54</v>
      </c>
      <c r="E1228">
        <v>2024</v>
      </c>
      <c r="F1228" t="s">
        <v>24</v>
      </c>
      <c r="G1228" t="s">
        <v>20</v>
      </c>
      <c r="H1228" t="s">
        <v>18</v>
      </c>
      <c r="I1228" t="s">
        <v>25</v>
      </c>
      <c r="J1228">
        <v>28976.34</v>
      </c>
      <c r="K1228">
        <v>25123.17</v>
      </c>
      <c r="L1228" s="20">
        <f>tbl_Budget[[#This Row],[Actual]]-tbl_Budget[[#This Row],[Budget]]</f>
        <v>-3853.1700000000019</v>
      </c>
      <c r="M1228" s="3">
        <f>tbl_Budget[[#This Row],[Variance]]/tbl_Budget[[#This Row],[Budget]]</f>
        <v>-0.13297642145281294</v>
      </c>
      <c r="N1228" t="str">
        <f>IF(tbl_Budget[[#This Row],[Variance_%]]&gt;0.05,"Overspend",IF(tbl_Budget[[#This Row],[Variance_%]]&lt;-0.05,"Underspend","On Budget"))</f>
        <v>Underspend</v>
      </c>
    </row>
    <row r="1229" spans="1:14" hidden="1">
      <c r="A1229" s="1">
        <v>45292</v>
      </c>
      <c r="B1229">
        <v>1</v>
      </c>
      <c r="C1229" t="s">
        <v>11</v>
      </c>
      <c r="D1229" t="s">
        <v>54</v>
      </c>
      <c r="E1229">
        <v>2024</v>
      </c>
      <c r="F1229" t="s">
        <v>24</v>
      </c>
      <c r="G1229" t="s">
        <v>20</v>
      </c>
      <c r="H1229" t="s">
        <v>19</v>
      </c>
      <c r="I1229" t="s">
        <v>25</v>
      </c>
      <c r="J1229">
        <v>29895.48</v>
      </c>
      <c r="K1229">
        <v>26697.17</v>
      </c>
      <c r="L1229" s="20">
        <f>tbl_Budget[[#This Row],[Actual]]-tbl_Budget[[#This Row],[Budget]]</f>
        <v>-3198.3100000000013</v>
      </c>
      <c r="M1229" s="3">
        <f>tbl_Budget[[#This Row],[Variance]]/tbl_Budget[[#This Row],[Budget]]</f>
        <v>-0.10698306232246485</v>
      </c>
      <c r="N1229" t="str">
        <f>IF(tbl_Budget[[#This Row],[Variance_%]]&gt;0.05,"Overspend",IF(tbl_Budget[[#This Row],[Variance_%]]&lt;-0.05,"Underspend","On Budget"))</f>
        <v>Underspend</v>
      </c>
    </row>
    <row r="1230" spans="1:14">
      <c r="A1230" s="1">
        <v>45292</v>
      </c>
      <c r="B1230">
        <v>1</v>
      </c>
      <c r="C1230" t="s">
        <v>11</v>
      </c>
      <c r="D1230" t="s">
        <v>54</v>
      </c>
      <c r="E1230">
        <v>2024</v>
      </c>
      <c r="F1230" t="s">
        <v>24</v>
      </c>
      <c r="G1230" t="s">
        <v>21</v>
      </c>
      <c r="H1230" t="s">
        <v>15</v>
      </c>
      <c r="I1230" t="s">
        <v>25</v>
      </c>
      <c r="J1230">
        <v>11096.38</v>
      </c>
      <c r="K1230">
        <v>9780.6200000000008</v>
      </c>
      <c r="L1230" s="20">
        <f>tbl_Budget[[#This Row],[Actual]]-tbl_Budget[[#This Row],[Budget]]</f>
        <v>-1315.7599999999984</v>
      </c>
      <c r="M1230" s="3">
        <f>tbl_Budget[[#This Row],[Variance]]/tbl_Budget[[#This Row],[Budget]]</f>
        <v>-0.11857560754047702</v>
      </c>
      <c r="N1230" t="str">
        <f>IF(tbl_Budget[[#This Row],[Variance_%]]&gt;0.05,"Overspend",IF(tbl_Budget[[#This Row],[Variance_%]]&lt;-0.05,"Underspend","On Budget"))</f>
        <v>Underspend</v>
      </c>
    </row>
    <row r="1231" spans="1:14">
      <c r="A1231" s="1">
        <v>45292</v>
      </c>
      <c r="B1231">
        <v>1</v>
      </c>
      <c r="C1231" t="s">
        <v>11</v>
      </c>
      <c r="D1231" t="s">
        <v>54</v>
      </c>
      <c r="E1231">
        <v>2024</v>
      </c>
      <c r="F1231" t="s">
        <v>24</v>
      </c>
      <c r="G1231" t="s">
        <v>21</v>
      </c>
      <c r="H1231" t="s">
        <v>17</v>
      </c>
      <c r="I1231" t="s">
        <v>25</v>
      </c>
      <c r="J1231">
        <v>11068.35</v>
      </c>
      <c r="K1231">
        <v>9522</v>
      </c>
      <c r="L1231" s="20">
        <f>tbl_Budget[[#This Row],[Actual]]-tbl_Budget[[#This Row],[Budget]]</f>
        <v>-1546.3500000000004</v>
      </c>
      <c r="M1231" s="3">
        <f>tbl_Budget[[#This Row],[Variance]]/tbl_Budget[[#This Row],[Budget]]</f>
        <v>-0.13970917074360681</v>
      </c>
      <c r="N1231" t="str">
        <f>IF(tbl_Budget[[#This Row],[Variance_%]]&gt;0.05,"Overspend",IF(tbl_Budget[[#This Row],[Variance_%]]&lt;-0.05,"Underspend","On Budget"))</f>
        <v>Underspend</v>
      </c>
    </row>
    <row r="1232" spans="1:14">
      <c r="A1232" s="1">
        <v>45292</v>
      </c>
      <c r="B1232">
        <v>1</v>
      </c>
      <c r="C1232" t="s">
        <v>11</v>
      </c>
      <c r="D1232" t="s">
        <v>54</v>
      </c>
      <c r="E1232">
        <v>2024</v>
      </c>
      <c r="F1232" t="s">
        <v>24</v>
      </c>
      <c r="G1232" t="s">
        <v>21</v>
      </c>
      <c r="H1232" t="s">
        <v>18</v>
      </c>
      <c r="I1232" t="s">
        <v>25</v>
      </c>
      <c r="J1232">
        <v>10769.69</v>
      </c>
      <c r="K1232">
        <v>9420.4</v>
      </c>
      <c r="L1232" s="20">
        <f>tbl_Budget[[#This Row],[Actual]]-tbl_Budget[[#This Row],[Budget]]</f>
        <v>-1349.2900000000009</v>
      </c>
      <c r="M1232" s="3">
        <f>tbl_Budget[[#This Row],[Variance]]/tbl_Budget[[#This Row],[Budget]]</f>
        <v>-0.12528587173818381</v>
      </c>
      <c r="N1232" t="str">
        <f>IF(tbl_Budget[[#This Row],[Variance_%]]&gt;0.05,"Overspend",IF(tbl_Budget[[#This Row],[Variance_%]]&lt;-0.05,"Underspend","On Budget"))</f>
        <v>Underspend</v>
      </c>
    </row>
    <row r="1233" spans="1:14">
      <c r="A1233" s="1">
        <v>45292</v>
      </c>
      <c r="B1233">
        <v>1</v>
      </c>
      <c r="C1233" t="s">
        <v>11</v>
      </c>
      <c r="D1233" t="s">
        <v>54</v>
      </c>
      <c r="E1233">
        <v>2024</v>
      </c>
      <c r="F1233" t="s">
        <v>24</v>
      </c>
      <c r="G1233" t="s">
        <v>21</v>
      </c>
      <c r="H1233" t="s">
        <v>19</v>
      </c>
      <c r="I1233" t="s">
        <v>25</v>
      </c>
      <c r="J1233">
        <v>11996.14</v>
      </c>
      <c r="K1233">
        <v>10442.67</v>
      </c>
      <c r="L1233" s="20">
        <f>tbl_Budget[[#This Row],[Actual]]-tbl_Budget[[#This Row],[Budget]]</f>
        <v>-1553.4699999999993</v>
      </c>
      <c r="M1233" s="3">
        <f>tbl_Budget[[#This Row],[Variance]]/tbl_Budget[[#This Row],[Budget]]</f>
        <v>-0.12949748835875535</v>
      </c>
      <c r="N1233" t="str">
        <f>IF(tbl_Budget[[#This Row],[Variance_%]]&gt;0.05,"Overspend",IF(tbl_Budget[[#This Row],[Variance_%]]&lt;-0.05,"Underspend","On Budget"))</f>
        <v>Underspend</v>
      </c>
    </row>
    <row r="1234" spans="1:14" hidden="1">
      <c r="A1234" s="1">
        <v>45292</v>
      </c>
      <c r="B1234">
        <v>1</v>
      </c>
      <c r="C1234" t="s">
        <v>11</v>
      </c>
      <c r="D1234" t="s">
        <v>54</v>
      </c>
      <c r="E1234">
        <v>2024</v>
      </c>
      <c r="F1234" t="s">
        <v>24</v>
      </c>
      <c r="G1234" t="s">
        <v>22</v>
      </c>
      <c r="H1234" t="s">
        <v>15</v>
      </c>
      <c r="I1234" t="s">
        <v>25</v>
      </c>
      <c r="J1234">
        <v>8721.58</v>
      </c>
      <c r="K1234">
        <v>7599.11</v>
      </c>
      <c r="L1234" s="20">
        <f>tbl_Budget[[#This Row],[Actual]]-tbl_Budget[[#This Row],[Budget]]</f>
        <v>-1122.4700000000003</v>
      </c>
      <c r="M1234" s="3">
        <f>tbl_Budget[[#This Row],[Variance]]/tbl_Budget[[#This Row],[Budget]]</f>
        <v>-0.12870030430266077</v>
      </c>
      <c r="N1234" t="str">
        <f>IF(tbl_Budget[[#This Row],[Variance_%]]&gt;0.05,"Overspend",IF(tbl_Budget[[#This Row],[Variance_%]]&lt;-0.05,"Underspend","On Budget"))</f>
        <v>Underspend</v>
      </c>
    </row>
    <row r="1235" spans="1:14" hidden="1">
      <c r="A1235" s="1">
        <v>45292</v>
      </c>
      <c r="B1235">
        <v>1</v>
      </c>
      <c r="C1235" t="s">
        <v>11</v>
      </c>
      <c r="D1235" t="s">
        <v>54</v>
      </c>
      <c r="E1235">
        <v>2024</v>
      </c>
      <c r="F1235" t="s">
        <v>24</v>
      </c>
      <c r="G1235" t="s">
        <v>22</v>
      </c>
      <c r="H1235" t="s">
        <v>17</v>
      </c>
      <c r="I1235" t="s">
        <v>25</v>
      </c>
      <c r="J1235">
        <v>8249.42</v>
      </c>
      <c r="K1235">
        <v>7393.92</v>
      </c>
      <c r="L1235" s="20">
        <f>tbl_Budget[[#This Row],[Actual]]-tbl_Budget[[#This Row],[Budget]]</f>
        <v>-855.5</v>
      </c>
      <c r="M1235" s="3">
        <f>tbl_Budget[[#This Row],[Variance]]/tbl_Budget[[#This Row],[Budget]]</f>
        <v>-0.10370426042073261</v>
      </c>
      <c r="N1235" t="str">
        <f>IF(tbl_Budget[[#This Row],[Variance_%]]&gt;0.05,"Overspend",IF(tbl_Budget[[#This Row],[Variance_%]]&lt;-0.05,"Underspend","On Budget"))</f>
        <v>Underspend</v>
      </c>
    </row>
    <row r="1236" spans="1:14" hidden="1">
      <c r="A1236" s="1">
        <v>45292</v>
      </c>
      <c r="B1236">
        <v>1</v>
      </c>
      <c r="C1236" t="s">
        <v>11</v>
      </c>
      <c r="D1236" t="s">
        <v>54</v>
      </c>
      <c r="E1236">
        <v>2024</v>
      </c>
      <c r="F1236" t="s">
        <v>24</v>
      </c>
      <c r="G1236" t="s">
        <v>22</v>
      </c>
      <c r="H1236" t="s">
        <v>18</v>
      </c>
      <c r="I1236" t="s">
        <v>25</v>
      </c>
      <c r="J1236">
        <v>8378.25</v>
      </c>
      <c r="K1236">
        <v>7161.88</v>
      </c>
      <c r="L1236" s="20">
        <f>tbl_Budget[[#This Row],[Actual]]-tbl_Budget[[#This Row],[Budget]]</f>
        <v>-1216.3699999999999</v>
      </c>
      <c r="M1236" s="3">
        <f>tbl_Budget[[#This Row],[Variance]]/tbl_Budget[[#This Row],[Budget]]</f>
        <v>-0.14518186972219735</v>
      </c>
      <c r="N1236" t="str">
        <f>IF(tbl_Budget[[#This Row],[Variance_%]]&gt;0.05,"Overspend",IF(tbl_Budget[[#This Row],[Variance_%]]&lt;-0.05,"Underspend","On Budget"))</f>
        <v>Underspend</v>
      </c>
    </row>
    <row r="1237" spans="1:14" hidden="1">
      <c r="A1237" s="1">
        <v>45292</v>
      </c>
      <c r="B1237">
        <v>1</v>
      </c>
      <c r="C1237" t="s">
        <v>11</v>
      </c>
      <c r="D1237" t="s">
        <v>54</v>
      </c>
      <c r="E1237">
        <v>2024</v>
      </c>
      <c r="F1237" t="s">
        <v>24</v>
      </c>
      <c r="G1237" t="s">
        <v>22</v>
      </c>
      <c r="H1237" t="s">
        <v>19</v>
      </c>
      <c r="I1237" t="s">
        <v>25</v>
      </c>
      <c r="J1237">
        <v>9351.68</v>
      </c>
      <c r="K1237">
        <v>8161.89</v>
      </c>
      <c r="L1237" s="20">
        <f>tbl_Budget[[#This Row],[Actual]]-tbl_Budget[[#This Row],[Budget]]</f>
        <v>-1189.79</v>
      </c>
      <c r="M1237" s="3">
        <f>tbl_Budget[[#This Row],[Variance]]/tbl_Budget[[#This Row],[Budget]]</f>
        <v>-0.12722740726799889</v>
      </c>
      <c r="N1237" t="str">
        <f>IF(tbl_Budget[[#This Row],[Variance_%]]&gt;0.05,"Overspend",IF(tbl_Budget[[#This Row],[Variance_%]]&lt;-0.05,"Underspend","On Budget"))</f>
        <v>Underspend</v>
      </c>
    </row>
    <row r="1238" spans="1:14" hidden="1">
      <c r="A1238" s="1">
        <v>45292</v>
      </c>
      <c r="B1238">
        <v>1</v>
      </c>
      <c r="C1238" t="s">
        <v>11</v>
      </c>
      <c r="D1238" t="s">
        <v>54</v>
      </c>
      <c r="E1238">
        <v>2024</v>
      </c>
      <c r="F1238" t="s">
        <v>24</v>
      </c>
      <c r="G1238" t="s">
        <v>23</v>
      </c>
      <c r="H1238" t="s">
        <v>15</v>
      </c>
      <c r="I1238" t="s">
        <v>25</v>
      </c>
      <c r="J1238">
        <v>7657.84</v>
      </c>
      <c r="K1238">
        <v>6810.02</v>
      </c>
      <c r="L1238" s="20">
        <f>tbl_Budget[[#This Row],[Actual]]-tbl_Budget[[#This Row],[Budget]]</f>
        <v>-847.81999999999971</v>
      </c>
      <c r="M1238" s="3">
        <f>tbl_Budget[[#This Row],[Variance]]/tbl_Budget[[#This Row],[Budget]]</f>
        <v>-0.11071268138273974</v>
      </c>
      <c r="N1238" t="str">
        <f>IF(tbl_Budget[[#This Row],[Variance_%]]&gt;0.05,"Overspend",IF(tbl_Budget[[#This Row],[Variance_%]]&lt;-0.05,"Underspend","On Budget"))</f>
        <v>Underspend</v>
      </c>
    </row>
    <row r="1239" spans="1:14" hidden="1">
      <c r="A1239" s="1">
        <v>45292</v>
      </c>
      <c r="B1239">
        <v>1</v>
      </c>
      <c r="C1239" t="s">
        <v>11</v>
      </c>
      <c r="D1239" t="s">
        <v>54</v>
      </c>
      <c r="E1239">
        <v>2024</v>
      </c>
      <c r="F1239" t="s">
        <v>24</v>
      </c>
      <c r="G1239" t="s">
        <v>23</v>
      </c>
      <c r="H1239" t="s">
        <v>17</v>
      </c>
      <c r="I1239" t="s">
        <v>25</v>
      </c>
      <c r="J1239">
        <v>7415.64</v>
      </c>
      <c r="K1239">
        <v>6597.35</v>
      </c>
      <c r="L1239" s="20">
        <f>tbl_Budget[[#This Row],[Actual]]-tbl_Budget[[#This Row],[Budget]]</f>
        <v>-818.29</v>
      </c>
      <c r="M1239" s="3">
        <f>tbl_Budget[[#This Row],[Variance]]/tbl_Budget[[#This Row],[Budget]]</f>
        <v>-0.11034651088779929</v>
      </c>
      <c r="N1239" t="str">
        <f>IF(tbl_Budget[[#This Row],[Variance_%]]&gt;0.05,"Overspend",IF(tbl_Budget[[#This Row],[Variance_%]]&lt;-0.05,"Underspend","On Budget"))</f>
        <v>Underspend</v>
      </c>
    </row>
    <row r="1240" spans="1:14" hidden="1">
      <c r="A1240" s="1">
        <v>45292</v>
      </c>
      <c r="B1240">
        <v>1</v>
      </c>
      <c r="C1240" t="s">
        <v>11</v>
      </c>
      <c r="D1240" t="s">
        <v>54</v>
      </c>
      <c r="E1240">
        <v>2024</v>
      </c>
      <c r="F1240" t="s">
        <v>24</v>
      </c>
      <c r="G1240" t="s">
        <v>23</v>
      </c>
      <c r="H1240" t="s">
        <v>18</v>
      </c>
      <c r="I1240" t="s">
        <v>25</v>
      </c>
      <c r="J1240">
        <v>7492.39</v>
      </c>
      <c r="K1240">
        <v>6579.38</v>
      </c>
      <c r="L1240" s="20">
        <f>tbl_Budget[[#This Row],[Actual]]-tbl_Budget[[#This Row],[Budget]]</f>
        <v>-913.01000000000022</v>
      </c>
      <c r="M1240" s="3">
        <f>tbl_Budget[[#This Row],[Variance]]/tbl_Budget[[#This Row],[Budget]]</f>
        <v>-0.12185831223414693</v>
      </c>
      <c r="N1240" t="str">
        <f>IF(tbl_Budget[[#This Row],[Variance_%]]&gt;0.05,"Overspend",IF(tbl_Budget[[#This Row],[Variance_%]]&lt;-0.05,"Underspend","On Budget"))</f>
        <v>Underspend</v>
      </c>
    </row>
    <row r="1241" spans="1:14" hidden="1">
      <c r="A1241" s="1">
        <v>45292</v>
      </c>
      <c r="B1241">
        <v>1</v>
      </c>
      <c r="C1241" t="s">
        <v>11</v>
      </c>
      <c r="D1241" t="s">
        <v>54</v>
      </c>
      <c r="E1241">
        <v>2024</v>
      </c>
      <c r="F1241" t="s">
        <v>24</v>
      </c>
      <c r="G1241" t="s">
        <v>23</v>
      </c>
      <c r="H1241" t="s">
        <v>19</v>
      </c>
      <c r="I1241" t="s">
        <v>25</v>
      </c>
      <c r="J1241">
        <v>7679.26</v>
      </c>
      <c r="K1241">
        <v>6881.4</v>
      </c>
      <c r="L1241" s="20">
        <f>tbl_Budget[[#This Row],[Actual]]-tbl_Budget[[#This Row],[Budget]]</f>
        <v>-797.86000000000058</v>
      </c>
      <c r="M1241" s="3">
        <f>tbl_Budget[[#This Row],[Variance]]/tbl_Budget[[#This Row],[Budget]]</f>
        <v>-0.10389803184160981</v>
      </c>
      <c r="N1241" t="str">
        <f>IF(tbl_Budget[[#This Row],[Variance_%]]&gt;0.05,"Overspend",IF(tbl_Budget[[#This Row],[Variance_%]]&lt;-0.05,"Underspend","On Budget"))</f>
        <v>Underspend</v>
      </c>
    </row>
    <row r="1242" spans="1:14" hidden="1">
      <c r="A1242" s="1">
        <v>45292</v>
      </c>
      <c r="B1242">
        <v>1</v>
      </c>
      <c r="C1242" t="s">
        <v>11</v>
      </c>
      <c r="D1242" t="s">
        <v>54</v>
      </c>
      <c r="E1242">
        <v>2024</v>
      </c>
      <c r="F1242" t="s">
        <v>26</v>
      </c>
      <c r="G1242" t="s">
        <v>14</v>
      </c>
      <c r="H1242" t="s">
        <v>15</v>
      </c>
      <c r="I1242" t="s">
        <v>27</v>
      </c>
      <c r="J1242">
        <v>45203.72</v>
      </c>
      <c r="K1242">
        <v>46514.68</v>
      </c>
      <c r="L1242" s="20">
        <f>tbl_Budget[[#This Row],[Actual]]-tbl_Budget[[#This Row],[Budget]]</f>
        <v>1310.9599999999991</v>
      </c>
      <c r="M1242" s="3">
        <f>tbl_Budget[[#This Row],[Variance]]/tbl_Budget[[#This Row],[Budget]]</f>
        <v>2.9001153002451992E-2</v>
      </c>
      <c r="N1242" t="str">
        <f>IF(tbl_Budget[[#This Row],[Variance_%]]&gt;0.05,"Overspend",IF(tbl_Budget[[#This Row],[Variance_%]]&lt;-0.05,"Underspend","On Budget"))</f>
        <v>On Budget</v>
      </c>
    </row>
    <row r="1243" spans="1:14" hidden="1">
      <c r="A1243" s="1">
        <v>45292</v>
      </c>
      <c r="B1243">
        <v>1</v>
      </c>
      <c r="C1243" t="s">
        <v>11</v>
      </c>
      <c r="D1243" t="s">
        <v>54</v>
      </c>
      <c r="E1243">
        <v>2024</v>
      </c>
      <c r="F1243" t="s">
        <v>26</v>
      </c>
      <c r="G1243" t="s">
        <v>14</v>
      </c>
      <c r="H1243" t="s">
        <v>17</v>
      </c>
      <c r="I1243" t="s">
        <v>27</v>
      </c>
      <c r="J1243">
        <v>43383.08</v>
      </c>
      <c r="K1243">
        <v>43819.45</v>
      </c>
      <c r="L1243" s="20">
        <f>tbl_Budget[[#This Row],[Actual]]-tbl_Budget[[#This Row],[Budget]]</f>
        <v>436.36999999999534</v>
      </c>
      <c r="M1243" s="3">
        <f>tbl_Budget[[#This Row],[Variance]]/tbl_Budget[[#This Row],[Budget]]</f>
        <v>1.0058529730945689E-2</v>
      </c>
      <c r="N1243" t="str">
        <f>IF(tbl_Budget[[#This Row],[Variance_%]]&gt;0.05,"Overspend",IF(tbl_Budget[[#This Row],[Variance_%]]&lt;-0.05,"Underspend","On Budget"))</f>
        <v>On Budget</v>
      </c>
    </row>
    <row r="1244" spans="1:14" hidden="1">
      <c r="A1244" s="1">
        <v>45292</v>
      </c>
      <c r="B1244">
        <v>1</v>
      </c>
      <c r="C1244" t="s">
        <v>11</v>
      </c>
      <c r="D1244" t="s">
        <v>54</v>
      </c>
      <c r="E1244">
        <v>2024</v>
      </c>
      <c r="F1244" t="s">
        <v>26</v>
      </c>
      <c r="G1244" t="s">
        <v>14</v>
      </c>
      <c r="H1244" t="s">
        <v>18</v>
      </c>
      <c r="I1244" t="s">
        <v>27</v>
      </c>
      <c r="J1244">
        <v>46250.7</v>
      </c>
      <c r="K1244">
        <v>45081.5</v>
      </c>
      <c r="L1244" s="20">
        <f>tbl_Budget[[#This Row],[Actual]]-tbl_Budget[[#This Row],[Budget]]</f>
        <v>-1169.1999999999971</v>
      </c>
      <c r="M1244" s="3">
        <f>tbl_Budget[[#This Row],[Variance]]/tbl_Budget[[#This Row],[Budget]]</f>
        <v>-2.5279617389574582E-2</v>
      </c>
      <c r="N1244" t="str">
        <f>IF(tbl_Budget[[#This Row],[Variance_%]]&gt;0.05,"Overspend",IF(tbl_Budget[[#This Row],[Variance_%]]&lt;-0.05,"Underspend","On Budget"))</f>
        <v>On Budget</v>
      </c>
    </row>
    <row r="1245" spans="1:14" hidden="1">
      <c r="A1245" s="1">
        <v>45292</v>
      </c>
      <c r="B1245">
        <v>1</v>
      </c>
      <c r="C1245" t="s">
        <v>11</v>
      </c>
      <c r="D1245" t="s">
        <v>54</v>
      </c>
      <c r="E1245">
        <v>2024</v>
      </c>
      <c r="F1245" t="s">
        <v>26</v>
      </c>
      <c r="G1245" t="s">
        <v>14</v>
      </c>
      <c r="H1245" t="s">
        <v>19</v>
      </c>
      <c r="I1245" t="s">
        <v>27</v>
      </c>
      <c r="J1245">
        <v>48730.96</v>
      </c>
      <c r="K1245">
        <v>47748.91</v>
      </c>
      <c r="L1245" s="20">
        <f>tbl_Budget[[#This Row],[Actual]]-tbl_Budget[[#This Row],[Budget]]</f>
        <v>-982.04999999999563</v>
      </c>
      <c r="M1245" s="3">
        <f>tbl_Budget[[#This Row],[Variance]]/tbl_Budget[[#This Row],[Budget]]</f>
        <v>-2.0152486222311149E-2</v>
      </c>
      <c r="N1245" t="str">
        <f>IF(tbl_Budget[[#This Row],[Variance_%]]&gt;0.05,"Overspend",IF(tbl_Budget[[#This Row],[Variance_%]]&lt;-0.05,"Underspend","On Budget"))</f>
        <v>On Budget</v>
      </c>
    </row>
    <row r="1246" spans="1:14" hidden="1">
      <c r="A1246" s="1">
        <v>45292</v>
      </c>
      <c r="B1246">
        <v>1</v>
      </c>
      <c r="C1246" t="s">
        <v>11</v>
      </c>
      <c r="D1246" t="s">
        <v>54</v>
      </c>
      <c r="E1246">
        <v>2024</v>
      </c>
      <c r="F1246" t="s">
        <v>26</v>
      </c>
      <c r="G1246" t="s">
        <v>20</v>
      </c>
      <c r="H1246" t="s">
        <v>15</v>
      </c>
      <c r="I1246" t="s">
        <v>27</v>
      </c>
      <c r="J1246">
        <v>15317.06</v>
      </c>
      <c r="K1246">
        <v>15017.34</v>
      </c>
      <c r="L1246" s="20">
        <f>tbl_Budget[[#This Row],[Actual]]-tbl_Budget[[#This Row],[Budget]]</f>
        <v>-299.71999999999935</v>
      </c>
      <c r="M1246" s="3">
        <f>tbl_Budget[[#This Row],[Variance]]/tbl_Budget[[#This Row],[Budget]]</f>
        <v>-1.9567723832119178E-2</v>
      </c>
      <c r="N1246" t="str">
        <f>IF(tbl_Budget[[#This Row],[Variance_%]]&gt;0.05,"Overspend",IF(tbl_Budget[[#This Row],[Variance_%]]&lt;-0.05,"Underspend","On Budget"))</f>
        <v>On Budget</v>
      </c>
    </row>
    <row r="1247" spans="1:14" hidden="1">
      <c r="A1247" s="1">
        <v>45292</v>
      </c>
      <c r="B1247">
        <v>1</v>
      </c>
      <c r="C1247" t="s">
        <v>11</v>
      </c>
      <c r="D1247" t="s">
        <v>54</v>
      </c>
      <c r="E1247">
        <v>2024</v>
      </c>
      <c r="F1247" t="s">
        <v>26</v>
      </c>
      <c r="G1247" t="s">
        <v>20</v>
      </c>
      <c r="H1247" t="s">
        <v>17</v>
      </c>
      <c r="I1247" t="s">
        <v>27</v>
      </c>
      <c r="J1247">
        <v>15140.43</v>
      </c>
      <c r="K1247">
        <v>15360.75</v>
      </c>
      <c r="L1247" s="20">
        <f>tbl_Budget[[#This Row],[Actual]]-tbl_Budget[[#This Row],[Budget]]</f>
        <v>220.31999999999971</v>
      </c>
      <c r="M1247" s="3">
        <f>tbl_Budget[[#This Row],[Variance]]/tbl_Budget[[#This Row],[Budget]]</f>
        <v>1.4551766363306703E-2</v>
      </c>
      <c r="N1247" t="str">
        <f>IF(tbl_Budget[[#This Row],[Variance_%]]&gt;0.05,"Overspend",IF(tbl_Budget[[#This Row],[Variance_%]]&lt;-0.05,"Underspend","On Budget"))</f>
        <v>On Budget</v>
      </c>
    </row>
    <row r="1248" spans="1:14" hidden="1">
      <c r="A1248" s="1">
        <v>45292</v>
      </c>
      <c r="B1248">
        <v>1</v>
      </c>
      <c r="C1248" t="s">
        <v>11</v>
      </c>
      <c r="D1248" t="s">
        <v>54</v>
      </c>
      <c r="E1248">
        <v>2024</v>
      </c>
      <c r="F1248" t="s">
        <v>26</v>
      </c>
      <c r="G1248" t="s">
        <v>20</v>
      </c>
      <c r="H1248" t="s">
        <v>18</v>
      </c>
      <c r="I1248" t="s">
        <v>27</v>
      </c>
      <c r="J1248">
        <v>15230.98</v>
      </c>
      <c r="K1248">
        <v>14878.42</v>
      </c>
      <c r="L1248" s="20">
        <f>tbl_Budget[[#This Row],[Actual]]-tbl_Budget[[#This Row],[Budget]]</f>
        <v>-352.55999999999949</v>
      </c>
      <c r="M1248" s="3">
        <f>tbl_Budget[[#This Row],[Variance]]/tbl_Budget[[#This Row],[Budget]]</f>
        <v>-2.3147558463079823E-2</v>
      </c>
      <c r="N1248" t="str">
        <f>IF(tbl_Budget[[#This Row],[Variance_%]]&gt;0.05,"Overspend",IF(tbl_Budget[[#This Row],[Variance_%]]&lt;-0.05,"Underspend","On Budget"))</f>
        <v>On Budget</v>
      </c>
    </row>
    <row r="1249" spans="1:14" hidden="1">
      <c r="A1249" s="1">
        <v>45292</v>
      </c>
      <c r="B1249">
        <v>1</v>
      </c>
      <c r="C1249" t="s">
        <v>11</v>
      </c>
      <c r="D1249" t="s">
        <v>54</v>
      </c>
      <c r="E1249">
        <v>2024</v>
      </c>
      <c r="F1249" t="s">
        <v>26</v>
      </c>
      <c r="G1249" t="s">
        <v>20</v>
      </c>
      <c r="H1249" t="s">
        <v>19</v>
      </c>
      <c r="I1249" t="s">
        <v>27</v>
      </c>
      <c r="J1249">
        <v>16092.08</v>
      </c>
      <c r="K1249">
        <v>15808.54</v>
      </c>
      <c r="L1249" s="20">
        <f>tbl_Budget[[#This Row],[Actual]]-tbl_Budget[[#This Row],[Budget]]</f>
        <v>-283.53999999999905</v>
      </c>
      <c r="M1249" s="3">
        <f>tbl_Budget[[#This Row],[Variance]]/tbl_Budget[[#This Row],[Budget]]</f>
        <v>-1.7619847776048782E-2</v>
      </c>
      <c r="N1249" t="str">
        <f>IF(tbl_Budget[[#This Row],[Variance_%]]&gt;0.05,"Overspend",IF(tbl_Budget[[#This Row],[Variance_%]]&lt;-0.05,"Underspend","On Budget"))</f>
        <v>On Budget</v>
      </c>
    </row>
    <row r="1250" spans="1:14">
      <c r="A1250" s="1">
        <v>45292</v>
      </c>
      <c r="B1250">
        <v>1</v>
      </c>
      <c r="C1250" t="s">
        <v>11</v>
      </c>
      <c r="D1250" t="s">
        <v>54</v>
      </c>
      <c r="E1250">
        <v>2024</v>
      </c>
      <c r="F1250" t="s">
        <v>26</v>
      </c>
      <c r="G1250" t="s">
        <v>21</v>
      </c>
      <c r="H1250" t="s">
        <v>15</v>
      </c>
      <c r="I1250" t="s">
        <v>27</v>
      </c>
      <c r="J1250">
        <v>8614.17</v>
      </c>
      <c r="K1250">
        <v>8465.15</v>
      </c>
      <c r="L1250" s="20">
        <f>tbl_Budget[[#This Row],[Actual]]-tbl_Budget[[#This Row],[Budget]]</f>
        <v>-149.02000000000044</v>
      </c>
      <c r="M1250" s="3">
        <f>tbl_Budget[[#This Row],[Variance]]/tbl_Budget[[#This Row],[Budget]]</f>
        <v>-1.7299403192646584E-2</v>
      </c>
      <c r="N1250" t="str">
        <f>IF(tbl_Budget[[#This Row],[Variance_%]]&gt;0.05,"Overspend",IF(tbl_Budget[[#This Row],[Variance_%]]&lt;-0.05,"Underspend","On Budget"))</f>
        <v>On Budget</v>
      </c>
    </row>
    <row r="1251" spans="1:14">
      <c r="A1251" s="1">
        <v>45292</v>
      </c>
      <c r="B1251">
        <v>1</v>
      </c>
      <c r="C1251" t="s">
        <v>11</v>
      </c>
      <c r="D1251" t="s">
        <v>54</v>
      </c>
      <c r="E1251">
        <v>2024</v>
      </c>
      <c r="F1251" t="s">
        <v>26</v>
      </c>
      <c r="G1251" t="s">
        <v>21</v>
      </c>
      <c r="H1251" t="s">
        <v>17</v>
      </c>
      <c r="I1251" t="s">
        <v>27</v>
      </c>
      <c r="J1251">
        <v>8504.59</v>
      </c>
      <c r="K1251">
        <v>8778.9500000000007</v>
      </c>
      <c r="L1251" s="20">
        <f>tbl_Budget[[#This Row],[Actual]]-tbl_Budget[[#This Row],[Budget]]</f>
        <v>274.36000000000058</v>
      </c>
      <c r="M1251" s="3">
        <f>tbl_Budget[[#This Row],[Variance]]/tbl_Budget[[#This Row],[Budget]]</f>
        <v>3.2260226536493894E-2</v>
      </c>
      <c r="N1251" t="str">
        <f>IF(tbl_Budget[[#This Row],[Variance_%]]&gt;0.05,"Overspend",IF(tbl_Budget[[#This Row],[Variance_%]]&lt;-0.05,"Underspend","On Budget"))</f>
        <v>On Budget</v>
      </c>
    </row>
    <row r="1252" spans="1:14">
      <c r="A1252" s="1">
        <v>45292</v>
      </c>
      <c r="B1252">
        <v>1</v>
      </c>
      <c r="C1252" t="s">
        <v>11</v>
      </c>
      <c r="D1252" t="s">
        <v>54</v>
      </c>
      <c r="E1252">
        <v>2024</v>
      </c>
      <c r="F1252" t="s">
        <v>26</v>
      </c>
      <c r="G1252" t="s">
        <v>21</v>
      </c>
      <c r="H1252" t="s">
        <v>18</v>
      </c>
      <c r="I1252" t="s">
        <v>27</v>
      </c>
      <c r="J1252">
        <v>8646.2099999999991</v>
      </c>
      <c r="K1252">
        <v>8469.02</v>
      </c>
      <c r="L1252" s="20">
        <f>tbl_Budget[[#This Row],[Actual]]-tbl_Budget[[#This Row],[Budget]]</f>
        <v>-177.18999999999869</v>
      </c>
      <c r="M1252" s="3">
        <f>tbl_Budget[[#This Row],[Variance]]/tbl_Budget[[#This Row],[Budget]]</f>
        <v>-2.0493372240553805E-2</v>
      </c>
      <c r="N1252" t="str">
        <f>IF(tbl_Budget[[#This Row],[Variance_%]]&gt;0.05,"Overspend",IF(tbl_Budget[[#This Row],[Variance_%]]&lt;-0.05,"Underspend","On Budget"))</f>
        <v>On Budget</v>
      </c>
    </row>
    <row r="1253" spans="1:14">
      <c r="A1253" s="1">
        <v>45292</v>
      </c>
      <c r="B1253">
        <v>1</v>
      </c>
      <c r="C1253" t="s">
        <v>11</v>
      </c>
      <c r="D1253" t="s">
        <v>54</v>
      </c>
      <c r="E1253">
        <v>2024</v>
      </c>
      <c r="F1253" t="s">
        <v>26</v>
      </c>
      <c r="G1253" t="s">
        <v>21</v>
      </c>
      <c r="H1253" t="s">
        <v>19</v>
      </c>
      <c r="I1253" t="s">
        <v>27</v>
      </c>
      <c r="J1253">
        <v>8971.6200000000008</v>
      </c>
      <c r="K1253">
        <v>8914.81</v>
      </c>
      <c r="L1253" s="20">
        <f>tbl_Budget[[#This Row],[Actual]]-tbl_Budget[[#This Row],[Budget]]</f>
        <v>-56.81000000000131</v>
      </c>
      <c r="M1253" s="3">
        <f>tbl_Budget[[#This Row],[Variance]]/tbl_Budget[[#This Row],[Budget]]</f>
        <v>-6.3321897271620183E-3</v>
      </c>
      <c r="N1253" t="str">
        <f>IF(tbl_Budget[[#This Row],[Variance_%]]&gt;0.05,"Overspend",IF(tbl_Budget[[#This Row],[Variance_%]]&lt;-0.05,"Underspend","On Budget"))</f>
        <v>On Budget</v>
      </c>
    </row>
    <row r="1254" spans="1:14" hidden="1">
      <c r="A1254" s="1">
        <v>45292</v>
      </c>
      <c r="B1254">
        <v>1</v>
      </c>
      <c r="C1254" t="s">
        <v>11</v>
      </c>
      <c r="D1254" t="s">
        <v>54</v>
      </c>
      <c r="E1254">
        <v>2024</v>
      </c>
      <c r="F1254" t="s">
        <v>26</v>
      </c>
      <c r="G1254" t="s">
        <v>22</v>
      </c>
      <c r="H1254" t="s">
        <v>15</v>
      </c>
      <c r="I1254" t="s">
        <v>27</v>
      </c>
      <c r="J1254">
        <v>6868.65</v>
      </c>
      <c r="K1254">
        <v>6803.1</v>
      </c>
      <c r="L1254" s="20">
        <f>tbl_Budget[[#This Row],[Actual]]-tbl_Budget[[#This Row],[Budget]]</f>
        <v>-65.549999999999272</v>
      </c>
      <c r="M1254" s="3">
        <f>tbl_Budget[[#This Row],[Variance]]/tbl_Budget[[#This Row],[Budget]]</f>
        <v>-9.5433600489178046E-3</v>
      </c>
      <c r="N1254" t="str">
        <f>IF(tbl_Budget[[#This Row],[Variance_%]]&gt;0.05,"Overspend",IF(tbl_Budget[[#This Row],[Variance_%]]&lt;-0.05,"Underspend","On Budget"))</f>
        <v>On Budget</v>
      </c>
    </row>
    <row r="1255" spans="1:14" hidden="1">
      <c r="A1255" s="1">
        <v>45292</v>
      </c>
      <c r="B1255">
        <v>1</v>
      </c>
      <c r="C1255" t="s">
        <v>11</v>
      </c>
      <c r="D1255" t="s">
        <v>54</v>
      </c>
      <c r="E1255">
        <v>2024</v>
      </c>
      <c r="F1255" t="s">
        <v>26</v>
      </c>
      <c r="G1255" t="s">
        <v>22</v>
      </c>
      <c r="H1255" t="s">
        <v>17</v>
      </c>
      <c r="I1255" t="s">
        <v>27</v>
      </c>
      <c r="J1255">
        <v>6697.92</v>
      </c>
      <c r="K1255">
        <v>6823.22</v>
      </c>
      <c r="L1255" s="20">
        <f>tbl_Budget[[#This Row],[Actual]]-tbl_Budget[[#This Row],[Budget]]</f>
        <v>125.30000000000018</v>
      </c>
      <c r="M1255" s="3">
        <f>tbl_Budget[[#This Row],[Variance]]/tbl_Budget[[#This Row],[Budget]]</f>
        <v>1.8707300176771323E-2</v>
      </c>
      <c r="N1255" t="str">
        <f>IF(tbl_Budget[[#This Row],[Variance_%]]&gt;0.05,"Overspend",IF(tbl_Budget[[#This Row],[Variance_%]]&lt;-0.05,"Underspend","On Budget"))</f>
        <v>On Budget</v>
      </c>
    </row>
    <row r="1256" spans="1:14" hidden="1">
      <c r="A1256" s="1">
        <v>45292</v>
      </c>
      <c r="B1256">
        <v>1</v>
      </c>
      <c r="C1256" t="s">
        <v>11</v>
      </c>
      <c r="D1256" t="s">
        <v>54</v>
      </c>
      <c r="E1256">
        <v>2024</v>
      </c>
      <c r="F1256" t="s">
        <v>26</v>
      </c>
      <c r="G1256" t="s">
        <v>22</v>
      </c>
      <c r="H1256" t="s">
        <v>18</v>
      </c>
      <c r="I1256" t="s">
        <v>27</v>
      </c>
      <c r="J1256">
        <v>6713.01</v>
      </c>
      <c r="K1256">
        <v>6553.23</v>
      </c>
      <c r="L1256" s="20">
        <f>tbl_Budget[[#This Row],[Actual]]-tbl_Budget[[#This Row],[Budget]]</f>
        <v>-159.78000000000065</v>
      </c>
      <c r="M1256" s="3">
        <f>tbl_Budget[[#This Row],[Variance]]/tbl_Budget[[#This Row],[Budget]]</f>
        <v>-2.3801543569874118E-2</v>
      </c>
      <c r="N1256" t="str">
        <f>IF(tbl_Budget[[#This Row],[Variance_%]]&gt;0.05,"Overspend",IF(tbl_Budget[[#This Row],[Variance_%]]&lt;-0.05,"Underspend","On Budget"))</f>
        <v>On Budget</v>
      </c>
    </row>
    <row r="1257" spans="1:14" hidden="1">
      <c r="A1257" s="1">
        <v>45292</v>
      </c>
      <c r="B1257">
        <v>1</v>
      </c>
      <c r="C1257" t="s">
        <v>11</v>
      </c>
      <c r="D1257" t="s">
        <v>54</v>
      </c>
      <c r="E1257">
        <v>2024</v>
      </c>
      <c r="F1257" t="s">
        <v>26</v>
      </c>
      <c r="G1257" t="s">
        <v>22</v>
      </c>
      <c r="H1257" t="s">
        <v>19</v>
      </c>
      <c r="I1257" t="s">
        <v>27</v>
      </c>
      <c r="J1257">
        <v>7185.77</v>
      </c>
      <c r="K1257">
        <v>7062.52</v>
      </c>
      <c r="L1257" s="20">
        <f>tbl_Budget[[#This Row],[Actual]]-tbl_Budget[[#This Row],[Budget]]</f>
        <v>-123.25</v>
      </c>
      <c r="M1257" s="3">
        <f>tbl_Budget[[#This Row],[Variance]]/tbl_Budget[[#This Row],[Budget]]</f>
        <v>-1.7151954487828025E-2</v>
      </c>
      <c r="N1257" t="str">
        <f>IF(tbl_Budget[[#This Row],[Variance_%]]&gt;0.05,"Overspend",IF(tbl_Budget[[#This Row],[Variance_%]]&lt;-0.05,"Underspend","On Budget"))</f>
        <v>On Budget</v>
      </c>
    </row>
    <row r="1258" spans="1:14" hidden="1">
      <c r="A1258" s="1">
        <v>45292</v>
      </c>
      <c r="B1258">
        <v>1</v>
      </c>
      <c r="C1258" t="s">
        <v>11</v>
      </c>
      <c r="D1258" t="s">
        <v>54</v>
      </c>
      <c r="E1258">
        <v>2024</v>
      </c>
      <c r="F1258" t="s">
        <v>26</v>
      </c>
      <c r="G1258" t="s">
        <v>23</v>
      </c>
      <c r="H1258" t="s">
        <v>15</v>
      </c>
      <c r="I1258" t="s">
        <v>27</v>
      </c>
      <c r="J1258">
        <v>6067.57</v>
      </c>
      <c r="K1258">
        <v>6109.9</v>
      </c>
      <c r="L1258" s="20">
        <f>tbl_Budget[[#This Row],[Actual]]-tbl_Budget[[#This Row],[Budget]]</f>
        <v>42.329999999999927</v>
      </c>
      <c r="M1258" s="3">
        <f>tbl_Budget[[#This Row],[Variance]]/tbl_Budget[[#This Row],[Budget]]</f>
        <v>6.976433728823883E-3</v>
      </c>
      <c r="N1258" t="str">
        <f>IF(tbl_Budget[[#This Row],[Variance_%]]&gt;0.05,"Overspend",IF(tbl_Budget[[#This Row],[Variance_%]]&lt;-0.05,"Underspend","On Budget"))</f>
        <v>On Budget</v>
      </c>
    </row>
    <row r="1259" spans="1:14" hidden="1">
      <c r="A1259" s="1">
        <v>45292</v>
      </c>
      <c r="B1259">
        <v>1</v>
      </c>
      <c r="C1259" t="s">
        <v>11</v>
      </c>
      <c r="D1259" t="s">
        <v>54</v>
      </c>
      <c r="E1259">
        <v>2024</v>
      </c>
      <c r="F1259" t="s">
        <v>26</v>
      </c>
      <c r="G1259" t="s">
        <v>23</v>
      </c>
      <c r="H1259" t="s">
        <v>17</v>
      </c>
      <c r="I1259" t="s">
        <v>27</v>
      </c>
      <c r="J1259">
        <v>5666.8</v>
      </c>
      <c r="K1259">
        <v>5634.11</v>
      </c>
      <c r="L1259" s="20">
        <f>tbl_Budget[[#This Row],[Actual]]-tbl_Budget[[#This Row],[Budget]]</f>
        <v>-32.690000000000509</v>
      </c>
      <c r="M1259" s="3">
        <f>tbl_Budget[[#This Row],[Variance]]/tbl_Budget[[#This Row],[Budget]]</f>
        <v>-5.7686877955813705E-3</v>
      </c>
      <c r="N1259" t="str">
        <f>IF(tbl_Budget[[#This Row],[Variance_%]]&gt;0.05,"Overspend",IF(tbl_Budget[[#This Row],[Variance_%]]&lt;-0.05,"Underspend","On Budget"))</f>
        <v>On Budget</v>
      </c>
    </row>
    <row r="1260" spans="1:14" hidden="1">
      <c r="A1260" s="1">
        <v>45292</v>
      </c>
      <c r="B1260">
        <v>1</v>
      </c>
      <c r="C1260" t="s">
        <v>11</v>
      </c>
      <c r="D1260" t="s">
        <v>54</v>
      </c>
      <c r="E1260">
        <v>2024</v>
      </c>
      <c r="F1260" t="s">
        <v>26</v>
      </c>
      <c r="G1260" t="s">
        <v>23</v>
      </c>
      <c r="H1260" t="s">
        <v>18</v>
      </c>
      <c r="I1260" t="s">
        <v>27</v>
      </c>
      <c r="J1260">
        <v>5668.57</v>
      </c>
      <c r="K1260">
        <v>5669.08</v>
      </c>
      <c r="L1260" s="20">
        <f>tbl_Budget[[#This Row],[Actual]]-tbl_Budget[[#This Row],[Budget]]</f>
        <v>0.51000000000021828</v>
      </c>
      <c r="M1260" s="3">
        <f>tbl_Budget[[#This Row],[Variance]]/tbl_Budget[[#This Row],[Budget]]</f>
        <v>8.9969780738390515E-5</v>
      </c>
      <c r="N1260" t="str">
        <f>IF(tbl_Budget[[#This Row],[Variance_%]]&gt;0.05,"Overspend",IF(tbl_Budget[[#This Row],[Variance_%]]&lt;-0.05,"Underspend","On Budget"))</f>
        <v>On Budget</v>
      </c>
    </row>
    <row r="1261" spans="1:14" hidden="1">
      <c r="A1261" s="1">
        <v>45292</v>
      </c>
      <c r="B1261">
        <v>1</v>
      </c>
      <c r="C1261" t="s">
        <v>11</v>
      </c>
      <c r="D1261" t="s">
        <v>54</v>
      </c>
      <c r="E1261">
        <v>2024</v>
      </c>
      <c r="F1261" t="s">
        <v>26</v>
      </c>
      <c r="G1261" t="s">
        <v>23</v>
      </c>
      <c r="H1261" t="s">
        <v>19</v>
      </c>
      <c r="I1261" t="s">
        <v>27</v>
      </c>
      <c r="J1261">
        <v>5973.1</v>
      </c>
      <c r="K1261">
        <v>6052.45</v>
      </c>
      <c r="L1261" s="20">
        <f>tbl_Budget[[#This Row],[Actual]]-tbl_Budget[[#This Row],[Budget]]</f>
        <v>79.349999999999454</v>
      </c>
      <c r="M1261" s="3">
        <f>tbl_Budget[[#This Row],[Variance]]/tbl_Budget[[#This Row],[Budget]]</f>
        <v>1.328455910666144E-2</v>
      </c>
      <c r="N1261" t="str">
        <f>IF(tbl_Budget[[#This Row],[Variance_%]]&gt;0.05,"Overspend",IF(tbl_Budget[[#This Row],[Variance_%]]&lt;-0.05,"Underspend","On Budget"))</f>
        <v>On Budget</v>
      </c>
    </row>
    <row r="1262" spans="1:14" hidden="1">
      <c r="A1262" s="1">
        <v>45292</v>
      </c>
      <c r="B1262">
        <v>1</v>
      </c>
      <c r="C1262" t="s">
        <v>11</v>
      </c>
      <c r="D1262" t="s">
        <v>54</v>
      </c>
      <c r="E1262">
        <v>2024</v>
      </c>
      <c r="F1262" t="s">
        <v>28</v>
      </c>
      <c r="G1262" t="s">
        <v>14</v>
      </c>
      <c r="H1262" t="s">
        <v>15</v>
      </c>
      <c r="I1262" t="s">
        <v>29</v>
      </c>
      <c r="J1262">
        <v>56854.01</v>
      </c>
      <c r="K1262">
        <v>60772.68</v>
      </c>
      <c r="L1262" s="20">
        <f>tbl_Budget[[#This Row],[Actual]]-tbl_Budget[[#This Row],[Budget]]</f>
        <v>3918.6699999999983</v>
      </c>
      <c r="M1262" s="3">
        <f>tbl_Budget[[#This Row],[Variance]]/tbl_Budget[[#This Row],[Budget]]</f>
        <v>6.8925129467560825E-2</v>
      </c>
      <c r="N1262" t="str">
        <f>IF(tbl_Budget[[#This Row],[Variance_%]]&gt;0.05,"Overspend",IF(tbl_Budget[[#This Row],[Variance_%]]&lt;-0.05,"Underspend","On Budget"))</f>
        <v>Overspend</v>
      </c>
    </row>
    <row r="1263" spans="1:14" hidden="1">
      <c r="A1263" s="1">
        <v>45292</v>
      </c>
      <c r="B1263">
        <v>1</v>
      </c>
      <c r="C1263" t="s">
        <v>11</v>
      </c>
      <c r="D1263" t="s">
        <v>54</v>
      </c>
      <c r="E1263">
        <v>2024</v>
      </c>
      <c r="F1263" t="s">
        <v>28</v>
      </c>
      <c r="G1263" t="s">
        <v>14</v>
      </c>
      <c r="H1263" t="s">
        <v>17</v>
      </c>
      <c r="I1263" t="s">
        <v>29</v>
      </c>
      <c r="J1263">
        <v>53855.15</v>
      </c>
      <c r="K1263">
        <v>62854.74</v>
      </c>
      <c r="L1263" s="20">
        <f>tbl_Budget[[#This Row],[Actual]]-tbl_Budget[[#This Row],[Budget]]</f>
        <v>8999.5899999999965</v>
      </c>
      <c r="M1263" s="3">
        <f>tbl_Budget[[#This Row],[Variance]]/tbl_Budget[[#This Row],[Budget]]</f>
        <v>0.16710732399779774</v>
      </c>
      <c r="N1263" t="str">
        <f>IF(tbl_Budget[[#This Row],[Variance_%]]&gt;0.05,"Overspend",IF(tbl_Budget[[#This Row],[Variance_%]]&lt;-0.05,"Underspend","On Budget"))</f>
        <v>Overspend</v>
      </c>
    </row>
    <row r="1264" spans="1:14" hidden="1">
      <c r="A1264" s="1">
        <v>45292</v>
      </c>
      <c r="B1264">
        <v>1</v>
      </c>
      <c r="C1264" t="s">
        <v>11</v>
      </c>
      <c r="D1264" t="s">
        <v>54</v>
      </c>
      <c r="E1264">
        <v>2024</v>
      </c>
      <c r="F1264" t="s">
        <v>28</v>
      </c>
      <c r="G1264" t="s">
        <v>14</v>
      </c>
      <c r="H1264" t="s">
        <v>18</v>
      </c>
      <c r="I1264" t="s">
        <v>29</v>
      </c>
      <c r="J1264">
        <v>55361.08</v>
      </c>
      <c r="K1264">
        <v>59790.9</v>
      </c>
      <c r="L1264" s="20">
        <f>tbl_Budget[[#This Row],[Actual]]-tbl_Budget[[#This Row],[Budget]]</f>
        <v>4429.82</v>
      </c>
      <c r="M1264" s="3">
        <f>tbl_Budget[[#This Row],[Variance]]/tbl_Budget[[#This Row],[Budget]]</f>
        <v>8.0016863832858748E-2</v>
      </c>
      <c r="N1264" t="str">
        <f>IF(tbl_Budget[[#This Row],[Variance_%]]&gt;0.05,"Overspend",IF(tbl_Budget[[#This Row],[Variance_%]]&lt;-0.05,"Underspend","On Budget"))</f>
        <v>Overspend</v>
      </c>
    </row>
    <row r="1265" spans="1:14" hidden="1">
      <c r="A1265" s="1">
        <v>45292</v>
      </c>
      <c r="B1265">
        <v>1</v>
      </c>
      <c r="C1265" t="s">
        <v>11</v>
      </c>
      <c r="D1265" t="s">
        <v>54</v>
      </c>
      <c r="E1265">
        <v>2024</v>
      </c>
      <c r="F1265" t="s">
        <v>28</v>
      </c>
      <c r="G1265" t="s">
        <v>14</v>
      </c>
      <c r="H1265" t="s">
        <v>19</v>
      </c>
      <c r="I1265" t="s">
        <v>29</v>
      </c>
      <c r="J1265">
        <v>57662.42</v>
      </c>
      <c r="K1265">
        <v>57158.37</v>
      </c>
      <c r="L1265" s="20">
        <f>tbl_Budget[[#This Row],[Actual]]-tbl_Budget[[#This Row],[Budget]]</f>
        <v>-504.04999999999563</v>
      </c>
      <c r="M1265" s="3">
        <f>tbl_Budget[[#This Row],[Variance]]/tbl_Budget[[#This Row],[Budget]]</f>
        <v>-8.7413951755752825E-3</v>
      </c>
      <c r="N1265" t="str">
        <f>IF(tbl_Budget[[#This Row],[Variance_%]]&gt;0.05,"Overspend",IF(tbl_Budget[[#This Row],[Variance_%]]&lt;-0.05,"Underspend","On Budget"))</f>
        <v>On Budget</v>
      </c>
    </row>
    <row r="1266" spans="1:14" hidden="1">
      <c r="A1266" s="1">
        <v>45292</v>
      </c>
      <c r="B1266">
        <v>1</v>
      </c>
      <c r="C1266" t="s">
        <v>11</v>
      </c>
      <c r="D1266" t="s">
        <v>54</v>
      </c>
      <c r="E1266">
        <v>2024</v>
      </c>
      <c r="F1266" t="s">
        <v>28</v>
      </c>
      <c r="G1266" t="s">
        <v>20</v>
      </c>
      <c r="H1266" t="s">
        <v>15</v>
      </c>
      <c r="I1266" t="s">
        <v>29</v>
      </c>
      <c r="J1266">
        <v>21252.71</v>
      </c>
      <c r="K1266">
        <v>20979.69</v>
      </c>
      <c r="L1266" s="20">
        <f>tbl_Budget[[#This Row],[Actual]]-tbl_Budget[[#This Row],[Budget]]</f>
        <v>-273.02000000000044</v>
      </c>
      <c r="M1266" s="3">
        <f>tbl_Budget[[#This Row],[Variance]]/tbl_Budget[[#This Row],[Budget]]</f>
        <v>-1.2846361711047695E-2</v>
      </c>
      <c r="N1266" t="str">
        <f>IF(tbl_Budget[[#This Row],[Variance_%]]&gt;0.05,"Overspend",IF(tbl_Budget[[#This Row],[Variance_%]]&lt;-0.05,"Underspend","On Budget"))</f>
        <v>On Budget</v>
      </c>
    </row>
    <row r="1267" spans="1:14" hidden="1">
      <c r="A1267" s="1">
        <v>45292</v>
      </c>
      <c r="B1267">
        <v>1</v>
      </c>
      <c r="C1267" t="s">
        <v>11</v>
      </c>
      <c r="D1267" t="s">
        <v>54</v>
      </c>
      <c r="E1267">
        <v>2024</v>
      </c>
      <c r="F1267" t="s">
        <v>28</v>
      </c>
      <c r="G1267" t="s">
        <v>20</v>
      </c>
      <c r="H1267" t="s">
        <v>17</v>
      </c>
      <c r="I1267" t="s">
        <v>29</v>
      </c>
      <c r="J1267">
        <v>20041.41</v>
      </c>
      <c r="K1267">
        <v>22365.759999999998</v>
      </c>
      <c r="L1267" s="20">
        <f>tbl_Budget[[#This Row],[Actual]]-tbl_Budget[[#This Row],[Budget]]</f>
        <v>2324.3499999999985</v>
      </c>
      <c r="M1267" s="3">
        <f>tbl_Budget[[#This Row],[Variance]]/tbl_Budget[[#This Row],[Budget]]</f>
        <v>0.1159773688577799</v>
      </c>
      <c r="N1267" t="str">
        <f>IF(tbl_Budget[[#This Row],[Variance_%]]&gt;0.05,"Overspend",IF(tbl_Budget[[#This Row],[Variance_%]]&lt;-0.05,"Underspend","On Budget"))</f>
        <v>Overspend</v>
      </c>
    </row>
    <row r="1268" spans="1:14" hidden="1">
      <c r="A1268" s="1">
        <v>45292</v>
      </c>
      <c r="B1268">
        <v>1</v>
      </c>
      <c r="C1268" t="s">
        <v>11</v>
      </c>
      <c r="D1268" t="s">
        <v>54</v>
      </c>
      <c r="E1268">
        <v>2024</v>
      </c>
      <c r="F1268" t="s">
        <v>28</v>
      </c>
      <c r="G1268" t="s">
        <v>20</v>
      </c>
      <c r="H1268" t="s">
        <v>18</v>
      </c>
      <c r="I1268" t="s">
        <v>29</v>
      </c>
      <c r="J1268">
        <v>21057.39</v>
      </c>
      <c r="K1268">
        <v>18646.939999999999</v>
      </c>
      <c r="L1268" s="20">
        <f>tbl_Budget[[#This Row],[Actual]]-tbl_Budget[[#This Row],[Budget]]</f>
        <v>-2410.4500000000007</v>
      </c>
      <c r="M1268" s="3">
        <f>tbl_Budget[[#This Row],[Variance]]/tbl_Budget[[#This Row],[Budget]]</f>
        <v>-0.11447050180482961</v>
      </c>
      <c r="N1268" t="str">
        <f>IF(tbl_Budget[[#This Row],[Variance_%]]&gt;0.05,"Overspend",IF(tbl_Budget[[#This Row],[Variance_%]]&lt;-0.05,"Underspend","On Budget"))</f>
        <v>Underspend</v>
      </c>
    </row>
    <row r="1269" spans="1:14" hidden="1">
      <c r="A1269" s="1">
        <v>45292</v>
      </c>
      <c r="B1269">
        <v>1</v>
      </c>
      <c r="C1269" t="s">
        <v>11</v>
      </c>
      <c r="D1269" t="s">
        <v>54</v>
      </c>
      <c r="E1269">
        <v>2024</v>
      </c>
      <c r="F1269" t="s">
        <v>28</v>
      </c>
      <c r="G1269" t="s">
        <v>20</v>
      </c>
      <c r="H1269" t="s">
        <v>19</v>
      </c>
      <c r="I1269" t="s">
        <v>29</v>
      </c>
      <c r="J1269">
        <v>21626</v>
      </c>
      <c r="K1269">
        <v>23203.119999999999</v>
      </c>
      <c r="L1269" s="20">
        <f>tbl_Budget[[#This Row],[Actual]]-tbl_Budget[[#This Row],[Budget]]</f>
        <v>1577.119999999999</v>
      </c>
      <c r="M1269" s="3">
        <f>tbl_Budget[[#This Row],[Variance]]/tbl_Budget[[#This Row],[Budget]]</f>
        <v>7.2927032275964074E-2</v>
      </c>
      <c r="N1269" t="str">
        <f>IF(tbl_Budget[[#This Row],[Variance_%]]&gt;0.05,"Overspend",IF(tbl_Budget[[#This Row],[Variance_%]]&lt;-0.05,"Underspend","On Budget"))</f>
        <v>Overspend</v>
      </c>
    </row>
    <row r="1270" spans="1:14">
      <c r="A1270" s="1">
        <v>45292</v>
      </c>
      <c r="B1270">
        <v>1</v>
      </c>
      <c r="C1270" t="s">
        <v>11</v>
      </c>
      <c r="D1270" t="s">
        <v>54</v>
      </c>
      <c r="E1270">
        <v>2024</v>
      </c>
      <c r="F1270" t="s">
        <v>28</v>
      </c>
      <c r="G1270" t="s">
        <v>21</v>
      </c>
      <c r="H1270" t="s">
        <v>15</v>
      </c>
      <c r="I1270" t="s">
        <v>29</v>
      </c>
      <c r="J1270">
        <v>12375.84</v>
      </c>
      <c r="K1270">
        <v>11942.06</v>
      </c>
      <c r="L1270" s="20">
        <f>tbl_Budget[[#This Row],[Actual]]-tbl_Budget[[#This Row],[Budget]]</f>
        <v>-433.78000000000065</v>
      </c>
      <c r="M1270" s="3">
        <f>tbl_Budget[[#This Row],[Variance]]/tbl_Budget[[#This Row],[Budget]]</f>
        <v>-3.5050550104073798E-2</v>
      </c>
      <c r="N1270" t="str">
        <f>IF(tbl_Budget[[#This Row],[Variance_%]]&gt;0.05,"Overspend",IF(tbl_Budget[[#This Row],[Variance_%]]&lt;-0.05,"Underspend","On Budget"))</f>
        <v>On Budget</v>
      </c>
    </row>
    <row r="1271" spans="1:14">
      <c r="A1271" s="1">
        <v>45292</v>
      </c>
      <c r="B1271">
        <v>1</v>
      </c>
      <c r="C1271" t="s">
        <v>11</v>
      </c>
      <c r="D1271" t="s">
        <v>54</v>
      </c>
      <c r="E1271">
        <v>2024</v>
      </c>
      <c r="F1271" t="s">
        <v>28</v>
      </c>
      <c r="G1271" t="s">
        <v>21</v>
      </c>
      <c r="H1271" t="s">
        <v>17</v>
      </c>
      <c r="I1271" t="s">
        <v>29</v>
      </c>
      <c r="J1271">
        <v>11299.09</v>
      </c>
      <c r="K1271">
        <v>11951.48</v>
      </c>
      <c r="L1271" s="20">
        <f>tbl_Budget[[#This Row],[Actual]]-tbl_Budget[[#This Row],[Budget]]</f>
        <v>652.38999999999942</v>
      </c>
      <c r="M1271" s="3">
        <f>tbl_Budget[[#This Row],[Variance]]/tbl_Budget[[#This Row],[Budget]]</f>
        <v>5.7738278038319851E-2</v>
      </c>
      <c r="N1271" t="str">
        <f>IF(tbl_Budget[[#This Row],[Variance_%]]&gt;0.05,"Overspend",IF(tbl_Budget[[#This Row],[Variance_%]]&lt;-0.05,"Underspend","On Budget"))</f>
        <v>Overspend</v>
      </c>
    </row>
    <row r="1272" spans="1:14">
      <c r="A1272" s="1">
        <v>45292</v>
      </c>
      <c r="B1272">
        <v>1</v>
      </c>
      <c r="C1272" t="s">
        <v>11</v>
      </c>
      <c r="D1272" t="s">
        <v>54</v>
      </c>
      <c r="E1272">
        <v>2024</v>
      </c>
      <c r="F1272" t="s">
        <v>28</v>
      </c>
      <c r="G1272" t="s">
        <v>21</v>
      </c>
      <c r="H1272" t="s">
        <v>18</v>
      </c>
      <c r="I1272" t="s">
        <v>29</v>
      </c>
      <c r="J1272">
        <v>11609.18</v>
      </c>
      <c r="K1272">
        <v>10657.14</v>
      </c>
      <c r="L1272" s="20">
        <f>tbl_Budget[[#This Row],[Actual]]-tbl_Budget[[#This Row],[Budget]]</f>
        <v>-952.04000000000087</v>
      </c>
      <c r="M1272" s="3">
        <f>tbl_Budget[[#This Row],[Variance]]/tbl_Budget[[#This Row],[Budget]]</f>
        <v>-8.2007514742643395E-2</v>
      </c>
      <c r="N1272" t="str">
        <f>IF(tbl_Budget[[#This Row],[Variance_%]]&gt;0.05,"Overspend",IF(tbl_Budget[[#This Row],[Variance_%]]&lt;-0.05,"Underspend","On Budget"))</f>
        <v>Underspend</v>
      </c>
    </row>
    <row r="1273" spans="1:14">
      <c r="A1273" s="1">
        <v>45292</v>
      </c>
      <c r="B1273">
        <v>1</v>
      </c>
      <c r="C1273" t="s">
        <v>11</v>
      </c>
      <c r="D1273" t="s">
        <v>54</v>
      </c>
      <c r="E1273">
        <v>2024</v>
      </c>
      <c r="F1273" t="s">
        <v>28</v>
      </c>
      <c r="G1273" t="s">
        <v>21</v>
      </c>
      <c r="H1273" t="s">
        <v>19</v>
      </c>
      <c r="I1273" t="s">
        <v>29</v>
      </c>
      <c r="J1273">
        <v>12233.48</v>
      </c>
      <c r="K1273">
        <v>14406.44</v>
      </c>
      <c r="L1273" s="20">
        <f>tbl_Budget[[#This Row],[Actual]]-tbl_Budget[[#This Row],[Budget]]</f>
        <v>2172.9600000000009</v>
      </c>
      <c r="M1273" s="3">
        <f>tbl_Budget[[#This Row],[Variance]]/tbl_Budget[[#This Row],[Budget]]</f>
        <v>0.17762402848576211</v>
      </c>
      <c r="N1273" t="str">
        <f>IF(tbl_Budget[[#This Row],[Variance_%]]&gt;0.05,"Overspend",IF(tbl_Budget[[#This Row],[Variance_%]]&lt;-0.05,"Underspend","On Budget"))</f>
        <v>Overspend</v>
      </c>
    </row>
    <row r="1274" spans="1:14" hidden="1">
      <c r="A1274" s="1">
        <v>45292</v>
      </c>
      <c r="B1274">
        <v>1</v>
      </c>
      <c r="C1274" t="s">
        <v>11</v>
      </c>
      <c r="D1274" t="s">
        <v>54</v>
      </c>
      <c r="E1274">
        <v>2024</v>
      </c>
      <c r="F1274" t="s">
        <v>28</v>
      </c>
      <c r="G1274" t="s">
        <v>22</v>
      </c>
      <c r="H1274" t="s">
        <v>15</v>
      </c>
      <c r="I1274" t="s">
        <v>29</v>
      </c>
      <c r="J1274">
        <v>12275.41</v>
      </c>
      <c r="K1274">
        <v>14162.8</v>
      </c>
      <c r="L1274" s="20">
        <f>tbl_Budget[[#This Row],[Actual]]-tbl_Budget[[#This Row],[Budget]]</f>
        <v>1887.3899999999994</v>
      </c>
      <c r="M1274" s="3">
        <f>tbl_Budget[[#This Row],[Variance]]/tbl_Budget[[#This Row],[Budget]]</f>
        <v>0.15375372390820344</v>
      </c>
      <c r="N1274" t="str">
        <f>IF(tbl_Budget[[#This Row],[Variance_%]]&gt;0.05,"Overspend",IF(tbl_Budget[[#This Row],[Variance_%]]&lt;-0.05,"Underspend","On Budget"))</f>
        <v>Overspend</v>
      </c>
    </row>
    <row r="1275" spans="1:14" hidden="1">
      <c r="A1275" s="1">
        <v>45292</v>
      </c>
      <c r="B1275">
        <v>1</v>
      </c>
      <c r="C1275" t="s">
        <v>11</v>
      </c>
      <c r="D1275" t="s">
        <v>54</v>
      </c>
      <c r="E1275">
        <v>2024</v>
      </c>
      <c r="F1275" t="s">
        <v>28</v>
      </c>
      <c r="G1275" t="s">
        <v>22</v>
      </c>
      <c r="H1275" t="s">
        <v>17</v>
      </c>
      <c r="I1275" t="s">
        <v>29</v>
      </c>
      <c r="J1275">
        <v>11980.49</v>
      </c>
      <c r="K1275">
        <v>13162.1</v>
      </c>
      <c r="L1275" s="20">
        <f>tbl_Budget[[#This Row],[Actual]]-tbl_Budget[[#This Row],[Budget]]</f>
        <v>1181.6100000000006</v>
      </c>
      <c r="M1275" s="3">
        <f>tbl_Budget[[#This Row],[Variance]]/tbl_Budget[[#This Row],[Budget]]</f>
        <v>9.8627852450108522E-2</v>
      </c>
      <c r="N1275" t="str">
        <f>IF(tbl_Budget[[#This Row],[Variance_%]]&gt;0.05,"Overspend",IF(tbl_Budget[[#This Row],[Variance_%]]&lt;-0.05,"Underspend","On Budget"))</f>
        <v>Overspend</v>
      </c>
    </row>
    <row r="1276" spans="1:14" hidden="1">
      <c r="A1276" s="1">
        <v>45292</v>
      </c>
      <c r="B1276">
        <v>1</v>
      </c>
      <c r="C1276" t="s">
        <v>11</v>
      </c>
      <c r="D1276" t="s">
        <v>54</v>
      </c>
      <c r="E1276">
        <v>2024</v>
      </c>
      <c r="F1276" t="s">
        <v>28</v>
      </c>
      <c r="G1276" t="s">
        <v>22</v>
      </c>
      <c r="H1276" t="s">
        <v>18</v>
      </c>
      <c r="I1276" t="s">
        <v>29</v>
      </c>
      <c r="J1276">
        <v>12441.92</v>
      </c>
      <c r="K1276">
        <v>12664.98</v>
      </c>
      <c r="L1276" s="20">
        <f>tbl_Budget[[#This Row],[Actual]]-tbl_Budget[[#This Row],[Budget]]</f>
        <v>223.05999999999949</v>
      </c>
      <c r="M1276" s="3">
        <f>tbl_Budget[[#This Row],[Variance]]/tbl_Budget[[#This Row],[Budget]]</f>
        <v>1.7928101129086146E-2</v>
      </c>
      <c r="N1276" t="str">
        <f>IF(tbl_Budget[[#This Row],[Variance_%]]&gt;0.05,"Overspend",IF(tbl_Budget[[#This Row],[Variance_%]]&lt;-0.05,"Underspend","On Budget"))</f>
        <v>On Budget</v>
      </c>
    </row>
    <row r="1277" spans="1:14" hidden="1">
      <c r="A1277" s="1">
        <v>45292</v>
      </c>
      <c r="B1277">
        <v>1</v>
      </c>
      <c r="C1277" t="s">
        <v>11</v>
      </c>
      <c r="D1277" t="s">
        <v>54</v>
      </c>
      <c r="E1277">
        <v>2024</v>
      </c>
      <c r="F1277" t="s">
        <v>28</v>
      </c>
      <c r="G1277" t="s">
        <v>22</v>
      </c>
      <c r="H1277" t="s">
        <v>19</v>
      </c>
      <c r="I1277" t="s">
        <v>29</v>
      </c>
      <c r="J1277">
        <v>12781.61</v>
      </c>
      <c r="K1277">
        <v>15133.71</v>
      </c>
      <c r="L1277" s="20">
        <f>tbl_Budget[[#This Row],[Actual]]-tbl_Budget[[#This Row],[Budget]]</f>
        <v>2352.0999999999985</v>
      </c>
      <c r="M1277" s="3">
        <f>tbl_Budget[[#This Row],[Variance]]/tbl_Budget[[#This Row],[Budget]]</f>
        <v>0.18402220064608438</v>
      </c>
      <c r="N1277" t="str">
        <f>IF(tbl_Budget[[#This Row],[Variance_%]]&gt;0.05,"Overspend",IF(tbl_Budget[[#This Row],[Variance_%]]&lt;-0.05,"Underspend","On Budget"))</f>
        <v>Overspend</v>
      </c>
    </row>
    <row r="1278" spans="1:14" hidden="1">
      <c r="A1278" s="1">
        <v>45292</v>
      </c>
      <c r="B1278">
        <v>1</v>
      </c>
      <c r="C1278" t="s">
        <v>11</v>
      </c>
      <c r="D1278" t="s">
        <v>54</v>
      </c>
      <c r="E1278">
        <v>2024</v>
      </c>
      <c r="F1278" t="s">
        <v>28</v>
      </c>
      <c r="G1278" t="s">
        <v>23</v>
      </c>
      <c r="H1278" t="s">
        <v>15</v>
      </c>
      <c r="I1278" t="s">
        <v>29</v>
      </c>
      <c r="J1278">
        <v>8240.76</v>
      </c>
      <c r="K1278">
        <v>7703.42</v>
      </c>
      <c r="L1278" s="20">
        <f>tbl_Budget[[#This Row],[Actual]]-tbl_Budget[[#This Row],[Budget]]</f>
        <v>-537.34000000000015</v>
      </c>
      <c r="M1278" s="3">
        <f>tbl_Budget[[#This Row],[Variance]]/tbl_Budget[[#This Row],[Budget]]</f>
        <v>-6.5205150981220192E-2</v>
      </c>
      <c r="N1278" t="str">
        <f>IF(tbl_Budget[[#This Row],[Variance_%]]&gt;0.05,"Overspend",IF(tbl_Budget[[#This Row],[Variance_%]]&lt;-0.05,"Underspend","On Budget"))</f>
        <v>Underspend</v>
      </c>
    </row>
    <row r="1279" spans="1:14" hidden="1">
      <c r="A1279" s="1">
        <v>45292</v>
      </c>
      <c r="B1279">
        <v>1</v>
      </c>
      <c r="C1279" t="s">
        <v>11</v>
      </c>
      <c r="D1279" t="s">
        <v>54</v>
      </c>
      <c r="E1279">
        <v>2024</v>
      </c>
      <c r="F1279" t="s">
        <v>28</v>
      </c>
      <c r="G1279" t="s">
        <v>23</v>
      </c>
      <c r="H1279" t="s">
        <v>17</v>
      </c>
      <c r="I1279" t="s">
        <v>29</v>
      </c>
      <c r="J1279">
        <v>7718.9</v>
      </c>
      <c r="K1279">
        <v>7916.12</v>
      </c>
      <c r="L1279" s="20">
        <f>tbl_Budget[[#This Row],[Actual]]-tbl_Budget[[#This Row],[Budget]]</f>
        <v>197.22000000000025</v>
      </c>
      <c r="M1279" s="3">
        <f>tbl_Budget[[#This Row],[Variance]]/tbl_Budget[[#This Row],[Budget]]</f>
        <v>2.5550272707251069E-2</v>
      </c>
      <c r="N1279" t="str">
        <f>IF(tbl_Budget[[#This Row],[Variance_%]]&gt;0.05,"Overspend",IF(tbl_Budget[[#This Row],[Variance_%]]&lt;-0.05,"Underspend","On Budget"))</f>
        <v>On Budget</v>
      </c>
    </row>
    <row r="1280" spans="1:14" hidden="1">
      <c r="A1280" s="1">
        <v>45292</v>
      </c>
      <c r="B1280">
        <v>1</v>
      </c>
      <c r="C1280" t="s">
        <v>11</v>
      </c>
      <c r="D1280" t="s">
        <v>54</v>
      </c>
      <c r="E1280">
        <v>2024</v>
      </c>
      <c r="F1280" t="s">
        <v>28</v>
      </c>
      <c r="G1280" t="s">
        <v>23</v>
      </c>
      <c r="H1280" t="s">
        <v>18</v>
      </c>
      <c r="I1280" t="s">
        <v>29</v>
      </c>
      <c r="J1280">
        <v>7998.72</v>
      </c>
      <c r="K1280">
        <v>8434.06</v>
      </c>
      <c r="L1280" s="20">
        <f>tbl_Budget[[#This Row],[Actual]]-tbl_Budget[[#This Row],[Budget]]</f>
        <v>435.33999999999924</v>
      </c>
      <c r="M1280" s="3">
        <f>tbl_Budget[[#This Row],[Variance]]/tbl_Budget[[#This Row],[Budget]]</f>
        <v>5.4426208193310829E-2</v>
      </c>
      <c r="N1280" t="str">
        <f>IF(tbl_Budget[[#This Row],[Variance_%]]&gt;0.05,"Overspend",IF(tbl_Budget[[#This Row],[Variance_%]]&lt;-0.05,"Underspend","On Budget"))</f>
        <v>Overspend</v>
      </c>
    </row>
    <row r="1281" spans="1:14" hidden="1">
      <c r="A1281" s="1">
        <v>45292</v>
      </c>
      <c r="B1281">
        <v>1</v>
      </c>
      <c r="C1281" t="s">
        <v>11</v>
      </c>
      <c r="D1281" t="s">
        <v>54</v>
      </c>
      <c r="E1281">
        <v>2024</v>
      </c>
      <c r="F1281" t="s">
        <v>28</v>
      </c>
      <c r="G1281" t="s">
        <v>23</v>
      </c>
      <c r="H1281" t="s">
        <v>19</v>
      </c>
      <c r="I1281" t="s">
        <v>29</v>
      </c>
      <c r="J1281">
        <v>8295.9599999999991</v>
      </c>
      <c r="K1281">
        <v>7442.83</v>
      </c>
      <c r="L1281" s="20">
        <f>tbl_Budget[[#This Row],[Actual]]-tbl_Budget[[#This Row],[Budget]]</f>
        <v>-853.1299999999992</v>
      </c>
      <c r="M1281" s="3">
        <f>tbl_Budget[[#This Row],[Variance]]/tbl_Budget[[#This Row],[Budget]]</f>
        <v>-0.1028368024918152</v>
      </c>
      <c r="N1281" t="str">
        <f>IF(tbl_Budget[[#This Row],[Variance_%]]&gt;0.05,"Overspend",IF(tbl_Budget[[#This Row],[Variance_%]]&lt;-0.05,"Underspend","On Budget"))</f>
        <v>Underspend</v>
      </c>
    </row>
    <row r="1282" spans="1:14" hidden="1">
      <c r="A1282" s="1">
        <v>45292</v>
      </c>
      <c r="B1282">
        <v>1</v>
      </c>
      <c r="C1282" t="s">
        <v>11</v>
      </c>
      <c r="D1282" t="s">
        <v>54</v>
      </c>
      <c r="E1282">
        <v>2024</v>
      </c>
      <c r="F1282" t="s">
        <v>30</v>
      </c>
      <c r="G1282" t="s">
        <v>14</v>
      </c>
      <c r="H1282" t="s">
        <v>15</v>
      </c>
      <c r="I1282" t="s">
        <v>31</v>
      </c>
      <c r="J1282">
        <v>44027.65</v>
      </c>
      <c r="K1282">
        <v>45579.79</v>
      </c>
      <c r="L1282" s="20">
        <f>tbl_Budget[[#This Row],[Actual]]-tbl_Budget[[#This Row],[Budget]]</f>
        <v>1552.1399999999994</v>
      </c>
      <c r="M1282" s="3">
        <f>tbl_Budget[[#This Row],[Variance]]/tbl_Budget[[#This Row],[Budget]]</f>
        <v>3.5253755310583224E-2</v>
      </c>
      <c r="N1282" t="str">
        <f>IF(tbl_Budget[[#This Row],[Variance_%]]&gt;0.05,"Overspend",IF(tbl_Budget[[#This Row],[Variance_%]]&lt;-0.05,"Underspend","On Budget"))</f>
        <v>On Budget</v>
      </c>
    </row>
    <row r="1283" spans="1:14" hidden="1">
      <c r="A1283" s="1">
        <v>45292</v>
      </c>
      <c r="B1283">
        <v>1</v>
      </c>
      <c r="C1283" t="s">
        <v>11</v>
      </c>
      <c r="D1283" t="s">
        <v>54</v>
      </c>
      <c r="E1283">
        <v>2024</v>
      </c>
      <c r="F1283" t="s">
        <v>30</v>
      </c>
      <c r="G1283" t="s">
        <v>14</v>
      </c>
      <c r="H1283" t="s">
        <v>17</v>
      </c>
      <c r="I1283" t="s">
        <v>31</v>
      </c>
      <c r="J1283">
        <v>42884.34</v>
      </c>
      <c r="K1283">
        <v>42488.27</v>
      </c>
      <c r="L1283" s="20">
        <f>tbl_Budget[[#This Row],[Actual]]-tbl_Budget[[#This Row],[Budget]]</f>
        <v>-396.06999999999971</v>
      </c>
      <c r="M1283" s="3">
        <f>tbl_Budget[[#This Row],[Variance]]/tbl_Budget[[#This Row],[Budget]]</f>
        <v>-9.2357723122239894E-3</v>
      </c>
      <c r="N1283" t="str">
        <f>IF(tbl_Budget[[#This Row],[Variance_%]]&gt;0.05,"Overspend",IF(tbl_Budget[[#This Row],[Variance_%]]&lt;-0.05,"Underspend","On Budget"))</f>
        <v>On Budget</v>
      </c>
    </row>
    <row r="1284" spans="1:14" hidden="1">
      <c r="A1284" s="1">
        <v>45292</v>
      </c>
      <c r="B1284">
        <v>1</v>
      </c>
      <c r="C1284" t="s">
        <v>11</v>
      </c>
      <c r="D1284" t="s">
        <v>54</v>
      </c>
      <c r="E1284">
        <v>2024</v>
      </c>
      <c r="F1284" t="s">
        <v>30</v>
      </c>
      <c r="G1284" t="s">
        <v>14</v>
      </c>
      <c r="H1284" t="s">
        <v>18</v>
      </c>
      <c r="I1284" t="s">
        <v>31</v>
      </c>
      <c r="J1284">
        <v>44500.06</v>
      </c>
      <c r="K1284">
        <v>46239.99</v>
      </c>
      <c r="L1284" s="20">
        <f>tbl_Budget[[#This Row],[Actual]]-tbl_Budget[[#This Row],[Budget]]</f>
        <v>1739.9300000000003</v>
      </c>
      <c r="M1284" s="3">
        <f>tbl_Budget[[#This Row],[Variance]]/tbl_Budget[[#This Row],[Budget]]</f>
        <v>3.9099497843373701E-2</v>
      </c>
      <c r="N1284" t="str">
        <f>IF(tbl_Budget[[#This Row],[Variance_%]]&gt;0.05,"Overspend",IF(tbl_Budget[[#This Row],[Variance_%]]&lt;-0.05,"Underspend","On Budget"))</f>
        <v>On Budget</v>
      </c>
    </row>
    <row r="1285" spans="1:14" hidden="1">
      <c r="A1285" s="1">
        <v>45292</v>
      </c>
      <c r="B1285">
        <v>1</v>
      </c>
      <c r="C1285" t="s">
        <v>11</v>
      </c>
      <c r="D1285" t="s">
        <v>54</v>
      </c>
      <c r="E1285">
        <v>2024</v>
      </c>
      <c r="F1285" t="s">
        <v>30</v>
      </c>
      <c r="G1285" t="s">
        <v>14</v>
      </c>
      <c r="H1285" t="s">
        <v>19</v>
      </c>
      <c r="I1285" t="s">
        <v>31</v>
      </c>
      <c r="J1285">
        <v>47634.64</v>
      </c>
      <c r="K1285">
        <v>47664.2</v>
      </c>
      <c r="L1285" s="20">
        <f>tbl_Budget[[#This Row],[Actual]]-tbl_Budget[[#This Row],[Budget]]</f>
        <v>29.559999999997672</v>
      </c>
      <c r="M1285" s="3">
        <f>tbl_Budget[[#This Row],[Variance]]/tbl_Budget[[#This Row],[Budget]]</f>
        <v>6.2055680487976134E-4</v>
      </c>
      <c r="N1285" t="str">
        <f>IF(tbl_Budget[[#This Row],[Variance_%]]&gt;0.05,"Overspend",IF(tbl_Budget[[#This Row],[Variance_%]]&lt;-0.05,"Underspend","On Budget"))</f>
        <v>On Budget</v>
      </c>
    </row>
    <row r="1286" spans="1:14" hidden="1">
      <c r="A1286" s="1">
        <v>45292</v>
      </c>
      <c r="B1286">
        <v>1</v>
      </c>
      <c r="C1286" t="s">
        <v>11</v>
      </c>
      <c r="D1286" t="s">
        <v>54</v>
      </c>
      <c r="E1286">
        <v>2024</v>
      </c>
      <c r="F1286" t="s">
        <v>30</v>
      </c>
      <c r="G1286" t="s">
        <v>20</v>
      </c>
      <c r="H1286" t="s">
        <v>15</v>
      </c>
      <c r="I1286" t="s">
        <v>31</v>
      </c>
      <c r="J1286">
        <v>17514.990000000002</v>
      </c>
      <c r="K1286">
        <v>17279.93</v>
      </c>
      <c r="L1286" s="20">
        <f>tbl_Budget[[#This Row],[Actual]]-tbl_Budget[[#This Row],[Budget]]</f>
        <v>-235.06000000000131</v>
      </c>
      <c r="M1286" s="3">
        <f>tbl_Budget[[#This Row],[Variance]]/tbl_Budget[[#This Row],[Budget]]</f>
        <v>-1.3420504379391669E-2</v>
      </c>
      <c r="N1286" t="str">
        <f>IF(tbl_Budget[[#This Row],[Variance_%]]&gt;0.05,"Overspend",IF(tbl_Budget[[#This Row],[Variance_%]]&lt;-0.05,"Underspend","On Budget"))</f>
        <v>On Budget</v>
      </c>
    </row>
    <row r="1287" spans="1:14" hidden="1">
      <c r="A1287" s="1">
        <v>45292</v>
      </c>
      <c r="B1287">
        <v>1</v>
      </c>
      <c r="C1287" t="s">
        <v>11</v>
      </c>
      <c r="D1287" t="s">
        <v>54</v>
      </c>
      <c r="E1287">
        <v>2024</v>
      </c>
      <c r="F1287" t="s">
        <v>30</v>
      </c>
      <c r="G1287" t="s">
        <v>20</v>
      </c>
      <c r="H1287" t="s">
        <v>17</v>
      </c>
      <c r="I1287" t="s">
        <v>31</v>
      </c>
      <c r="J1287">
        <v>16116.32</v>
      </c>
      <c r="K1287">
        <v>16160.94</v>
      </c>
      <c r="L1287" s="20">
        <f>tbl_Budget[[#This Row],[Actual]]-tbl_Budget[[#This Row],[Budget]]</f>
        <v>44.6200000000008</v>
      </c>
      <c r="M1287" s="3">
        <f>tbl_Budget[[#This Row],[Variance]]/tbl_Budget[[#This Row],[Budget]]</f>
        <v>2.7686221172079483E-3</v>
      </c>
      <c r="N1287" t="str">
        <f>IF(tbl_Budget[[#This Row],[Variance_%]]&gt;0.05,"Overspend",IF(tbl_Budget[[#This Row],[Variance_%]]&lt;-0.05,"Underspend","On Budget"))</f>
        <v>On Budget</v>
      </c>
    </row>
    <row r="1288" spans="1:14" hidden="1">
      <c r="A1288" s="1">
        <v>45292</v>
      </c>
      <c r="B1288">
        <v>1</v>
      </c>
      <c r="C1288" t="s">
        <v>11</v>
      </c>
      <c r="D1288" t="s">
        <v>54</v>
      </c>
      <c r="E1288">
        <v>2024</v>
      </c>
      <c r="F1288" t="s">
        <v>30</v>
      </c>
      <c r="G1288" t="s">
        <v>20</v>
      </c>
      <c r="H1288" t="s">
        <v>18</v>
      </c>
      <c r="I1288" t="s">
        <v>31</v>
      </c>
      <c r="J1288">
        <v>16800.2</v>
      </c>
      <c r="K1288">
        <v>16589.29</v>
      </c>
      <c r="L1288" s="20">
        <f>tbl_Budget[[#This Row],[Actual]]-tbl_Budget[[#This Row],[Budget]]</f>
        <v>-210.90999999999985</v>
      </c>
      <c r="M1288" s="3">
        <f>tbl_Budget[[#This Row],[Variance]]/tbl_Budget[[#This Row],[Budget]]</f>
        <v>-1.2554017214080776E-2</v>
      </c>
      <c r="N1288" t="str">
        <f>IF(tbl_Budget[[#This Row],[Variance_%]]&gt;0.05,"Overspend",IF(tbl_Budget[[#This Row],[Variance_%]]&lt;-0.05,"Underspend","On Budget"))</f>
        <v>On Budget</v>
      </c>
    </row>
    <row r="1289" spans="1:14" hidden="1">
      <c r="A1289" s="1">
        <v>45292</v>
      </c>
      <c r="B1289">
        <v>1</v>
      </c>
      <c r="C1289" t="s">
        <v>11</v>
      </c>
      <c r="D1289" t="s">
        <v>54</v>
      </c>
      <c r="E1289">
        <v>2024</v>
      </c>
      <c r="F1289" t="s">
        <v>30</v>
      </c>
      <c r="G1289" t="s">
        <v>20</v>
      </c>
      <c r="H1289" t="s">
        <v>19</v>
      </c>
      <c r="I1289" t="s">
        <v>31</v>
      </c>
      <c r="J1289">
        <v>18196.689999999999</v>
      </c>
      <c r="K1289">
        <v>18068.02</v>
      </c>
      <c r="L1289" s="20">
        <f>tbl_Budget[[#This Row],[Actual]]-tbl_Budget[[#This Row],[Budget]]</f>
        <v>-128.66999999999825</v>
      </c>
      <c r="M1289" s="3">
        <f>tbl_Budget[[#This Row],[Variance]]/tbl_Budget[[#This Row],[Budget]]</f>
        <v>-7.0710662213841237E-3</v>
      </c>
      <c r="N1289" t="str">
        <f>IF(tbl_Budget[[#This Row],[Variance_%]]&gt;0.05,"Overspend",IF(tbl_Budget[[#This Row],[Variance_%]]&lt;-0.05,"Underspend","On Budget"))</f>
        <v>On Budget</v>
      </c>
    </row>
    <row r="1290" spans="1:14">
      <c r="A1290" s="1">
        <v>45292</v>
      </c>
      <c r="B1290">
        <v>1</v>
      </c>
      <c r="C1290" t="s">
        <v>11</v>
      </c>
      <c r="D1290" t="s">
        <v>54</v>
      </c>
      <c r="E1290">
        <v>2024</v>
      </c>
      <c r="F1290" t="s">
        <v>30</v>
      </c>
      <c r="G1290" t="s">
        <v>21</v>
      </c>
      <c r="H1290" t="s">
        <v>15</v>
      </c>
      <c r="I1290" t="s">
        <v>31</v>
      </c>
      <c r="J1290">
        <v>7103.64</v>
      </c>
      <c r="K1290">
        <v>7151.54</v>
      </c>
      <c r="L1290" s="20">
        <f>tbl_Budget[[#This Row],[Actual]]-tbl_Budget[[#This Row],[Budget]]</f>
        <v>47.899999999999636</v>
      </c>
      <c r="M1290" s="3">
        <f>tbl_Budget[[#This Row],[Variance]]/tbl_Budget[[#This Row],[Budget]]</f>
        <v>6.7430218873703674E-3</v>
      </c>
      <c r="N1290" t="str">
        <f>IF(tbl_Budget[[#This Row],[Variance_%]]&gt;0.05,"Overspend",IF(tbl_Budget[[#This Row],[Variance_%]]&lt;-0.05,"Underspend","On Budget"))</f>
        <v>On Budget</v>
      </c>
    </row>
    <row r="1291" spans="1:14">
      <c r="A1291" s="1">
        <v>45292</v>
      </c>
      <c r="B1291">
        <v>1</v>
      </c>
      <c r="C1291" t="s">
        <v>11</v>
      </c>
      <c r="D1291" t="s">
        <v>54</v>
      </c>
      <c r="E1291">
        <v>2024</v>
      </c>
      <c r="F1291" t="s">
        <v>30</v>
      </c>
      <c r="G1291" t="s">
        <v>21</v>
      </c>
      <c r="H1291" t="s">
        <v>17</v>
      </c>
      <c r="I1291" t="s">
        <v>31</v>
      </c>
      <c r="J1291">
        <v>7015.26</v>
      </c>
      <c r="K1291">
        <v>6817.34</v>
      </c>
      <c r="L1291" s="20">
        <f>tbl_Budget[[#This Row],[Actual]]-tbl_Budget[[#This Row],[Budget]]</f>
        <v>-197.92000000000007</v>
      </c>
      <c r="M1291" s="3">
        <f>tbl_Budget[[#This Row],[Variance]]/tbl_Budget[[#This Row],[Budget]]</f>
        <v>-2.8212781849853045E-2</v>
      </c>
      <c r="N1291" t="str">
        <f>IF(tbl_Budget[[#This Row],[Variance_%]]&gt;0.05,"Overspend",IF(tbl_Budget[[#This Row],[Variance_%]]&lt;-0.05,"Underspend","On Budget"))</f>
        <v>On Budget</v>
      </c>
    </row>
    <row r="1292" spans="1:14">
      <c r="A1292" s="1">
        <v>45292</v>
      </c>
      <c r="B1292">
        <v>1</v>
      </c>
      <c r="C1292" t="s">
        <v>11</v>
      </c>
      <c r="D1292" t="s">
        <v>54</v>
      </c>
      <c r="E1292">
        <v>2024</v>
      </c>
      <c r="F1292" t="s">
        <v>30</v>
      </c>
      <c r="G1292" t="s">
        <v>21</v>
      </c>
      <c r="H1292" t="s">
        <v>18</v>
      </c>
      <c r="I1292" t="s">
        <v>31</v>
      </c>
      <c r="J1292">
        <v>7033.24</v>
      </c>
      <c r="K1292">
        <v>7095.25</v>
      </c>
      <c r="L1292" s="20">
        <f>tbl_Budget[[#This Row],[Actual]]-tbl_Budget[[#This Row],[Budget]]</f>
        <v>62.010000000000218</v>
      </c>
      <c r="M1292" s="3">
        <f>tbl_Budget[[#This Row],[Variance]]/tbl_Budget[[#This Row],[Budget]]</f>
        <v>8.8167046766497691E-3</v>
      </c>
      <c r="N1292" t="str">
        <f>IF(tbl_Budget[[#This Row],[Variance_%]]&gt;0.05,"Overspend",IF(tbl_Budget[[#This Row],[Variance_%]]&lt;-0.05,"Underspend","On Budget"))</f>
        <v>On Budget</v>
      </c>
    </row>
    <row r="1293" spans="1:14">
      <c r="A1293" s="1">
        <v>45292</v>
      </c>
      <c r="B1293">
        <v>1</v>
      </c>
      <c r="C1293" t="s">
        <v>11</v>
      </c>
      <c r="D1293" t="s">
        <v>54</v>
      </c>
      <c r="E1293">
        <v>2024</v>
      </c>
      <c r="F1293" t="s">
        <v>30</v>
      </c>
      <c r="G1293" t="s">
        <v>21</v>
      </c>
      <c r="H1293" t="s">
        <v>19</v>
      </c>
      <c r="I1293" t="s">
        <v>31</v>
      </c>
      <c r="J1293">
        <v>7302.29</v>
      </c>
      <c r="K1293">
        <v>7265.64</v>
      </c>
      <c r="L1293" s="20">
        <f>tbl_Budget[[#This Row],[Actual]]-tbl_Budget[[#This Row],[Budget]]</f>
        <v>-36.649999999999636</v>
      </c>
      <c r="M1293" s="3">
        <f>tbl_Budget[[#This Row],[Variance]]/tbl_Budget[[#This Row],[Budget]]</f>
        <v>-5.0189735000937567E-3</v>
      </c>
      <c r="N1293" t="str">
        <f>IF(tbl_Budget[[#This Row],[Variance_%]]&gt;0.05,"Overspend",IF(tbl_Budget[[#This Row],[Variance_%]]&lt;-0.05,"Underspend","On Budget"))</f>
        <v>On Budget</v>
      </c>
    </row>
    <row r="1294" spans="1:14" hidden="1">
      <c r="A1294" s="1">
        <v>45292</v>
      </c>
      <c r="B1294">
        <v>1</v>
      </c>
      <c r="C1294" t="s">
        <v>11</v>
      </c>
      <c r="D1294" t="s">
        <v>54</v>
      </c>
      <c r="E1294">
        <v>2024</v>
      </c>
      <c r="F1294" t="s">
        <v>30</v>
      </c>
      <c r="G1294" t="s">
        <v>22</v>
      </c>
      <c r="H1294" t="s">
        <v>15</v>
      </c>
      <c r="I1294" t="s">
        <v>31</v>
      </c>
      <c r="J1294">
        <v>7427.62</v>
      </c>
      <c r="K1294">
        <v>7538.02</v>
      </c>
      <c r="L1294" s="20">
        <f>tbl_Budget[[#This Row],[Actual]]-tbl_Budget[[#This Row],[Budget]]</f>
        <v>110.40000000000055</v>
      </c>
      <c r="M1294" s="3">
        <f>tbl_Budget[[#This Row],[Variance]]/tbl_Budget[[#This Row],[Budget]]</f>
        <v>1.4863442125472297E-2</v>
      </c>
      <c r="N1294" t="str">
        <f>IF(tbl_Budget[[#This Row],[Variance_%]]&gt;0.05,"Overspend",IF(tbl_Budget[[#This Row],[Variance_%]]&lt;-0.05,"Underspend","On Budget"))</f>
        <v>On Budget</v>
      </c>
    </row>
    <row r="1295" spans="1:14" hidden="1">
      <c r="A1295" s="1">
        <v>45292</v>
      </c>
      <c r="B1295">
        <v>1</v>
      </c>
      <c r="C1295" t="s">
        <v>11</v>
      </c>
      <c r="D1295" t="s">
        <v>54</v>
      </c>
      <c r="E1295">
        <v>2024</v>
      </c>
      <c r="F1295" t="s">
        <v>30</v>
      </c>
      <c r="G1295" t="s">
        <v>22</v>
      </c>
      <c r="H1295" t="s">
        <v>17</v>
      </c>
      <c r="I1295" t="s">
        <v>31</v>
      </c>
      <c r="J1295">
        <v>6960.27</v>
      </c>
      <c r="K1295">
        <v>6621.21</v>
      </c>
      <c r="L1295" s="20">
        <f>tbl_Budget[[#This Row],[Actual]]-tbl_Budget[[#This Row],[Budget]]</f>
        <v>-339.0600000000004</v>
      </c>
      <c r="M1295" s="3">
        <f>tbl_Budget[[#This Row],[Variance]]/tbl_Budget[[#This Row],[Budget]]</f>
        <v>-4.8713627488588859E-2</v>
      </c>
      <c r="N1295" t="str">
        <f>IF(tbl_Budget[[#This Row],[Variance_%]]&gt;0.05,"Overspend",IF(tbl_Budget[[#This Row],[Variance_%]]&lt;-0.05,"Underspend","On Budget"))</f>
        <v>On Budget</v>
      </c>
    </row>
    <row r="1296" spans="1:14" hidden="1">
      <c r="A1296" s="1">
        <v>45292</v>
      </c>
      <c r="B1296">
        <v>1</v>
      </c>
      <c r="C1296" t="s">
        <v>11</v>
      </c>
      <c r="D1296" t="s">
        <v>54</v>
      </c>
      <c r="E1296">
        <v>2024</v>
      </c>
      <c r="F1296" t="s">
        <v>30</v>
      </c>
      <c r="G1296" t="s">
        <v>22</v>
      </c>
      <c r="H1296" t="s">
        <v>18</v>
      </c>
      <c r="I1296" t="s">
        <v>31</v>
      </c>
      <c r="J1296">
        <v>7144.98</v>
      </c>
      <c r="K1296">
        <v>7175.82</v>
      </c>
      <c r="L1296" s="20">
        <f>tbl_Budget[[#This Row],[Actual]]-tbl_Budget[[#This Row],[Budget]]</f>
        <v>30.840000000000146</v>
      </c>
      <c r="M1296" s="3">
        <f>tbl_Budget[[#This Row],[Variance]]/tbl_Budget[[#This Row],[Budget]]</f>
        <v>4.3163171905309947E-3</v>
      </c>
      <c r="N1296" t="str">
        <f>IF(tbl_Budget[[#This Row],[Variance_%]]&gt;0.05,"Overspend",IF(tbl_Budget[[#This Row],[Variance_%]]&lt;-0.05,"Underspend","On Budget"))</f>
        <v>On Budget</v>
      </c>
    </row>
    <row r="1297" spans="1:14" hidden="1">
      <c r="A1297" s="1">
        <v>45292</v>
      </c>
      <c r="B1297">
        <v>1</v>
      </c>
      <c r="C1297" t="s">
        <v>11</v>
      </c>
      <c r="D1297" t="s">
        <v>54</v>
      </c>
      <c r="E1297">
        <v>2024</v>
      </c>
      <c r="F1297" t="s">
        <v>30</v>
      </c>
      <c r="G1297" t="s">
        <v>22</v>
      </c>
      <c r="H1297" t="s">
        <v>19</v>
      </c>
      <c r="I1297" t="s">
        <v>31</v>
      </c>
      <c r="J1297">
        <v>7968.01</v>
      </c>
      <c r="K1297">
        <v>7673.48</v>
      </c>
      <c r="L1297" s="20">
        <f>tbl_Budget[[#This Row],[Actual]]-tbl_Budget[[#This Row],[Budget]]</f>
        <v>-294.53000000000065</v>
      </c>
      <c r="M1297" s="3">
        <f>tbl_Budget[[#This Row],[Variance]]/tbl_Budget[[#This Row],[Budget]]</f>
        <v>-3.6964060035065298E-2</v>
      </c>
      <c r="N1297" t="str">
        <f>IF(tbl_Budget[[#This Row],[Variance_%]]&gt;0.05,"Overspend",IF(tbl_Budget[[#This Row],[Variance_%]]&lt;-0.05,"Underspend","On Budget"))</f>
        <v>On Budget</v>
      </c>
    </row>
    <row r="1298" spans="1:14" hidden="1">
      <c r="A1298" s="1">
        <v>45292</v>
      </c>
      <c r="B1298">
        <v>1</v>
      </c>
      <c r="C1298" t="s">
        <v>11</v>
      </c>
      <c r="D1298" t="s">
        <v>54</v>
      </c>
      <c r="E1298">
        <v>2024</v>
      </c>
      <c r="F1298" t="s">
        <v>30</v>
      </c>
      <c r="G1298" t="s">
        <v>23</v>
      </c>
      <c r="H1298" t="s">
        <v>15</v>
      </c>
      <c r="I1298" t="s">
        <v>31</v>
      </c>
      <c r="J1298">
        <v>6572.1</v>
      </c>
      <c r="K1298">
        <v>6427.99</v>
      </c>
      <c r="L1298" s="20">
        <f>tbl_Budget[[#This Row],[Actual]]-tbl_Budget[[#This Row],[Budget]]</f>
        <v>-144.11000000000058</v>
      </c>
      <c r="M1298" s="3">
        <f>tbl_Budget[[#This Row],[Variance]]/tbl_Budget[[#This Row],[Budget]]</f>
        <v>-2.192754218590718E-2</v>
      </c>
      <c r="N1298" t="str">
        <f>IF(tbl_Budget[[#This Row],[Variance_%]]&gt;0.05,"Overspend",IF(tbl_Budget[[#This Row],[Variance_%]]&lt;-0.05,"Underspend","On Budget"))</f>
        <v>On Budget</v>
      </c>
    </row>
    <row r="1299" spans="1:14" hidden="1">
      <c r="A1299" s="1">
        <v>45292</v>
      </c>
      <c r="B1299">
        <v>1</v>
      </c>
      <c r="C1299" t="s">
        <v>11</v>
      </c>
      <c r="D1299" t="s">
        <v>54</v>
      </c>
      <c r="E1299">
        <v>2024</v>
      </c>
      <c r="F1299" t="s">
        <v>30</v>
      </c>
      <c r="G1299" t="s">
        <v>23</v>
      </c>
      <c r="H1299" t="s">
        <v>17</v>
      </c>
      <c r="I1299" t="s">
        <v>31</v>
      </c>
      <c r="J1299">
        <v>6283.62</v>
      </c>
      <c r="K1299">
        <v>6591.05</v>
      </c>
      <c r="L1299" s="20">
        <f>tbl_Budget[[#This Row],[Actual]]-tbl_Budget[[#This Row],[Budget]]</f>
        <v>307.43000000000029</v>
      </c>
      <c r="M1299" s="3">
        <f>tbl_Budget[[#This Row],[Variance]]/tbl_Budget[[#This Row],[Budget]]</f>
        <v>4.8925619308615144E-2</v>
      </c>
      <c r="N1299" t="str">
        <f>IF(tbl_Budget[[#This Row],[Variance_%]]&gt;0.05,"Overspend",IF(tbl_Budget[[#This Row],[Variance_%]]&lt;-0.05,"Underspend","On Budget"))</f>
        <v>On Budget</v>
      </c>
    </row>
    <row r="1300" spans="1:14" hidden="1">
      <c r="A1300" s="1">
        <v>45292</v>
      </c>
      <c r="B1300">
        <v>1</v>
      </c>
      <c r="C1300" t="s">
        <v>11</v>
      </c>
      <c r="D1300" t="s">
        <v>54</v>
      </c>
      <c r="E1300">
        <v>2024</v>
      </c>
      <c r="F1300" t="s">
        <v>30</v>
      </c>
      <c r="G1300" t="s">
        <v>23</v>
      </c>
      <c r="H1300" t="s">
        <v>18</v>
      </c>
      <c r="I1300" t="s">
        <v>31</v>
      </c>
      <c r="J1300">
        <v>6078.61</v>
      </c>
      <c r="K1300">
        <v>6195.36</v>
      </c>
      <c r="L1300" s="20">
        <f>tbl_Budget[[#This Row],[Actual]]-tbl_Budget[[#This Row],[Budget]]</f>
        <v>116.75</v>
      </c>
      <c r="M1300" s="3">
        <f>tbl_Budget[[#This Row],[Variance]]/tbl_Budget[[#This Row],[Budget]]</f>
        <v>1.9206693635551549E-2</v>
      </c>
      <c r="N1300" t="str">
        <f>IF(tbl_Budget[[#This Row],[Variance_%]]&gt;0.05,"Overspend",IF(tbl_Budget[[#This Row],[Variance_%]]&lt;-0.05,"Underspend","On Budget"))</f>
        <v>On Budget</v>
      </c>
    </row>
    <row r="1301" spans="1:14" hidden="1">
      <c r="A1301" s="1">
        <v>45292</v>
      </c>
      <c r="B1301">
        <v>1</v>
      </c>
      <c r="C1301" t="s">
        <v>11</v>
      </c>
      <c r="D1301" t="s">
        <v>54</v>
      </c>
      <c r="E1301">
        <v>2024</v>
      </c>
      <c r="F1301" t="s">
        <v>30</v>
      </c>
      <c r="G1301" t="s">
        <v>23</v>
      </c>
      <c r="H1301" t="s">
        <v>19</v>
      </c>
      <c r="I1301" t="s">
        <v>31</v>
      </c>
      <c r="J1301">
        <v>6855.84</v>
      </c>
      <c r="K1301">
        <v>6572.02</v>
      </c>
      <c r="L1301" s="20">
        <f>tbl_Budget[[#This Row],[Actual]]-tbl_Budget[[#This Row],[Budget]]</f>
        <v>-283.81999999999971</v>
      </c>
      <c r="M1301" s="3">
        <f>tbl_Budget[[#This Row],[Variance]]/tbl_Budget[[#This Row],[Budget]]</f>
        <v>-4.1398282340311281E-2</v>
      </c>
      <c r="N1301" t="str">
        <f>IF(tbl_Budget[[#This Row],[Variance_%]]&gt;0.05,"Overspend",IF(tbl_Budget[[#This Row],[Variance_%]]&lt;-0.05,"Underspend","On Budget"))</f>
        <v>On Budget</v>
      </c>
    </row>
    <row r="1302" spans="1:14" hidden="1">
      <c r="A1302" s="1">
        <v>45323</v>
      </c>
      <c r="B1302">
        <v>2</v>
      </c>
      <c r="C1302" t="s">
        <v>32</v>
      </c>
      <c r="D1302" t="s">
        <v>55</v>
      </c>
      <c r="E1302">
        <v>2024</v>
      </c>
      <c r="F1302" t="s">
        <v>13</v>
      </c>
      <c r="G1302" t="s">
        <v>14</v>
      </c>
      <c r="H1302" t="s">
        <v>15</v>
      </c>
      <c r="I1302" t="s">
        <v>16</v>
      </c>
      <c r="J1302">
        <v>50329.87</v>
      </c>
      <c r="K1302">
        <v>56234.01</v>
      </c>
      <c r="L1302" s="20">
        <f>tbl_Budget[[#This Row],[Actual]]-tbl_Budget[[#This Row],[Budget]]</f>
        <v>5904.1399999999994</v>
      </c>
      <c r="M1302" s="3">
        <f>tbl_Budget[[#This Row],[Variance]]/tbl_Budget[[#This Row],[Budget]]</f>
        <v>0.11730886648425674</v>
      </c>
      <c r="N1302" t="str">
        <f>IF(tbl_Budget[[#This Row],[Variance_%]]&gt;0.05,"Overspend",IF(tbl_Budget[[#This Row],[Variance_%]]&lt;-0.05,"Underspend","On Budget"))</f>
        <v>Overspend</v>
      </c>
    </row>
    <row r="1303" spans="1:14" hidden="1">
      <c r="A1303" s="1">
        <v>45323</v>
      </c>
      <c r="B1303">
        <v>2</v>
      </c>
      <c r="C1303" t="s">
        <v>32</v>
      </c>
      <c r="D1303" t="s">
        <v>55</v>
      </c>
      <c r="E1303">
        <v>2024</v>
      </c>
      <c r="F1303" t="s">
        <v>13</v>
      </c>
      <c r="G1303" t="s">
        <v>14</v>
      </c>
      <c r="H1303" t="s">
        <v>17</v>
      </c>
      <c r="I1303" t="s">
        <v>16</v>
      </c>
      <c r="J1303">
        <v>47765.55</v>
      </c>
      <c r="K1303">
        <v>53745.41</v>
      </c>
      <c r="L1303" s="20">
        <f>tbl_Budget[[#This Row],[Actual]]-tbl_Budget[[#This Row],[Budget]]</f>
        <v>5979.8600000000006</v>
      </c>
      <c r="M1303" s="3">
        <f>tbl_Budget[[#This Row],[Variance]]/tbl_Budget[[#This Row],[Budget]]</f>
        <v>0.1251919008574171</v>
      </c>
      <c r="N1303" t="str">
        <f>IF(tbl_Budget[[#This Row],[Variance_%]]&gt;0.05,"Overspend",IF(tbl_Budget[[#This Row],[Variance_%]]&lt;-0.05,"Underspend","On Budget"))</f>
        <v>Overspend</v>
      </c>
    </row>
    <row r="1304" spans="1:14" hidden="1">
      <c r="A1304" s="1">
        <v>45323</v>
      </c>
      <c r="B1304">
        <v>2</v>
      </c>
      <c r="C1304" t="s">
        <v>32</v>
      </c>
      <c r="D1304" t="s">
        <v>55</v>
      </c>
      <c r="E1304">
        <v>2024</v>
      </c>
      <c r="F1304" t="s">
        <v>13</v>
      </c>
      <c r="G1304" t="s">
        <v>14</v>
      </c>
      <c r="H1304" t="s">
        <v>18</v>
      </c>
      <c r="I1304" t="s">
        <v>16</v>
      </c>
      <c r="J1304">
        <v>49404.79</v>
      </c>
      <c r="K1304">
        <v>55051.82</v>
      </c>
      <c r="L1304" s="20">
        <f>tbl_Budget[[#This Row],[Actual]]-tbl_Budget[[#This Row],[Budget]]</f>
        <v>5647.0299999999988</v>
      </c>
      <c r="M1304" s="3">
        <f>tbl_Budget[[#This Row],[Variance]]/tbl_Budget[[#This Row],[Budget]]</f>
        <v>0.11430126512024438</v>
      </c>
      <c r="N1304" t="str">
        <f>IF(tbl_Budget[[#This Row],[Variance_%]]&gt;0.05,"Overspend",IF(tbl_Budget[[#This Row],[Variance_%]]&lt;-0.05,"Underspend","On Budget"))</f>
        <v>Overspend</v>
      </c>
    </row>
    <row r="1305" spans="1:14" hidden="1">
      <c r="A1305" s="1">
        <v>45323</v>
      </c>
      <c r="B1305">
        <v>2</v>
      </c>
      <c r="C1305" t="s">
        <v>32</v>
      </c>
      <c r="D1305" t="s">
        <v>55</v>
      </c>
      <c r="E1305">
        <v>2024</v>
      </c>
      <c r="F1305" t="s">
        <v>13</v>
      </c>
      <c r="G1305" t="s">
        <v>14</v>
      </c>
      <c r="H1305" t="s">
        <v>19</v>
      </c>
      <c r="I1305" t="s">
        <v>16</v>
      </c>
      <c r="J1305">
        <v>51738.19</v>
      </c>
      <c r="K1305">
        <v>61407.92</v>
      </c>
      <c r="L1305" s="20">
        <f>tbl_Budget[[#This Row],[Actual]]-tbl_Budget[[#This Row],[Budget]]</f>
        <v>9669.7299999999959</v>
      </c>
      <c r="M1305" s="3">
        <f>tbl_Budget[[#This Row],[Variance]]/tbl_Budget[[#This Row],[Budget]]</f>
        <v>0.18689733831044333</v>
      </c>
      <c r="N1305" t="str">
        <f>IF(tbl_Budget[[#This Row],[Variance_%]]&gt;0.05,"Overspend",IF(tbl_Budget[[#This Row],[Variance_%]]&lt;-0.05,"Underspend","On Budget"))</f>
        <v>Overspend</v>
      </c>
    </row>
    <row r="1306" spans="1:14" hidden="1">
      <c r="A1306" s="1">
        <v>45323</v>
      </c>
      <c r="B1306">
        <v>2</v>
      </c>
      <c r="C1306" t="s">
        <v>32</v>
      </c>
      <c r="D1306" t="s">
        <v>55</v>
      </c>
      <c r="E1306">
        <v>2024</v>
      </c>
      <c r="F1306" t="s">
        <v>13</v>
      </c>
      <c r="G1306" t="s">
        <v>20</v>
      </c>
      <c r="H1306" t="s">
        <v>15</v>
      </c>
      <c r="I1306" t="s">
        <v>16</v>
      </c>
      <c r="J1306">
        <v>19413.32</v>
      </c>
      <c r="K1306">
        <v>21552.880000000001</v>
      </c>
      <c r="L1306" s="20">
        <f>tbl_Budget[[#This Row],[Actual]]-tbl_Budget[[#This Row],[Budget]]</f>
        <v>2139.5600000000013</v>
      </c>
      <c r="M1306" s="3">
        <f>tbl_Budget[[#This Row],[Variance]]/tbl_Budget[[#This Row],[Budget]]</f>
        <v>0.11021092734266995</v>
      </c>
      <c r="N1306" t="str">
        <f>IF(tbl_Budget[[#This Row],[Variance_%]]&gt;0.05,"Overspend",IF(tbl_Budget[[#This Row],[Variance_%]]&lt;-0.05,"Underspend","On Budget"))</f>
        <v>Overspend</v>
      </c>
    </row>
    <row r="1307" spans="1:14" hidden="1">
      <c r="A1307" s="1">
        <v>45323</v>
      </c>
      <c r="B1307">
        <v>2</v>
      </c>
      <c r="C1307" t="s">
        <v>32</v>
      </c>
      <c r="D1307" t="s">
        <v>55</v>
      </c>
      <c r="E1307">
        <v>2024</v>
      </c>
      <c r="F1307" t="s">
        <v>13</v>
      </c>
      <c r="G1307" t="s">
        <v>20</v>
      </c>
      <c r="H1307" t="s">
        <v>17</v>
      </c>
      <c r="I1307" t="s">
        <v>16</v>
      </c>
      <c r="J1307">
        <v>18117.22</v>
      </c>
      <c r="K1307">
        <v>19883.73</v>
      </c>
      <c r="L1307" s="20">
        <f>tbl_Budget[[#This Row],[Actual]]-tbl_Budget[[#This Row],[Budget]]</f>
        <v>1766.5099999999984</v>
      </c>
      <c r="M1307" s="3">
        <f>tbl_Budget[[#This Row],[Variance]]/tbl_Budget[[#This Row],[Budget]]</f>
        <v>9.750447364441113E-2</v>
      </c>
      <c r="N1307" t="str">
        <f>IF(tbl_Budget[[#This Row],[Variance_%]]&gt;0.05,"Overspend",IF(tbl_Budget[[#This Row],[Variance_%]]&lt;-0.05,"Underspend","On Budget"))</f>
        <v>Overspend</v>
      </c>
    </row>
    <row r="1308" spans="1:14" hidden="1">
      <c r="A1308" s="1">
        <v>45323</v>
      </c>
      <c r="B1308">
        <v>2</v>
      </c>
      <c r="C1308" t="s">
        <v>32</v>
      </c>
      <c r="D1308" t="s">
        <v>55</v>
      </c>
      <c r="E1308">
        <v>2024</v>
      </c>
      <c r="F1308" t="s">
        <v>13</v>
      </c>
      <c r="G1308" t="s">
        <v>20</v>
      </c>
      <c r="H1308" t="s">
        <v>18</v>
      </c>
      <c r="I1308" t="s">
        <v>16</v>
      </c>
      <c r="J1308">
        <v>18815.810000000001</v>
      </c>
      <c r="K1308">
        <v>21742.89</v>
      </c>
      <c r="L1308" s="20">
        <f>tbl_Budget[[#This Row],[Actual]]-tbl_Budget[[#This Row],[Budget]]</f>
        <v>2927.0799999999981</v>
      </c>
      <c r="M1308" s="3">
        <f>tbl_Budget[[#This Row],[Variance]]/tbl_Budget[[#This Row],[Budget]]</f>
        <v>0.15556492120190404</v>
      </c>
      <c r="N1308" t="str">
        <f>IF(tbl_Budget[[#This Row],[Variance_%]]&gt;0.05,"Overspend",IF(tbl_Budget[[#This Row],[Variance_%]]&lt;-0.05,"Underspend","On Budget"))</f>
        <v>Overspend</v>
      </c>
    </row>
    <row r="1309" spans="1:14" hidden="1">
      <c r="A1309" s="1">
        <v>45323</v>
      </c>
      <c r="B1309">
        <v>2</v>
      </c>
      <c r="C1309" t="s">
        <v>32</v>
      </c>
      <c r="D1309" t="s">
        <v>55</v>
      </c>
      <c r="E1309">
        <v>2024</v>
      </c>
      <c r="F1309" t="s">
        <v>13</v>
      </c>
      <c r="G1309" t="s">
        <v>20</v>
      </c>
      <c r="H1309" t="s">
        <v>19</v>
      </c>
      <c r="I1309" t="s">
        <v>16</v>
      </c>
      <c r="J1309">
        <v>20069.509999999998</v>
      </c>
      <c r="K1309">
        <v>23119.45</v>
      </c>
      <c r="L1309" s="20">
        <f>tbl_Budget[[#This Row],[Actual]]-tbl_Budget[[#This Row],[Budget]]</f>
        <v>3049.9400000000023</v>
      </c>
      <c r="M1309" s="3">
        <f>tbl_Budget[[#This Row],[Variance]]/tbl_Budget[[#This Row],[Budget]]</f>
        <v>0.15196883232326064</v>
      </c>
      <c r="N1309" t="str">
        <f>IF(tbl_Budget[[#This Row],[Variance_%]]&gt;0.05,"Overspend",IF(tbl_Budget[[#This Row],[Variance_%]]&lt;-0.05,"Underspend","On Budget"))</f>
        <v>Overspend</v>
      </c>
    </row>
    <row r="1310" spans="1:14">
      <c r="A1310" s="1">
        <v>45323</v>
      </c>
      <c r="B1310">
        <v>2</v>
      </c>
      <c r="C1310" t="s">
        <v>32</v>
      </c>
      <c r="D1310" t="s">
        <v>55</v>
      </c>
      <c r="E1310">
        <v>2024</v>
      </c>
      <c r="F1310" t="s">
        <v>13</v>
      </c>
      <c r="G1310" t="s">
        <v>21</v>
      </c>
      <c r="H1310" t="s">
        <v>15</v>
      </c>
      <c r="I1310" t="s">
        <v>16</v>
      </c>
      <c r="J1310">
        <v>10821.97</v>
      </c>
      <c r="K1310">
        <v>11914.84</v>
      </c>
      <c r="L1310" s="20">
        <f>tbl_Budget[[#This Row],[Actual]]-tbl_Budget[[#This Row],[Budget]]</f>
        <v>1092.8700000000008</v>
      </c>
      <c r="M1310" s="3">
        <f>tbl_Budget[[#This Row],[Variance]]/tbl_Budget[[#This Row],[Budget]]</f>
        <v>0.10098623448410972</v>
      </c>
      <c r="N1310" t="str">
        <f>IF(tbl_Budget[[#This Row],[Variance_%]]&gt;0.05,"Overspend",IF(tbl_Budget[[#This Row],[Variance_%]]&lt;-0.05,"Underspend","On Budget"))</f>
        <v>Overspend</v>
      </c>
    </row>
    <row r="1311" spans="1:14">
      <c r="A1311" s="1">
        <v>45323</v>
      </c>
      <c r="B1311">
        <v>2</v>
      </c>
      <c r="C1311" t="s">
        <v>32</v>
      </c>
      <c r="D1311" t="s">
        <v>55</v>
      </c>
      <c r="E1311">
        <v>2024</v>
      </c>
      <c r="F1311" t="s">
        <v>13</v>
      </c>
      <c r="G1311" t="s">
        <v>21</v>
      </c>
      <c r="H1311" t="s">
        <v>17</v>
      </c>
      <c r="I1311" t="s">
        <v>16</v>
      </c>
      <c r="J1311">
        <v>10355.57</v>
      </c>
      <c r="K1311">
        <v>12540.03</v>
      </c>
      <c r="L1311" s="20">
        <f>tbl_Budget[[#This Row],[Actual]]-tbl_Budget[[#This Row],[Budget]]</f>
        <v>2184.4600000000009</v>
      </c>
      <c r="M1311" s="3">
        <f>tbl_Budget[[#This Row],[Variance]]/tbl_Budget[[#This Row],[Budget]]</f>
        <v>0.2109454139173412</v>
      </c>
      <c r="N1311" t="str">
        <f>IF(tbl_Budget[[#This Row],[Variance_%]]&gt;0.05,"Overspend",IF(tbl_Budget[[#This Row],[Variance_%]]&lt;-0.05,"Underspend","On Budget"))</f>
        <v>Overspend</v>
      </c>
    </row>
    <row r="1312" spans="1:14">
      <c r="A1312" s="1">
        <v>45323</v>
      </c>
      <c r="B1312">
        <v>2</v>
      </c>
      <c r="C1312" t="s">
        <v>32</v>
      </c>
      <c r="D1312" t="s">
        <v>55</v>
      </c>
      <c r="E1312">
        <v>2024</v>
      </c>
      <c r="F1312" t="s">
        <v>13</v>
      </c>
      <c r="G1312" t="s">
        <v>21</v>
      </c>
      <c r="H1312" t="s">
        <v>18</v>
      </c>
      <c r="I1312" t="s">
        <v>16</v>
      </c>
      <c r="J1312">
        <v>10892.73</v>
      </c>
      <c r="K1312">
        <v>12338.51</v>
      </c>
      <c r="L1312" s="20">
        <f>tbl_Budget[[#This Row],[Actual]]-tbl_Budget[[#This Row],[Budget]]</f>
        <v>1445.7800000000007</v>
      </c>
      <c r="M1312" s="3">
        <f>tbl_Budget[[#This Row],[Variance]]/tbl_Budget[[#This Row],[Budget]]</f>
        <v>0.13272889349134703</v>
      </c>
      <c r="N1312" t="str">
        <f>IF(tbl_Budget[[#This Row],[Variance_%]]&gt;0.05,"Overspend",IF(tbl_Budget[[#This Row],[Variance_%]]&lt;-0.05,"Underspend","On Budget"))</f>
        <v>Overspend</v>
      </c>
    </row>
    <row r="1313" spans="1:14">
      <c r="A1313" s="1">
        <v>45323</v>
      </c>
      <c r="B1313">
        <v>2</v>
      </c>
      <c r="C1313" t="s">
        <v>32</v>
      </c>
      <c r="D1313" t="s">
        <v>55</v>
      </c>
      <c r="E1313">
        <v>2024</v>
      </c>
      <c r="F1313" t="s">
        <v>13</v>
      </c>
      <c r="G1313" t="s">
        <v>21</v>
      </c>
      <c r="H1313" t="s">
        <v>19</v>
      </c>
      <c r="I1313" t="s">
        <v>16</v>
      </c>
      <c r="J1313">
        <v>11209.27</v>
      </c>
      <c r="K1313">
        <v>12474.25</v>
      </c>
      <c r="L1313" s="20">
        <f>tbl_Budget[[#This Row],[Actual]]-tbl_Budget[[#This Row],[Budget]]</f>
        <v>1264.9799999999996</v>
      </c>
      <c r="M1313" s="3">
        <f>tbl_Budget[[#This Row],[Variance]]/tbl_Budget[[#This Row],[Budget]]</f>
        <v>0.11285123830543822</v>
      </c>
      <c r="N1313" t="str">
        <f>IF(tbl_Budget[[#This Row],[Variance_%]]&gt;0.05,"Overspend",IF(tbl_Budget[[#This Row],[Variance_%]]&lt;-0.05,"Underspend","On Budget"))</f>
        <v>Overspend</v>
      </c>
    </row>
    <row r="1314" spans="1:14" hidden="1">
      <c r="A1314" s="1">
        <v>45323</v>
      </c>
      <c r="B1314">
        <v>2</v>
      </c>
      <c r="C1314" t="s">
        <v>32</v>
      </c>
      <c r="D1314" t="s">
        <v>55</v>
      </c>
      <c r="E1314">
        <v>2024</v>
      </c>
      <c r="F1314" t="s">
        <v>13</v>
      </c>
      <c r="G1314" t="s">
        <v>22</v>
      </c>
      <c r="H1314" t="s">
        <v>15</v>
      </c>
      <c r="I1314" t="s">
        <v>16</v>
      </c>
      <c r="J1314">
        <v>8276.19</v>
      </c>
      <c r="K1314">
        <v>9448.48</v>
      </c>
      <c r="L1314" s="20">
        <f>tbl_Budget[[#This Row],[Actual]]-tbl_Budget[[#This Row],[Budget]]</f>
        <v>1172.2899999999991</v>
      </c>
      <c r="M1314" s="3">
        <f>tbl_Budget[[#This Row],[Variance]]/tbl_Budget[[#This Row],[Budget]]</f>
        <v>0.14164609560679478</v>
      </c>
      <c r="N1314" t="str">
        <f>IF(tbl_Budget[[#This Row],[Variance_%]]&gt;0.05,"Overspend",IF(tbl_Budget[[#This Row],[Variance_%]]&lt;-0.05,"Underspend","On Budget"))</f>
        <v>Overspend</v>
      </c>
    </row>
    <row r="1315" spans="1:14" hidden="1">
      <c r="A1315" s="1">
        <v>45323</v>
      </c>
      <c r="B1315">
        <v>2</v>
      </c>
      <c r="C1315" t="s">
        <v>32</v>
      </c>
      <c r="D1315" t="s">
        <v>55</v>
      </c>
      <c r="E1315">
        <v>2024</v>
      </c>
      <c r="F1315" t="s">
        <v>13</v>
      </c>
      <c r="G1315" t="s">
        <v>22</v>
      </c>
      <c r="H1315" t="s">
        <v>17</v>
      </c>
      <c r="I1315" t="s">
        <v>16</v>
      </c>
      <c r="J1315">
        <v>7915.65</v>
      </c>
      <c r="K1315">
        <v>9247.5499999999993</v>
      </c>
      <c r="L1315" s="20">
        <f>tbl_Budget[[#This Row],[Actual]]-tbl_Budget[[#This Row],[Budget]]</f>
        <v>1331.8999999999996</v>
      </c>
      <c r="M1315" s="3">
        <f>tbl_Budget[[#This Row],[Variance]]/tbl_Budget[[#This Row],[Budget]]</f>
        <v>0.16826160833285955</v>
      </c>
      <c r="N1315" t="str">
        <f>IF(tbl_Budget[[#This Row],[Variance_%]]&gt;0.05,"Overspend",IF(tbl_Budget[[#This Row],[Variance_%]]&lt;-0.05,"Underspend","On Budget"))</f>
        <v>Overspend</v>
      </c>
    </row>
    <row r="1316" spans="1:14" hidden="1">
      <c r="A1316" s="1">
        <v>45323</v>
      </c>
      <c r="B1316">
        <v>2</v>
      </c>
      <c r="C1316" t="s">
        <v>32</v>
      </c>
      <c r="D1316" t="s">
        <v>55</v>
      </c>
      <c r="E1316">
        <v>2024</v>
      </c>
      <c r="F1316" t="s">
        <v>13</v>
      </c>
      <c r="G1316" t="s">
        <v>22</v>
      </c>
      <c r="H1316" t="s">
        <v>18</v>
      </c>
      <c r="I1316" t="s">
        <v>16</v>
      </c>
      <c r="J1316">
        <v>8409</v>
      </c>
      <c r="K1316">
        <v>9459.7999999999993</v>
      </c>
      <c r="L1316" s="20">
        <f>tbl_Budget[[#This Row],[Actual]]-tbl_Budget[[#This Row],[Budget]]</f>
        <v>1050.7999999999993</v>
      </c>
      <c r="M1316" s="3">
        <f>tbl_Budget[[#This Row],[Variance]]/tbl_Budget[[#This Row],[Budget]]</f>
        <v>0.12496135093352352</v>
      </c>
      <c r="N1316" t="str">
        <f>IF(tbl_Budget[[#This Row],[Variance_%]]&gt;0.05,"Overspend",IF(tbl_Budget[[#This Row],[Variance_%]]&lt;-0.05,"Underspend","On Budget"))</f>
        <v>Overspend</v>
      </c>
    </row>
    <row r="1317" spans="1:14" hidden="1">
      <c r="A1317" s="1">
        <v>45323</v>
      </c>
      <c r="B1317">
        <v>2</v>
      </c>
      <c r="C1317" t="s">
        <v>32</v>
      </c>
      <c r="D1317" t="s">
        <v>55</v>
      </c>
      <c r="E1317">
        <v>2024</v>
      </c>
      <c r="F1317" t="s">
        <v>13</v>
      </c>
      <c r="G1317" t="s">
        <v>22</v>
      </c>
      <c r="H1317" t="s">
        <v>19</v>
      </c>
      <c r="I1317" t="s">
        <v>16</v>
      </c>
      <c r="J1317">
        <v>8644.6</v>
      </c>
      <c r="K1317">
        <v>9868.16</v>
      </c>
      <c r="L1317" s="20">
        <f>tbl_Budget[[#This Row],[Actual]]-tbl_Budget[[#This Row],[Budget]]</f>
        <v>1223.5599999999995</v>
      </c>
      <c r="M1317" s="3">
        <f>tbl_Budget[[#This Row],[Variance]]/tbl_Budget[[#This Row],[Budget]]</f>
        <v>0.14154038359206897</v>
      </c>
      <c r="N1317" t="str">
        <f>IF(tbl_Budget[[#This Row],[Variance_%]]&gt;0.05,"Overspend",IF(tbl_Budget[[#This Row],[Variance_%]]&lt;-0.05,"Underspend","On Budget"))</f>
        <v>Overspend</v>
      </c>
    </row>
    <row r="1318" spans="1:14" hidden="1">
      <c r="A1318" s="1">
        <v>45323</v>
      </c>
      <c r="B1318">
        <v>2</v>
      </c>
      <c r="C1318" t="s">
        <v>32</v>
      </c>
      <c r="D1318" t="s">
        <v>55</v>
      </c>
      <c r="E1318">
        <v>2024</v>
      </c>
      <c r="F1318" t="s">
        <v>13</v>
      </c>
      <c r="G1318" t="s">
        <v>23</v>
      </c>
      <c r="H1318" t="s">
        <v>15</v>
      </c>
      <c r="I1318" t="s">
        <v>16</v>
      </c>
      <c r="J1318">
        <v>8547.3799999999992</v>
      </c>
      <c r="K1318">
        <v>9878.52</v>
      </c>
      <c r="L1318" s="20">
        <f>tbl_Budget[[#This Row],[Actual]]-tbl_Budget[[#This Row],[Budget]]</f>
        <v>1331.1400000000012</v>
      </c>
      <c r="M1318" s="3">
        <f>tbl_Budget[[#This Row],[Variance]]/tbl_Budget[[#This Row],[Budget]]</f>
        <v>0.15573661168685624</v>
      </c>
      <c r="N1318" t="str">
        <f>IF(tbl_Budget[[#This Row],[Variance_%]]&gt;0.05,"Overspend",IF(tbl_Budget[[#This Row],[Variance_%]]&lt;-0.05,"Underspend","On Budget"))</f>
        <v>Overspend</v>
      </c>
    </row>
    <row r="1319" spans="1:14" hidden="1">
      <c r="A1319" s="1">
        <v>45323</v>
      </c>
      <c r="B1319">
        <v>2</v>
      </c>
      <c r="C1319" t="s">
        <v>32</v>
      </c>
      <c r="D1319" t="s">
        <v>55</v>
      </c>
      <c r="E1319">
        <v>2024</v>
      </c>
      <c r="F1319" t="s">
        <v>13</v>
      </c>
      <c r="G1319" t="s">
        <v>23</v>
      </c>
      <c r="H1319" t="s">
        <v>17</v>
      </c>
      <c r="I1319" t="s">
        <v>16</v>
      </c>
      <c r="J1319">
        <v>8137.84</v>
      </c>
      <c r="K1319">
        <v>9619.52</v>
      </c>
      <c r="L1319" s="20">
        <f>tbl_Budget[[#This Row],[Actual]]-tbl_Budget[[#This Row],[Budget]]</f>
        <v>1481.6800000000003</v>
      </c>
      <c r="M1319" s="3">
        <f>tbl_Budget[[#This Row],[Variance]]/tbl_Budget[[#This Row],[Budget]]</f>
        <v>0.18207288420514539</v>
      </c>
      <c r="N1319" t="str">
        <f>IF(tbl_Budget[[#This Row],[Variance_%]]&gt;0.05,"Overspend",IF(tbl_Budget[[#This Row],[Variance_%]]&lt;-0.05,"Underspend","On Budget"))</f>
        <v>Overspend</v>
      </c>
    </row>
    <row r="1320" spans="1:14" hidden="1">
      <c r="A1320" s="1">
        <v>45323</v>
      </c>
      <c r="B1320">
        <v>2</v>
      </c>
      <c r="C1320" t="s">
        <v>32</v>
      </c>
      <c r="D1320" t="s">
        <v>55</v>
      </c>
      <c r="E1320">
        <v>2024</v>
      </c>
      <c r="F1320" t="s">
        <v>13</v>
      </c>
      <c r="G1320" t="s">
        <v>23</v>
      </c>
      <c r="H1320" t="s">
        <v>18</v>
      </c>
      <c r="I1320" t="s">
        <v>16</v>
      </c>
      <c r="J1320">
        <v>8503.5400000000009</v>
      </c>
      <c r="K1320">
        <v>9771.1299999999992</v>
      </c>
      <c r="L1320" s="20">
        <f>tbl_Budget[[#This Row],[Actual]]-tbl_Budget[[#This Row],[Budget]]</f>
        <v>1267.5899999999983</v>
      </c>
      <c r="M1320" s="3">
        <f>tbl_Budget[[#This Row],[Variance]]/tbl_Budget[[#This Row],[Budget]]</f>
        <v>0.14906615362543107</v>
      </c>
      <c r="N1320" t="str">
        <f>IF(tbl_Budget[[#This Row],[Variance_%]]&gt;0.05,"Overspend",IF(tbl_Budget[[#This Row],[Variance_%]]&lt;-0.05,"Underspend","On Budget"))</f>
        <v>Overspend</v>
      </c>
    </row>
    <row r="1321" spans="1:14" hidden="1">
      <c r="A1321" s="1">
        <v>45323</v>
      </c>
      <c r="B1321">
        <v>2</v>
      </c>
      <c r="C1321" t="s">
        <v>32</v>
      </c>
      <c r="D1321" t="s">
        <v>55</v>
      </c>
      <c r="E1321">
        <v>2024</v>
      </c>
      <c r="F1321" t="s">
        <v>13</v>
      </c>
      <c r="G1321" t="s">
        <v>23</v>
      </c>
      <c r="H1321" t="s">
        <v>19</v>
      </c>
      <c r="I1321" t="s">
        <v>16</v>
      </c>
      <c r="J1321">
        <v>9037.67</v>
      </c>
      <c r="K1321">
        <v>10065.08</v>
      </c>
      <c r="L1321" s="20">
        <f>tbl_Budget[[#This Row],[Actual]]-tbl_Budget[[#This Row],[Budget]]</f>
        <v>1027.4099999999999</v>
      </c>
      <c r="M1321" s="3">
        <f>tbl_Budget[[#This Row],[Variance]]/tbl_Budget[[#This Row],[Budget]]</f>
        <v>0.11368084915691765</v>
      </c>
      <c r="N1321" t="str">
        <f>IF(tbl_Budget[[#This Row],[Variance_%]]&gt;0.05,"Overspend",IF(tbl_Budget[[#This Row],[Variance_%]]&lt;-0.05,"Underspend","On Budget"))</f>
        <v>Overspend</v>
      </c>
    </row>
    <row r="1322" spans="1:14" hidden="1">
      <c r="A1322" s="1">
        <v>45323</v>
      </c>
      <c r="B1322">
        <v>2</v>
      </c>
      <c r="C1322" t="s">
        <v>32</v>
      </c>
      <c r="D1322" t="s">
        <v>55</v>
      </c>
      <c r="E1322">
        <v>2024</v>
      </c>
      <c r="F1322" t="s">
        <v>24</v>
      </c>
      <c r="G1322" t="s">
        <v>14</v>
      </c>
      <c r="H1322" t="s">
        <v>15</v>
      </c>
      <c r="I1322" t="s">
        <v>25</v>
      </c>
      <c r="J1322">
        <v>52724.21</v>
      </c>
      <c r="K1322">
        <v>45157.57</v>
      </c>
      <c r="L1322" s="20">
        <f>tbl_Budget[[#This Row],[Actual]]-tbl_Budget[[#This Row],[Budget]]</f>
        <v>-7566.6399999999994</v>
      </c>
      <c r="M1322" s="3">
        <f>tbl_Budget[[#This Row],[Variance]]/tbl_Budget[[#This Row],[Budget]]</f>
        <v>-0.14351357753866772</v>
      </c>
      <c r="N1322" t="str">
        <f>IF(tbl_Budget[[#This Row],[Variance_%]]&gt;0.05,"Overspend",IF(tbl_Budget[[#This Row],[Variance_%]]&lt;-0.05,"Underspend","On Budget"))</f>
        <v>Underspend</v>
      </c>
    </row>
    <row r="1323" spans="1:14" hidden="1">
      <c r="A1323" s="1">
        <v>45323</v>
      </c>
      <c r="B1323">
        <v>2</v>
      </c>
      <c r="C1323" t="s">
        <v>32</v>
      </c>
      <c r="D1323" t="s">
        <v>55</v>
      </c>
      <c r="E1323">
        <v>2024</v>
      </c>
      <c r="F1323" t="s">
        <v>24</v>
      </c>
      <c r="G1323" t="s">
        <v>14</v>
      </c>
      <c r="H1323" t="s">
        <v>17</v>
      </c>
      <c r="I1323" t="s">
        <v>25</v>
      </c>
      <c r="J1323">
        <v>52248.32</v>
      </c>
      <c r="K1323">
        <v>46907.31</v>
      </c>
      <c r="L1323" s="20">
        <f>tbl_Budget[[#This Row],[Actual]]-tbl_Budget[[#This Row],[Budget]]</f>
        <v>-5341.010000000002</v>
      </c>
      <c r="M1323" s="3">
        <f>tbl_Budget[[#This Row],[Variance]]/tbl_Budget[[#This Row],[Budget]]</f>
        <v>-0.10222357388716043</v>
      </c>
      <c r="N1323" t="str">
        <f>IF(tbl_Budget[[#This Row],[Variance_%]]&gt;0.05,"Overspend",IF(tbl_Budget[[#This Row],[Variance_%]]&lt;-0.05,"Underspend","On Budget"))</f>
        <v>Underspend</v>
      </c>
    </row>
    <row r="1324" spans="1:14" hidden="1">
      <c r="A1324" s="1">
        <v>45323</v>
      </c>
      <c r="B1324">
        <v>2</v>
      </c>
      <c r="C1324" t="s">
        <v>32</v>
      </c>
      <c r="D1324" t="s">
        <v>55</v>
      </c>
      <c r="E1324">
        <v>2024</v>
      </c>
      <c r="F1324" t="s">
        <v>24</v>
      </c>
      <c r="G1324" t="s">
        <v>14</v>
      </c>
      <c r="H1324" t="s">
        <v>18</v>
      </c>
      <c r="I1324" t="s">
        <v>25</v>
      </c>
      <c r="J1324">
        <v>52532.47</v>
      </c>
      <c r="K1324">
        <v>46375.32</v>
      </c>
      <c r="L1324" s="20">
        <f>tbl_Budget[[#This Row],[Actual]]-tbl_Budget[[#This Row],[Budget]]</f>
        <v>-6157.1500000000015</v>
      </c>
      <c r="M1324" s="3">
        <f>tbl_Budget[[#This Row],[Variance]]/tbl_Budget[[#This Row],[Budget]]</f>
        <v>-0.11720655815346206</v>
      </c>
      <c r="N1324" t="str">
        <f>IF(tbl_Budget[[#This Row],[Variance_%]]&gt;0.05,"Overspend",IF(tbl_Budget[[#This Row],[Variance_%]]&lt;-0.05,"Underspend","On Budget"))</f>
        <v>Underspend</v>
      </c>
    </row>
    <row r="1325" spans="1:14" hidden="1">
      <c r="A1325" s="1">
        <v>45323</v>
      </c>
      <c r="B1325">
        <v>2</v>
      </c>
      <c r="C1325" t="s">
        <v>32</v>
      </c>
      <c r="D1325" t="s">
        <v>55</v>
      </c>
      <c r="E1325">
        <v>2024</v>
      </c>
      <c r="F1325" t="s">
        <v>24</v>
      </c>
      <c r="G1325" t="s">
        <v>14</v>
      </c>
      <c r="H1325" t="s">
        <v>19</v>
      </c>
      <c r="I1325" t="s">
        <v>25</v>
      </c>
      <c r="J1325">
        <v>57056.05</v>
      </c>
      <c r="K1325">
        <v>49810.26</v>
      </c>
      <c r="L1325" s="20">
        <f>tbl_Budget[[#This Row],[Actual]]-tbl_Budget[[#This Row],[Budget]]</f>
        <v>-7245.7900000000009</v>
      </c>
      <c r="M1325" s="3">
        <f>tbl_Budget[[#This Row],[Variance]]/tbl_Budget[[#This Row],[Budget]]</f>
        <v>-0.12699424513263713</v>
      </c>
      <c r="N1325" t="str">
        <f>IF(tbl_Budget[[#This Row],[Variance_%]]&gt;0.05,"Overspend",IF(tbl_Budget[[#This Row],[Variance_%]]&lt;-0.05,"Underspend","On Budget"))</f>
        <v>Underspend</v>
      </c>
    </row>
    <row r="1326" spans="1:14" hidden="1">
      <c r="A1326" s="1">
        <v>45323</v>
      </c>
      <c r="B1326">
        <v>2</v>
      </c>
      <c r="C1326" t="s">
        <v>32</v>
      </c>
      <c r="D1326" t="s">
        <v>55</v>
      </c>
      <c r="E1326">
        <v>2024</v>
      </c>
      <c r="F1326" t="s">
        <v>24</v>
      </c>
      <c r="G1326" t="s">
        <v>20</v>
      </c>
      <c r="H1326" t="s">
        <v>15</v>
      </c>
      <c r="I1326" t="s">
        <v>25</v>
      </c>
      <c r="J1326">
        <v>29867.88</v>
      </c>
      <c r="K1326">
        <v>26006.26</v>
      </c>
      <c r="L1326" s="20">
        <f>tbl_Budget[[#This Row],[Actual]]-tbl_Budget[[#This Row],[Budget]]</f>
        <v>-3861.6200000000026</v>
      </c>
      <c r="M1326" s="3">
        <f>tbl_Budget[[#This Row],[Variance]]/tbl_Budget[[#This Row],[Budget]]</f>
        <v>-0.12929006009130886</v>
      </c>
      <c r="N1326" t="str">
        <f>IF(tbl_Budget[[#This Row],[Variance_%]]&gt;0.05,"Overspend",IF(tbl_Budget[[#This Row],[Variance_%]]&lt;-0.05,"Underspend","On Budget"))</f>
        <v>Underspend</v>
      </c>
    </row>
    <row r="1327" spans="1:14" hidden="1">
      <c r="A1327" s="1">
        <v>45323</v>
      </c>
      <c r="B1327">
        <v>2</v>
      </c>
      <c r="C1327" t="s">
        <v>32</v>
      </c>
      <c r="D1327" t="s">
        <v>55</v>
      </c>
      <c r="E1327">
        <v>2024</v>
      </c>
      <c r="F1327" t="s">
        <v>24</v>
      </c>
      <c r="G1327" t="s">
        <v>20</v>
      </c>
      <c r="H1327" t="s">
        <v>17</v>
      </c>
      <c r="I1327" t="s">
        <v>25</v>
      </c>
      <c r="J1327">
        <v>27999.25</v>
      </c>
      <c r="K1327">
        <v>24406.14</v>
      </c>
      <c r="L1327" s="20">
        <f>tbl_Budget[[#This Row],[Actual]]-tbl_Budget[[#This Row],[Budget]]</f>
        <v>-3593.1100000000006</v>
      </c>
      <c r="M1327" s="3">
        <f>tbl_Budget[[#This Row],[Variance]]/tbl_Budget[[#This Row],[Budget]]</f>
        <v>-0.12832879452128185</v>
      </c>
      <c r="N1327" t="str">
        <f>IF(tbl_Budget[[#This Row],[Variance_%]]&gt;0.05,"Overspend",IF(tbl_Budget[[#This Row],[Variance_%]]&lt;-0.05,"Underspend","On Budget"))</f>
        <v>Underspend</v>
      </c>
    </row>
    <row r="1328" spans="1:14" hidden="1">
      <c r="A1328" s="1">
        <v>45323</v>
      </c>
      <c r="B1328">
        <v>2</v>
      </c>
      <c r="C1328" t="s">
        <v>32</v>
      </c>
      <c r="D1328" t="s">
        <v>55</v>
      </c>
      <c r="E1328">
        <v>2024</v>
      </c>
      <c r="F1328" t="s">
        <v>24</v>
      </c>
      <c r="G1328" t="s">
        <v>20</v>
      </c>
      <c r="H1328" t="s">
        <v>18</v>
      </c>
      <c r="I1328" t="s">
        <v>25</v>
      </c>
      <c r="J1328">
        <v>28546.71</v>
      </c>
      <c r="K1328">
        <v>25408.03</v>
      </c>
      <c r="L1328" s="20">
        <f>tbl_Budget[[#This Row],[Actual]]-tbl_Budget[[#This Row],[Budget]]</f>
        <v>-3138.6800000000003</v>
      </c>
      <c r="M1328" s="3">
        <f>tbl_Budget[[#This Row],[Variance]]/tbl_Budget[[#This Row],[Budget]]</f>
        <v>-0.10994892231013663</v>
      </c>
      <c r="N1328" t="str">
        <f>IF(tbl_Budget[[#This Row],[Variance_%]]&gt;0.05,"Overspend",IF(tbl_Budget[[#This Row],[Variance_%]]&lt;-0.05,"Underspend","On Budget"))</f>
        <v>Underspend</v>
      </c>
    </row>
    <row r="1329" spans="1:14" hidden="1">
      <c r="A1329" s="1">
        <v>45323</v>
      </c>
      <c r="B1329">
        <v>2</v>
      </c>
      <c r="C1329" t="s">
        <v>32</v>
      </c>
      <c r="D1329" t="s">
        <v>55</v>
      </c>
      <c r="E1329">
        <v>2024</v>
      </c>
      <c r="F1329" t="s">
        <v>24</v>
      </c>
      <c r="G1329" t="s">
        <v>20</v>
      </c>
      <c r="H1329" t="s">
        <v>19</v>
      </c>
      <c r="I1329" t="s">
        <v>25</v>
      </c>
      <c r="J1329">
        <v>31236.65</v>
      </c>
      <c r="K1329">
        <v>26989.73</v>
      </c>
      <c r="L1329" s="20">
        <f>tbl_Budget[[#This Row],[Actual]]-tbl_Budget[[#This Row],[Budget]]</f>
        <v>-4246.9200000000019</v>
      </c>
      <c r="M1329" s="3">
        <f>tbl_Budget[[#This Row],[Variance]]/tbl_Budget[[#This Row],[Budget]]</f>
        <v>-0.13595952190775906</v>
      </c>
      <c r="N1329" t="str">
        <f>IF(tbl_Budget[[#This Row],[Variance_%]]&gt;0.05,"Overspend",IF(tbl_Budget[[#This Row],[Variance_%]]&lt;-0.05,"Underspend","On Budget"))</f>
        <v>Underspend</v>
      </c>
    </row>
    <row r="1330" spans="1:14">
      <c r="A1330" s="1">
        <v>45323</v>
      </c>
      <c r="B1330">
        <v>2</v>
      </c>
      <c r="C1330" t="s">
        <v>32</v>
      </c>
      <c r="D1330" t="s">
        <v>55</v>
      </c>
      <c r="E1330">
        <v>2024</v>
      </c>
      <c r="F1330" t="s">
        <v>24</v>
      </c>
      <c r="G1330" t="s">
        <v>21</v>
      </c>
      <c r="H1330" t="s">
        <v>15</v>
      </c>
      <c r="I1330" t="s">
        <v>25</v>
      </c>
      <c r="J1330">
        <v>11476.5</v>
      </c>
      <c r="K1330">
        <v>9852.9</v>
      </c>
      <c r="L1330" s="20">
        <f>tbl_Budget[[#This Row],[Actual]]-tbl_Budget[[#This Row],[Budget]]</f>
        <v>-1623.6000000000004</v>
      </c>
      <c r="M1330" s="3">
        <f>tbl_Budget[[#This Row],[Variance]]/tbl_Budget[[#This Row],[Budget]]</f>
        <v>-0.14147170304535359</v>
      </c>
      <c r="N1330" t="str">
        <f>IF(tbl_Budget[[#This Row],[Variance_%]]&gt;0.05,"Overspend",IF(tbl_Budget[[#This Row],[Variance_%]]&lt;-0.05,"Underspend","On Budget"))</f>
        <v>Underspend</v>
      </c>
    </row>
    <row r="1331" spans="1:14">
      <c r="A1331" s="1">
        <v>45323</v>
      </c>
      <c r="B1331">
        <v>2</v>
      </c>
      <c r="C1331" t="s">
        <v>32</v>
      </c>
      <c r="D1331" t="s">
        <v>55</v>
      </c>
      <c r="E1331">
        <v>2024</v>
      </c>
      <c r="F1331" t="s">
        <v>24</v>
      </c>
      <c r="G1331" t="s">
        <v>21</v>
      </c>
      <c r="H1331" t="s">
        <v>17</v>
      </c>
      <c r="I1331" t="s">
        <v>25</v>
      </c>
      <c r="J1331">
        <v>10778.05</v>
      </c>
      <c r="K1331">
        <v>9399.69</v>
      </c>
      <c r="L1331" s="20">
        <f>tbl_Budget[[#This Row],[Actual]]-tbl_Budget[[#This Row],[Budget]]</f>
        <v>-1378.3599999999988</v>
      </c>
      <c r="M1331" s="3">
        <f>tbl_Budget[[#This Row],[Variance]]/tbl_Budget[[#This Row],[Budget]]</f>
        <v>-0.1278858420586283</v>
      </c>
      <c r="N1331" t="str">
        <f>IF(tbl_Budget[[#This Row],[Variance_%]]&gt;0.05,"Overspend",IF(tbl_Budget[[#This Row],[Variance_%]]&lt;-0.05,"Underspend","On Budget"))</f>
        <v>Underspend</v>
      </c>
    </row>
    <row r="1332" spans="1:14">
      <c r="A1332" s="1">
        <v>45323</v>
      </c>
      <c r="B1332">
        <v>2</v>
      </c>
      <c r="C1332" t="s">
        <v>32</v>
      </c>
      <c r="D1332" t="s">
        <v>55</v>
      </c>
      <c r="E1332">
        <v>2024</v>
      </c>
      <c r="F1332" t="s">
        <v>24</v>
      </c>
      <c r="G1332" t="s">
        <v>21</v>
      </c>
      <c r="H1332" t="s">
        <v>18</v>
      </c>
      <c r="I1332" t="s">
        <v>25</v>
      </c>
      <c r="J1332">
        <v>11456.17</v>
      </c>
      <c r="K1332">
        <v>10130.52</v>
      </c>
      <c r="L1332" s="20">
        <f>tbl_Budget[[#This Row],[Actual]]-tbl_Budget[[#This Row],[Budget]]</f>
        <v>-1325.6499999999996</v>
      </c>
      <c r="M1332" s="3">
        <f>tbl_Budget[[#This Row],[Variance]]/tbl_Budget[[#This Row],[Budget]]</f>
        <v>-0.11571493788936439</v>
      </c>
      <c r="N1332" t="str">
        <f>IF(tbl_Budget[[#This Row],[Variance_%]]&gt;0.05,"Overspend",IF(tbl_Budget[[#This Row],[Variance_%]]&lt;-0.05,"Underspend","On Budget"))</f>
        <v>Underspend</v>
      </c>
    </row>
    <row r="1333" spans="1:14">
      <c r="A1333" s="1">
        <v>45323</v>
      </c>
      <c r="B1333">
        <v>2</v>
      </c>
      <c r="C1333" t="s">
        <v>32</v>
      </c>
      <c r="D1333" t="s">
        <v>55</v>
      </c>
      <c r="E1333">
        <v>2024</v>
      </c>
      <c r="F1333" t="s">
        <v>24</v>
      </c>
      <c r="G1333" t="s">
        <v>21</v>
      </c>
      <c r="H1333" t="s">
        <v>19</v>
      </c>
      <c r="I1333" t="s">
        <v>25</v>
      </c>
      <c r="J1333">
        <v>11899.3</v>
      </c>
      <c r="K1333">
        <v>10681.33</v>
      </c>
      <c r="L1333" s="20">
        <f>tbl_Budget[[#This Row],[Actual]]-tbl_Budget[[#This Row],[Budget]]</f>
        <v>-1217.9699999999993</v>
      </c>
      <c r="M1333" s="3">
        <f>tbl_Budget[[#This Row],[Variance]]/tbl_Budget[[#This Row],[Budget]]</f>
        <v>-0.10235644113519278</v>
      </c>
      <c r="N1333" t="str">
        <f>IF(tbl_Budget[[#This Row],[Variance_%]]&gt;0.05,"Overspend",IF(tbl_Budget[[#This Row],[Variance_%]]&lt;-0.05,"Underspend","On Budget"))</f>
        <v>Underspend</v>
      </c>
    </row>
    <row r="1334" spans="1:14" hidden="1">
      <c r="A1334" s="1">
        <v>45323</v>
      </c>
      <c r="B1334">
        <v>2</v>
      </c>
      <c r="C1334" t="s">
        <v>32</v>
      </c>
      <c r="D1334" t="s">
        <v>55</v>
      </c>
      <c r="E1334">
        <v>2024</v>
      </c>
      <c r="F1334" t="s">
        <v>24</v>
      </c>
      <c r="G1334" t="s">
        <v>22</v>
      </c>
      <c r="H1334" t="s">
        <v>15</v>
      </c>
      <c r="I1334" t="s">
        <v>25</v>
      </c>
      <c r="J1334">
        <v>8825.6200000000008</v>
      </c>
      <c r="K1334">
        <v>7905.88</v>
      </c>
      <c r="L1334" s="20">
        <f>tbl_Budget[[#This Row],[Actual]]-tbl_Budget[[#This Row],[Budget]]</f>
        <v>-919.74000000000069</v>
      </c>
      <c r="M1334" s="3">
        <f>tbl_Budget[[#This Row],[Variance]]/tbl_Budget[[#This Row],[Budget]]</f>
        <v>-0.10421250858296648</v>
      </c>
      <c r="N1334" t="str">
        <f>IF(tbl_Budget[[#This Row],[Variance_%]]&gt;0.05,"Overspend",IF(tbl_Budget[[#This Row],[Variance_%]]&lt;-0.05,"Underspend","On Budget"))</f>
        <v>Underspend</v>
      </c>
    </row>
    <row r="1335" spans="1:14" hidden="1">
      <c r="A1335" s="1">
        <v>45323</v>
      </c>
      <c r="B1335">
        <v>2</v>
      </c>
      <c r="C1335" t="s">
        <v>32</v>
      </c>
      <c r="D1335" t="s">
        <v>55</v>
      </c>
      <c r="E1335">
        <v>2024</v>
      </c>
      <c r="F1335" t="s">
        <v>24</v>
      </c>
      <c r="G1335" t="s">
        <v>22</v>
      </c>
      <c r="H1335" t="s">
        <v>17</v>
      </c>
      <c r="I1335" t="s">
        <v>25</v>
      </c>
      <c r="J1335">
        <v>8655.8700000000008</v>
      </c>
      <c r="K1335">
        <v>7807.6</v>
      </c>
      <c r="L1335" s="20">
        <f>tbl_Budget[[#This Row],[Actual]]-tbl_Budget[[#This Row],[Budget]]</f>
        <v>-848.27000000000044</v>
      </c>
      <c r="M1335" s="3">
        <f>tbl_Budget[[#This Row],[Variance]]/tbl_Budget[[#This Row],[Budget]]</f>
        <v>-9.7999392319893935E-2</v>
      </c>
      <c r="N1335" t="str">
        <f>IF(tbl_Budget[[#This Row],[Variance_%]]&gt;0.05,"Overspend",IF(tbl_Budget[[#This Row],[Variance_%]]&lt;-0.05,"Underspend","On Budget"))</f>
        <v>Underspend</v>
      </c>
    </row>
    <row r="1336" spans="1:14" hidden="1">
      <c r="A1336" s="1">
        <v>45323</v>
      </c>
      <c r="B1336">
        <v>2</v>
      </c>
      <c r="C1336" t="s">
        <v>32</v>
      </c>
      <c r="D1336" t="s">
        <v>55</v>
      </c>
      <c r="E1336">
        <v>2024</v>
      </c>
      <c r="F1336" t="s">
        <v>24</v>
      </c>
      <c r="G1336" t="s">
        <v>22</v>
      </c>
      <c r="H1336" t="s">
        <v>18</v>
      </c>
      <c r="I1336" t="s">
        <v>25</v>
      </c>
      <c r="J1336">
        <v>8500.11</v>
      </c>
      <c r="K1336">
        <v>7417.22</v>
      </c>
      <c r="L1336" s="20">
        <f>tbl_Budget[[#This Row],[Actual]]-tbl_Budget[[#This Row],[Budget]]</f>
        <v>-1082.8900000000003</v>
      </c>
      <c r="M1336" s="3">
        <f>tbl_Budget[[#This Row],[Variance]]/tbl_Budget[[#This Row],[Budget]]</f>
        <v>-0.12739717486009008</v>
      </c>
      <c r="N1336" t="str">
        <f>IF(tbl_Budget[[#This Row],[Variance_%]]&gt;0.05,"Overspend",IF(tbl_Budget[[#This Row],[Variance_%]]&lt;-0.05,"Underspend","On Budget"))</f>
        <v>Underspend</v>
      </c>
    </row>
    <row r="1337" spans="1:14" hidden="1">
      <c r="A1337" s="1">
        <v>45323</v>
      </c>
      <c r="B1337">
        <v>2</v>
      </c>
      <c r="C1337" t="s">
        <v>32</v>
      </c>
      <c r="D1337" t="s">
        <v>55</v>
      </c>
      <c r="E1337">
        <v>2024</v>
      </c>
      <c r="F1337" t="s">
        <v>24</v>
      </c>
      <c r="G1337" t="s">
        <v>22</v>
      </c>
      <c r="H1337" t="s">
        <v>19</v>
      </c>
      <c r="I1337" t="s">
        <v>25</v>
      </c>
      <c r="J1337">
        <v>9444.7000000000007</v>
      </c>
      <c r="K1337">
        <v>8192.7000000000007</v>
      </c>
      <c r="L1337" s="20">
        <f>tbl_Budget[[#This Row],[Actual]]-tbl_Budget[[#This Row],[Budget]]</f>
        <v>-1252</v>
      </c>
      <c r="M1337" s="3">
        <f>tbl_Budget[[#This Row],[Variance]]/tbl_Budget[[#This Row],[Budget]]</f>
        <v>-0.13256111893442882</v>
      </c>
      <c r="N1337" t="str">
        <f>IF(tbl_Budget[[#This Row],[Variance_%]]&gt;0.05,"Overspend",IF(tbl_Budget[[#This Row],[Variance_%]]&lt;-0.05,"Underspend","On Budget"))</f>
        <v>Underspend</v>
      </c>
    </row>
    <row r="1338" spans="1:14" hidden="1">
      <c r="A1338" s="1">
        <v>45323</v>
      </c>
      <c r="B1338">
        <v>2</v>
      </c>
      <c r="C1338" t="s">
        <v>32</v>
      </c>
      <c r="D1338" t="s">
        <v>55</v>
      </c>
      <c r="E1338">
        <v>2024</v>
      </c>
      <c r="F1338" t="s">
        <v>24</v>
      </c>
      <c r="G1338" t="s">
        <v>23</v>
      </c>
      <c r="H1338" t="s">
        <v>15</v>
      </c>
      <c r="I1338" t="s">
        <v>25</v>
      </c>
      <c r="J1338">
        <v>7848.41</v>
      </c>
      <c r="K1338">
        <v>6727.73</v>
      </c>
      <c r="L1338" s="20">
        <f>tbl_Budget[[#This Row],[Actual]]-tbl_Budget[[#This Row],[Budget]]</f>
        <v>-1120.6800000000003</v>
      </c>
      <c r="M1338" s="3">
        <f>tbl_Budget[[#This Row],[Variance]]/tbl_Budget[[#This Row],[Budget]]</f>
        <v>-0.14279070537854169</v>
      </c>
      <c r="N1338" t="str">
        <f>IF(tbl_Budget[[#This Row],[Variance_%]]&gt;0.05,"Overspend",IF(tbl_Budget[[#This Row],[Variance_%]]&lt;-0.05,"Underspend","On Budget"))</f>
        <v>Underspend</v>
      </c>
    </row>
    <row r="1339" spans="1:14" hidden="1">
      <c r="A1339" s="1">
        <v>45323</v>
      </c>
      <c r="B1339">
        <v>2</v>
      </c>
      <c r="C1339" t="s">
        <v>32</v>
      </c>
      <c r="D1339" t="s">
        <v>55</v>
      </c>
      <c r="E1339">
        <v>2024</v>
      </c>
      <c r="F1339" t="s">
        <v>24</v>
      </c>
      <c r="G1339" t="s">
        <v>23</v>
      </c>
      <c r="H1339" t="s">
        <v>17</v>
      </c>
      <c r="I1339" t="s">
        <v>25</v>
      </c>
      <c r="J1339">
        <v>7352.43</v>
      </c>
      <c r="K1339">
        <v>6362.19</v>
      </c>
      <c r="L1339" s="20">
        <f>tbl_Budget[[#This Row],[Actual]]-tbl_Budget[[#This Row],[Budget]]</f>
        <v>-990.24000000000069</v>
      </c>
      <c r="M1339" s="3">
        <f>tbl_Budget[[#This Row],[Variance]]/tbl_Budget[[#This Row],[Budget]]</f>
        <v>-0.13468200309285511</v>
      </c>
      <c r="N1339" t="str">
        <f>IF(tbl_Budget[[#This Row],[Variance_%]]&gt;0.05,"Overspend",IF(tbl_Budget[[#This Row],[Variance_%]]&lt;-0.05,"Underspend","On Budget"))</f>
        <v>Underspend</v>
      </c>
    </row>
    <row r="1340" spans="1:14" hidden="1">
      <c r="A1340" s="1">
        <v>45323</v>
      </c>
      <c r="B1340">
        <v>2</v>
      </c>
      <c r="C1340" t="s">
        <v>32</v>
      </c>
      <c r="D1340" t="s">
        <v>55</v>
      </c>
      <c r="E1340">
        <v>2024</v>
      </c>
      <c r="F1340" t="s">
        <v>24</v>
      </c>
      <c r="G1340" t="s">
        <v>23</v>
      </c>
      <c r="H1340" t="s">
        <v>18</v>
      </c>
      <c r="I1340" t="s">
        <v>25</v>
      </c>
      <c r="J1340">
        <v>7226.7</v>
      </c>
      <c r="K1340">
        <v>6308.38</v>
      </c>
      <c r="L1340" s="20">
        <f>tbl_Budget[[#This Row],[Actual]]-tbl_Budget[[#This Row],[Budget]]</f>
        <v>-918.31999999999971</v>
      </c>
      <c r="M1340" s="3">
        <f>tbl_Budget[[#This Row],[Variance]]/tbl_Budget[[#This Row],[Budget]]</f>
        <v>-0.12707321460694365</v>
      </c>
      <c r="N1340" t="str">
        <f>IF(tbl_Budget[[#This Row],[Variance_%]]&gt;0.05,"Overspend",IF(tbl_Budget[[#This Row],[Variance_%]]&lt;-0.05,"Underspend","On Budget"))</f>
        <v>Underspend</v>
      </c>
    </row>
    <row r="1341" spans="1:14" hidden="1">
      <c r="A1341" s="1">
        <v>45323</v>
      </c>
      <c r="B1341">
        <v>2</v>
      </c>
      <c r="C1341" t="s">
        <v>32</v>
      </c>
      <c r="D1341" t="s">
        <v>55</v>
      </c>
      <c r="E1341">
        <v>2024</v>
      </c>
      <c r="F1341" t="s">
        <v>24</v>
      </c>
      <c r="G1341" t="s">
        <v>23</v>
      </c>
      <c r="H1341" t="s">
        <v>19</v>
      </c>
      <c r="I1341" t="s">
        <v>25</v>
      </c>
      <c r="J1341">
        <v>7992.73</v>
      </c>
      <c r="K1341">
        <v>6849.5</v>
      </c>
      <c r="L1341" s="20">
        <f>tbl_Budget[[#This Row],[Actual]]-tbl_Budget[[#This Row],[Budget]]</f>
        <v>-1143.2299999999996</v>
      </c>
      <c r="M1341" s="3">
        <f>tbl_Budget[[#This Row],[Variance]]/tbl_Budget[[#This Row],[Budget]]</f>
        <v>-0.14303373190386759</v>
      </c>
      <c r="N1341" t="str">
        <f>IF(tbl_Budget[[#This Row],[Variance_%]]&gt;0.05,"Overspend",IF(tbl_Budget[[#This Row],[Variance_%]]&lt;-0.05,"Underspend","On Budget"))</f>
        <v>Underspend</v>
      </c>
    </row>
    <row r="1342" spans="1:14" hidden="1">
      <c r="A1342" s="1">
        <v>45323</v>
      </c>
      <c r="B1342">
        <v>2</v>
      </c>
      <c r="C1342" t="s">
        <v>32</v>
      </c>
      <c r="D1342" t="s">
        <v>55</v>
      </c>
      <c r="E1342">
        <v>2024</v>
      </c>
      <c r="F1342" t="s">
        <v>26</v>
      </c>
      <c r="G1342" t="s">
        <v>14</v>
      </c>
      <c r="H1342" t="s">
        <v>15</v>
      </c>
      <c r="I1342" t="s">
        <v>27</v>
      </c>
      <c r="J1342">
        <v>46454.99</v>
      </c>
      <c r="K1342">
        <v>46035.75</v>
      </c>
      <c r="L1342" s="20">
        <f>tbl_Budget[[#This Row],[Actual]]-tbl_Budget[[#This Row],[Budget]]</f>
        <v>-419.23999999999796</v>
      </c>
      <c r="M1342" s="3">
        <f>tbl_Budget[[#This Row],[Variance]]/tbl_Budget[[#This Row],[Budget]]</f>
        <v>-9.0246494510061882E-3</v>
      </c>
      <c r="N1342" t="str">
        <f>IF(tbl_Budget[[#This Row],[Variance_%]]&gt;0.05,"Overspend",IF(tbl_Budget[[#This Row],[Variance_%]]&lt;-0.05,"Underspend","On Budget"))</f>
        <v>On Budget</v>
      </c>
    </row>
    <row r="1343" spans="1:14" hidden="1">
      <c r="A1343" s="1">
        <v>45323</v>
      </c>
      <c r="B1343">
        <v>2</v>
      </c>
      <c r="C1343" t="s">
        <v>32</v>
      </c>
      <c r="D1343" t="s">
        <v>55</v>
      </c>
      <c r="E1343">
        <v>2024</v>
      </c>
      <c r="F1343" t="s">
        <v>26</v>
      </c>
      <c r="G1343" t="s">
        <v>14</v>
      </c>
      <c r="H1343" t="s">
        <v>17</v>
      </c>
      <c r="I1343" t="s">
        <v>27</v>
      </c>
      <c r="J1343">
        <v>44040.01</v>
      </c>
      <c r="K1343">
        <v>44519.75</v>
      </c>
      <c r="L1343" s="20">
        <f>tbl_Budget[[#This Row],[Actual]]-tbl_Budget[[#This Row],[Budget]]</f>
        <v>479.73999999999796</v>
      </c>
      <c r="M1343" s="3">
        <f>tbl_Budget[[#This Row],[Variance]]/tbl_Budget[[#This Row],[Budget]]</f>
        <v>1.0893276363924485E-2</v>
      </c>
      <c r="N1343" t="str">
        <f>IF(tbl_Budget[[#This Row],[Variance_%]]&gt;0.05,"Overspend",IF(tbl_Budget[[#This Row],[Variance_%]]&lt;-0.05,"Underspend","On Budget"))</f>
        <v>On Budget</v>
      </c>
    </row>
    <row r="1344" spans="1:14" hidden="1">
      <c r="A1344" s="1">
        <v>45323</v>
      </c>
      <c r="B1344">
        <v>2</v>
      </c>
      <c r="C1344" t="s">
        <v>32</v>
      </c>
      <c r="D1344" t="s">
        <v>55</v>
      </c>
      <c r="E1344">
        <v>2024</v>
      </c>
      <c r="F1344" t="s">
        <v>26</v>
      </c>
      <c r="G1344" t="s">
        <v>14</v>
      </c>
      <c r="H1344" t="s">
        <v>18</v>
      </c>
      <c r="I1344" t="s">
        <v>27</v>
      </c>
      <c r="J1344">
        <v>45565.08</v>
      </c>
      <c r="K1344">
        <v>45493.38</v>
      </c>
      <c r="L1344" s="20">
        <f>tbl_Budget[[#This Row],[Actual]]-tbl_Budget[[#This Row],[Budget]]</f>
        <v>-71.700000000004366</v>
      </c>
      <c r="M1344" s="3">
        <f>tbl_Budget[[#This Row],[Variance]]/tbl_Budget[[#This Row],[Budget]]</f>
        <v>-1.5735734470345352E-3</v>
      </c>
      <c r="N1344" t="str">
        <f>IF(tbl_Budget[[#This Row],[Variance_%]]&gt;0.05,"Overspend",IF(tbl_Budget[[#This Row],[Variance_%]]&lt;-0.05,"Underspend","On Budget"))</f>
        <v>On Budget</v>
      </c>
    </row>
    <row r="1345" spans="1:14" hidden="1">
      <c r="A1345" s="1">
        <v>45323</v>
      </c>
      <c r="B1345">
        <v>2</v>
      </c>
      <c r="C1345" t="s">
        <v>32</v>
      </c>
      <c r="D1345" t="s">
        <v>55</v>
      </c>
      <c r="E1345">
        <v>2024</v>
      </c>
      <c r="F1345" t="s">
        <v>26</v>
      </c>
      <c r="G1345" t="s">
        <v>14</v>
      </c>
      <c r="H1345" t="s">
        <v>19</v>
      </c>
      <c r="I1345" t="s">
        <v>27</v>
      </c>
      <c r="J1345">
        <v>47700.67</v>
      </c>
      <c r="K1345">
        <v>46805.16</v>
      </c>
      <c r="L1345" s="20">
        <f>tbl_Budget[[#This Row],[Actual]]-tbl_Budget[[#This Row],[Budget]]</f>
        <v>-895.50999999999476</v>
      </c>
      <c r="M1345" s="3">
        <f>tbl_Budget[[#This Row],[Variance]]/tbl_Budget[[#This Row],[Budget]]</f>
        <v>-1.8773530853969028E-2</v>
      </c>
      <c r="N1345" t="str">
        <f>IF(tbl_Budget[[#This Row],[Variance_%]]&gt;0.05,"Overspend",IF(tbl_Budget[[#This Row],[Variance_%]]&lt;-0.05,"Underspend","On Budget"))</f>
        <v>On Budget</v>
      </c>
    </row>
    <row r="1346" spans="1:14" hidden="1">
      <c r="A1346" s="1">
        <v>45323</v>
      </c>
      <c r="B1346">
        <v>2</v>
      </c>
      <c r="C1346" t="s">
        <v>32</v>
      </c>
      <c r="D1346" t="s">
        <v>55</v>
      </c>
      <c r="E1346">
        <v>2024</v>
      </c>
      <c r="F1346" t="s">
        <v>26</v>
      </c>
      <c r="G1346" t="s">
        <v>20</v>
      </c>
      <c r="H1346" t="s">
        <v>15</v>
      </c>
      <c r="I1346" t="s">
        <v>27</v>
      </c>
      <c r="J1346">
        <v>16246.73</v>
      </c>
      <c r="K1346">
        <v>15851.58</v>
      </c>
      <c r="L1346" s="20">
        <f>tbl_Budget[[#This Row],[Actual]]-tbl_Budget[[#This Row],[Budget]]</f>
        <v>-395.14999999999964</v>
      </c>
      <c r="M1346" s="3">
        <f>tbl_Budget[[#This Row],[Variance]]/tbl_Budget[[#This Row],[Budget]]</f>
        <v>-2.4321817374942507E-2</v>
      </c>
      <c r="N1346" t="str">
        <f>IF(tbl_Budget[[#This Row],[Variance_%]]&gt;0.05,"Overspend",IF(tbl_Budget[[#This Row],[Variance_%]]&lt;-0.05,"Underspend","On Budget"))</f>
        <v>On Budget</v>
      </c>
    </row>
    <row r="1347" spans="1:14" hidden="1">
      <c r="A1347" s="1">
        <v>45323</v>
      </c>
      <c r="B1347">
        <v>2</v>
      </c>
      <c r="C1347" t="s">
        <v>32</v>
      </c>
      <c r="D1347" t="s">
        <v>55</v>
      </c>
      <c r="E1347">
        <v>2024</v>
      </c>
      <c r="F1347" t="s">
        <v>26</v>
      </c>
      <c r="G1347" t="s">
        <v>20</v>
      </c>
      <c r="H1347" t="s">
        <v>17</v>
      </c>
      <c r="I1347" t="s">
        <v>27</v>
      </c>
      <c r="J1347">
        <v>14991.92</v>
      </c>
      <c r="K1347">
        <v>15110.56</v>
      </c>
      <c r="L1347" s="20">
        <f>tbl_Budget[[#This Row],[Actual]]-tbl_Budget[[#This Row],[Budget]]</f>
        <v>118.63999999999942</v>
      </c>
      <c r="M1347" s="3">
        <f>tbl_Budget[[#This Row],[Variance]]/tbl_Budget[[#This Row],[Budget]]</f>
        <v>7.9135961237786368E-3</v>
      </c>
      <c r="N1347" t="str">
        <f>IF(tbl_Budget[[#This Row],[Variance_%]]&gt;0.05,"Overspend",IF(tbl_Budget[[#This Row],[Variance_%]]&lt;-0.05,"Underspend","On Budget"))</f>
        <v>On Budget</v>
      </c>
    </row>
    <row r="1348" spans="1:14" hidden="1">
      <c r="A1348" s="1">
        <v>45323</v>
      </c>
      <c r="B1348">
        <v>2</v>
      </c>
      <c r="C1348" t="s">
        <v>32</v>
      </c>
      <c r="D1348" t="s">
        <v>55</v>
      </c>
      <c r="E1348">
        <v>2024</v>
      </c>
      <c r="F1348" t="s">
        <v>26</v>
      </c>
      <c r="G1348" t="s">
        <v>20</v>
      </c>
      <c r="H1348" t="s">
        <v>18</v>
      </c>
      <c r="I1348" t="s">
        <v>27</v>
      </c>
      <c r="J1348">
        <v>15635.14</v>
      </c>
      <c r="K1348">
        <v>15949.61</v>
      </c>
      <c r="L1348" s="20">
        <f>tbl_Budget[[#This Row],[Actual]]-tbl_Budget[[#This Row],[Budget]]</f>
        <v>314.47000000000116</v>
      </c>
      <c r="M1348" s="3">
        <f>tbl_Budget[[#This Row],[Variance]]/tbl_Budget[[#This Row],[Budget]]</f>
        <v>2.0113027449706312E-2</v>
      </c>
      <c r="N1348" t="str">
        <f>IF(tbl_Budget[[#This Row],[Variance_%]]&gt;0.05,"Overspend",IF(tbl_Budget[[#This Row],[Variance_%]]&lt;-0.05,"Underspend","On Budget"))</f>
        <v>On Budget</v>
      </c>
    </row>
    <row r="1349" spans="1:14" hidden="1">
      <c r="A1349" s="1">
        <v>45323</v>
      </c>
      <c r="B1349">
        <v>2</v>
      </c>
      <c r="C1349" t="s">
        <v>32</v>
      </c>
      <c r="D1349" t="s">
        <v>55</v>
      </c>
      <c r="E1349">
        <v>2024</v>
      </c>
      <c r="F1349" t="s">
        <v>26</v>
      </c>
      <c r="G1349" t="s">
        <v>20</v>
      </c>
      <c r="H1349" t="s">
        <v>19</v>
      </c>
      <c r="I1349" t="s">
        <v>27</v>
      </c>
      <c r="J1349">
        <v>16701.810000000001</v>
      </c>
      <c r="K1349">
        <v>16696.57</v>
      </c>
      <c r="L1349" s="20">
        <f>tbl_Budget[[#This Row],[Actual]]-tbl_Budget[[#This Row],[Budget]]</f>
        <v>-5.2400000000016007</v>
      </c>
      <c r="M1349" s="3">
        <f>tbl_Budget[[#This Row],[Variance]]/tbl_Budget[[#This Row],[Budget]]</f>
        <v>-3.1373845110210211E-4</v>
      </c>
      <c r="N1349" t="str">
        <f>IF(tbl_Budget[[#This Row],[Variance_%]]&gt;0.05,"Overspend",IF(tbl_Budget[[#This Row],[Variance_%]]&lt;-0.05,"Underspend","On Budget"))</f>
        <v>On Budget</v>
      </c>
    </row>
    <row r="1350" spans="1:14">
      <c r="A1350" s="1">
        <v>45323</v>
      </c>
      <c r="B1350">
        <v>2</v>
      </c>
      <c r="C1350" t="s">
        <v>32</v>
      </c>
      <c r="D1350" t="s">
        <v>55</v>
      </c>
      <c r="E1350">
        <v>2024</v>
      </c>
      <c r="F1350" t="s">
        <v>26</v>
      </c>
      <c r="G1350" t="s">
        <v>21</v>
      </c>
      <c r="H1350" t="s">
        <v>15</v>
      </c>
      <c r="I1350" t="s">
        <v>27</v>
      </c>
      <c r="J1350">
        <v>9177.2099999999991</v>
      </c>
      <c r="K1350">
        <v>8992.44</v>
      </c>
      <c r="L1350" s="20">
        <f>tbl_Budget[[#This Row],[Actual]]-tbl_Budget[[#This Row],[Budget]]</f>
        <v>-184.76999999999862</v>
      </c>
      <c r="M1350" s="3">
        <f>tbl_Budget[[#This Row],[Variance]]/tbl_Budget[[#This Row],[Budget]]</f>
        <v>-2.0133570006570477E-2</v>
      </c>
      <c r="N1350" t="str">
        <f>IF(tbl_Budget[[#This Row],[Variance_%]]&gt;0.05,"Overspend",IF(tbl_Budget[[#This Row],[Variance_%]]&lt;-0.05,"Underspend","On Budget"))</f>
        <v>On Budget</v>
      </c>
    </row>
    <row r="1351" spans="1:14">
      <c r="A1351" s="1">
        <v>45323</v>
      </c>
      <c r="B1351">
        <v>2</v>
      </c>
      <c r="C1351" t="s">
        <v>32</v>
      </c>
      <c r="D1351" t="s">
        <v>55</v>
      </c>
      <c r="E1351">
        <v>2024</v>
      </c>
      <c r="F1351" t="s">
        <v>26</v>
      </c>
      <c r="G1351" t="s">
        <v>21</v>
      </c>
      <c r="H1351" t="s">
        <v>17</v>
      </c>
      <c r="I1351" t="s">
        <v>27</v>
      </c>
      <c r="J1351">
        <v>8639.9</v>
      </c>
      <c r="K1351">
        <v>8858.49</v>
      </c>
      <c r="L1351" s="20">
        <f>tbl_Budget[[#This Row],[Actual]]-tbl_Budget[[#This Row],[Budget]]</f>
        <v>218.59000000000015</v>
      </c>
      <c r="M1351" s="3">
        <f>tbl_Budget[[#This Row],[Variance]]/tbl_Budget[[#This Row],[Budget]]</f>
        <v>2.5300061343302604E-2</v>
      </c>
      <c r="N1351" t="str">
        <f>IF(tbl_Budget[[#This Row],[Variance_%]]&gt;0.05,"Overspend",IF(tbl_Budget[[#This Row],[Variance_%]]&lt;-0.05,"Underspend","On Budget"))</f>
        <v>On Budget</v>
      </c>
    </row>
    <row r="1352" spans="1:14">
      <c r="A1352" s="1">
        <v>45323</v>
      </c>
      <c r="B1352">
        <v>2</v>
      </c>
      <c r="C1352" t="s">
        <v>32</v>
      </c>
      <c r="D1352" t="s">
        <v>55</v>
      </c>
      <c r="E1352">
        <v>2024</v>
      </c>
      <c r="F1352" t="s">
        <v>26</v>
      </c>
      <c r="G1352" t="s">
        <v>21</v>
      </c>
      <c r="H1352" t="s">
        <v>18</v>
      </c>
      <c r="I1352" t="s">
        <v>27</v>
      </c>
      <c r="J1352">
        <v>8604.23</v>
      </c>
      <c r="K1352">
        <v>8820.9500000000007</v>
      </c>
      <c r="L1352" s="20">
        <f>tbl_Budget[[#This Row],[Actual]]-tbl_Budget[[#This Row],[Budget]]</f>
        <v>216.72000000000116</v>
      </c>
      <c r="M1352" s="3">
        <f>tbl_Budget[[#This Row],[Variance]]/tbl_Budget[[#This Row],[Budget]]</f>
        <v>2.5187611209835301E-2</v>
      </c>
      <c r="N1352" t="str">
        <f>IF(tbl_Budget[[#This Row],[Variance_%]]&gt;0.05,"Overspend",IF(tbl_Budget[[#This Row],[Variance_%]]&lt;-0.05,"Underspend","On Budget"))</f>
        <v>On Budget</v>
      </c>
    </row>
    <row r="1353" spans="1:14">
      <c r="A1353" s="1">
        <v>45323</v>
      </c>
      <c r="B1353">
        <v>2</v>
      </c>
      <c r="C1353" t="s">
        <v>32</v>
      </c>
      <c r="D1353" t="s">
        <v>55</v>
      </c>
      <c r="E1353">
        <v>2024</v>
      </c>
      <c r="F1353" t="s">
        <v>26</v>
      </c>
      <c r="G1353" t="s">
        <v>21</v>
      </c>
      <c r="H1353" t="s">
        <v>19</v>
      </c>
      <c r="I1353" t="s">
        <v>27</v>
      </c>
      <c r="J1353">
        <v>9306.2999999999993</v>
      </c>
      <c r="K1353">
        <v>9411.9699999999993</v>
      </c>
      <c r="L1353" s="20">
        <f>tbl_Budget[[#This Row],[Actual]]-tbl_Budget[[#This Row],[Budget]]</f>
        <v>105.67000000000007</v>
      </c>
      <c r="M1353" s="3">
        <f>tbl_Budget[[#This Row],[Variance]]/tbl_Budget[[#This Row],[Budget]]</f>
        <v>1.1354673715654994E-2</v>
      </c>
      <c r="N1353" t="str">
        <f>IF(tbl_Budget[[#This Row],[Variance_%]]&gt;0.05,"Overspend",IF(tbl_Budget[[#This Row],[Variance_%]]&lt;-0.05,"Underspend","On Budget"))</f>
        <v>On Budget</v>
      </c>
    </row>
    <row r="1354" spans="1:14" hidden="1">
      <c r="A1354" s="1">
        <v>45323</v>
      </c>
      <c r="B1354">
        <v>2</v>
      </c>
      <c r="C1354" t="s">
        <v>32</v>
      </c>
      <c r="D1354" t="s">
        <v>55</v>
      </c>
      <c r="E1354">
        <v>2024</v>
      </c>
      <c r="F1354" t="s">
        <v>26</v>
      </c>
      <c r="G1354" t="s">
        <v>22</v>
      </c>
      <c r="H1354" t="s">
        <v>15</v>
      </c>
      <c r="I1354" t="s">
        <v>27</v>
      </c>
      <c r="J1354">
        <v>7004.93</v>
      </c>
      <c r="K1354">
        <v>7132.36</v>
      </c>
      <c r="L1354" s="20">
        <f>tbl_Budget[[#This Row],[Actual]]-tbl_Budget[[#This Row],[Budget]]</f>
        <v>127.42999999999938</v>
      </c>
      <c r="M1354" s="3">
        <f>tbl_Budget[[#This Row],[Variance]]/tbl_Budget[[#This Row],[Budget]]</f>
        <v>1.8191473719223372E-2</v>
      </c>
      <c r="N1354" t="str">
        <f>IF(tbl_Budget[[#This Row],[Variance_%]]&gt;0.05,"Overspend",IF(tbl_Budget[[#This Row],[Variance_%]]&lt;-0.05,"Underspend","On Budget"))</f>
        <v>On Budget</v>
      </c>
    </row>
    <row r="1355" spans="1:14" hidden="1">
      <c r="A1355" s="1">
        <v>45323</v>
      </c>
      <c r="B1355">
        <v>2</v>
      </c>
      <c r="C1355" t="s">
        <v>32</v>
      </c>
      <c r="D1355" t="s">
        <v>55</v>
      </c>
      <c r="E1355">
        <v>2024</v>
      </c>
      <c r="F1355" t="s">
        <v>26</v>
      </c>
      <c r="G1355" t="s">
        <v>22</v>
      </c>
      <c r="H1355" t="s">
        <v>17</v>
      </c>
      <c r="I1355" t="s">
        <v>27</v>
      </c>
      <c r="J1355">
        <v>6622.74</v>
      </c>
      <c r="K1355">
        <v>6842.54</v>
      </c>
      <c r="L1355" s="20">
        <f>tbl_Budget[[#This Row],[Actual]]-tbl_Budget[[#This Row],[Budget]]</f>
        <v>219.80000000000018</v>
      </c>
      <c r="M1355" s="3">
        <f>tbl_Budget[[#This Row],[Variance]]/tbl_Budget[[#This Row],[Budget]]</f>
        <v>3.3188680213929608E-2</v>
      </c>
      <c r="N1355" t="str">
        <f>IF(tbl_Budget[[#This Row],[Variance_%]]&gt;0.05,"Overspend",IF(tbl_Budget[[#This Row],[Variance_%]]&lt;-0.05,"Underspend","On Budget"))</f>
        <v>On Budget</v>
      </c>
    </row>
    <row r="1356" spans="1:14" hidden="1">
      <c r="A1356" s="1">
        <v>45323</v>
      </c>
      <c r="B1356">
        <v>2</v>
      </c>
      <c r="C1356" t="s">
        <v>32</v>
      </c>
      <c r="D1356" t="s">
        <v>55</v>
      </c>
      <c r="E1356">
        <v>2024</v>
      </c>
      <c r="F1356" t="s">
        <v>26</v>
      </c>
      <c r="G1356" t="s">
        <v>22</v>
      </c>
      <c r="H1356" t="s">
        <v>18</v>
      </c>
      <c r="I1356" t="s">
        <v>27</v>
      </c>
      <c r="J1356">
        <v>6921.67</v>
      </c>
      <c r="K1356">
        <v>6942.27</v>
      </c>
      <c r="L1356" s="20">
        <f>tbl_Budget[[#This Row],[Actual]]-tbl_Budget[[#This Row],[Budget]]</f>
        <v>20.600000000000364</v>
      </c>
      <c r="M1356" s="3">
        <f>tbl_Budget[[#This Row],[Variance]]/tbl_Budget[[#This Row],[Budget]]</f>
        <v>2.9761603774812097E-3</v>
      </c>
      <c r="N1356" t="str">
        <f>IF(tbl_Budget[[#This Row],[Variance_%]]&gt;0.05,"Overspend",IF(tbl_Budget[[#This Row],[Variance_%]]&lt;-0.05,"Underspend","On Budget"))</f>
        <v>On Budget</v>
      </c>
    </row>
    <row r="1357" spans="1:14" hidden="1">
      <c r="A1357" s="1">
        <v>45323</v>
      </c>
      <c r="B1357">
        <v>2</v>
      </c>
      <c r="C1357" t="s">
        <v>32</v>
      </c>
      <c r="D1357" t="s">
        <v>55</v>
      </c>
      <c r="E1357">
        <v>2024</v>
      </c>
      <c r="F1357" t="s">
        <v>26</v>
      </c>
      <c r="G1357" t="s">
        <v>22</v>
      </c>
      <c r="H1357" t="s">
        <v>19</v>
      </c>
      <c r="I1357" t="s">
        <v>27</v>
      </c>
      <c r="J1357">
        <v>7087.21</v>
      </c>
      <c r="K1357">
        <v>7092.25</v>
      </c>
      <c r="L1357" s="20">
        <f>tbl_Budget[[#This Row],[Actual]]-tbl_Budget[[#This Row],[Budget]]</f>
        <v>5.0399999999999636</v>
      </c>
      <c r="M1357" s="3">
        <f>tbl_Budget[[#This Row],[Variance]]/tbl_Budget[[#This Row],[Budget]]</f>
        <v>7.1114020891154114E-4</v>
      </c>
      <c r="N1357" t="str">
        <f>IF(tbl_Budget[[#This Row],[Variance_%]]&gt;0.05,"Overspend",IF(tbl_Budget[[#This Row],[Variance_%]]&lt;-0.05,"Underspend","On Budget"))</f>
        <v>On Budget</v>
      </c>
    </row>
    <row r="1358" spans="1:14" hidden="1">
      <c r="A1358" s="1">
        <v>45323</v>
      </c>
      <c r="B1358">
        <v>2</v>
      </c>
      <c r="C1358" t="s">
        <v>32</v>
      </c>
      <c r="D1358" t="s">
        <v>55</v>
      </c>
      <c r="E1358">
        <v>2024</v>
      </c>
      <c r="F1358" t="s">
        <v>26</v>
      </c>
      <c r="G1358" t="s">
        <v>23</v>
      </c>
      <c r="H1358" t="s">
        <v>15</v>
      </c>
      <c r="I1358" t="s">
        <v>27</v>
      </c>
      <c r="J1358">
        <v>6079.09</v>
      </c>
      <c r="K1358">
        <v>6256.92</v>
      </c>
      <c r="L1358" s="20">
        <f>tbl_Budget[[#This Row],[Actual]]-tbl_Budget[[#This Row],[Budget]]</f>
        <v>177.82999999999993</v>
      </c>
      <c r="M1358" s="3">
        <f>tbl_Budget[[#This Row],[Variance]]/tbl_Budget[[#This Row],[Budget]]</f>
        <v>2.9252733550580747E-2</v>
      </c>
      <c r="N1358" t="str">
        <f>IF(tbl_Budget[[#This Row],[Variance_%]]&gt;0.05,"Overspend",IF(tbl_Budget[[#This Row],[Variance_%]]&lt;-0.05,"Underspend","On Budget"))</f>
        <v>On Budget</v>
      </c>
    </row>
    <row r="1359" spans="1:14" hidden="1">
      <c r="A1359" s="1">
        <v>45323</v>
      </c>
      <c r="B1359">
        <v>2</v>
      </c>
      <c r="C1359" t="s">
        <v>32</v>
      </c>
      <c r="D1359" t="s">
        <v>55</v>
      </c>
      <c r="E1359">
        <v>2024</v>
      </c>
      <c r="F1359" t="s">
        <v>26</v>
      </c>
      <c r="G1359" t="s">
        <v>23</v>
      </c>
      <c r="H1359" t="s">
        <v>17</v>
      </c>
      <c r="I1359" t="s">
        <v>27</v>
      </c>
      <c r="J1359">
        <v>5725.48</v>
      </c>
      <c r="K1359">
        <v>5701.73</v>
      </c>
      <c r="L1359" s="20">
        <f>tbl_Budget[[#This Row],[Actual]]-tbl_Budget[[#This Row],[Budget]]</f>
        <v>-23.75</v>
      </c>
      <c r="M1359" s="3">
        <f>tbl_Budget[[#This Row],[Variance]]/tbl_Budget[[#This Row],[Budget]]</f>
        <v>-4.1481238254259907E-3</v>
      </c>
      <c r="N1359" t="str">
        <f>IF(tbl_Budget[[#This Row],[Variance_%]]&gt;0.05,"Overspend",IF(tbl_Budget[[#This Row],[Variance_%]]&lt;-0.05,"Underspend","On Budget"))</f>
        <v>On Budget</v>
      </c>
    </row>
    <row r="1360" spans="1:14" hidden="1">
      <c r="A1360" s="1">
        <v>45323</v>
      </c>
      <c r="B1360">
        <v>2</v>
      </c>
      <c r="C1360" t="s">
        <v>32</v>
      </c>
      <c r="D1360" t="s">
        <v>55</v>
      </c>
      <c r="E1360">
        <v>2024</v>
      </c>
      <c r="F1360" t="s">
        <v>26</v>
      </c>
      <c r="G1360" t="s">
        <v>23</v>
      </c>
      <c r="H1360" t="s">
        <v>18</v>
      </c>
      <c r="I1360" t="s">
        <v>27</v>
      </c>
      <c r="J1360">
        <v>5801.44</v>
      </c>
      <c r="K1360">
        <v>5634.83</v>
      </c>
      <c r="L1360" s="20">
        <f>tbl_Budget[[#This Row],[Actual]]-tbl_Budget[[#This Row],[Budget]]</f>
        <v>-166.60999999999967</v>
      </c>
      <c r="M1360" s="3">
        <f>tbl_Budget[[#This Row],[Variance]]/tbl_Budget[[#This Row],[Budget]]</f>
        <v>-2.8718731901045205E-2</v>
      </c>
      <c r="N1360" t="str">
        <f>IF(tbl_Budget[[#This Row],[Variance_%]]&gt;0.05,"Overspend",IF(tbl_Budget[[#This Row],[Variance_%]]&lt;-0.05,"Underspend","On Budget"))</f>
        <v>On Budget</v>
      </c>
    </row>
    <row r="1361" spans="1:14" hidden="1">
      <c r="A1361" s="1">
        <v>45323</v>
      </c>
      <c r="B1361">
        <v>2</v>
      </c>
      <c r="C1361" t="s">
        <v>32</v>
      </c>
      <c r="D1361" t="s">
        <v>55</v>
      </c>
      <c r="E1361">
        <v>2024</v>
      </c>
      <c r="F1361" t="s">
        <v>26</v>
      </c>
      <c r="G1361" t="s">
        <v>23</v>
      </c>
      <c r="H1361" t="s">
        <v>19</v>
      </c>
      <c r="I1361" t="s">
        <v>27</v>
      </c>
      <c r="J1361">
        <v>6336.59</v>
      </c>
      <c r="K1361">
        <v>6454.1</v>
      </c>
      <c r="L1361" s="20">
        <f>tbl_Budget[[#This Row],[Actual]]-tbl_Budget[[#This Row],[Budget]]</f>
        <v>117.51000000000022</v>
      </c>
      <c r="M1361" s="3">
        <f>tbl_Budget[[#This Row],[Variance]]/tbl_Budget[[#This Row],[Budget]]</f>
        <v>1.8544674659398859E-2</v>
      </c>
      <c r="N1361" t="str">
        <f>IF(tbl_Budget[[#This Row],[Variance_%]]&gt;0.05,"Overspend",IF(tbl_Budget[[#This Row],[Variance_%]]&lt;-0.05,"Underspend","On Budget"))</f>
        <v>On Budget</v>
      </c>
    </row>
    <row r="1362" spans="1:14" hidden="1">
      <c r="A1362" s="1">
        <v>45323</v>
      </c>
      <c r="B1362">
        <v>2</v>
      </c>
      <c r="C1362" t="s">
        <v>32</v>
      </c>
      <c r="D1362" t="s">
        <v>55</v>
      </c>
      <c r="E1362">
        <v>2024</v>
      </c>
      <c r="F1362" t="s">
        <v>28</v>
      </c>
      <c r="G1362" t="s">
        <v>14</v>
      </c>
      <c r="H1362" t="s">
        <v>15</v>
      </c>
      <c r="I1362" t="s">
        <v>29</v>
      </c>
      <c r="J1362">
        <v>56427.15</v>
      </c>
      <c r="K1362">
        <v>57536.959999999999</v>
      </c>
      <c r="L1362" s="20">
        <f>tbl_Budget[[#This Row],[Actual]]-tbl_Budget[[#This Row],[Budget]]</f>
        <v>1109.8099999999977</v>
      </c>
      <c r="M1362" s="3">
        <f>tbl_Budget[[#This Row],[Variance]]/tbl_Budget[[#This Row],[Budget]]</f>
        <v>1.9668014422135401E-2</v>
      </c>
      <c r="N1362" t="str">
        <f>IF(tbl_Budget[[#This Row],[Variance_%]]&gt;0.05,"Overspend",IF(tbl_Budget[[#This Row],[Variance_%]]&lt;-0.05,"Underspend","On Budget"))</f>
        <v>On Budget</v>
      </c>
    </row>
    <row r="1363" spans="1:14" hidden="1">
      <c r="A1363" s="1">
        <v>45323</v>
      </c>
      <c r="B1363">
        <v>2</v>
      </c>
      <c r="C1363" t="s">
        <v>32</v>
      </c>
      <c r="D1363" t="s">
        <v>55</v>
      </c>
      <c r="E1363">
        <v>2024</v>
      </c>
      <c r="F1363" t="s">
        <v>28</v>
      </c>
      <c r="G1363" t="s">
        <v>14</v>
      </c>
      <c r="H1363" t="s">
        <v>17</v>
      </c>
      <c r="I1363" t="s">
        <v>29</v>
      </c>
      <c r="J1363">
        <v>53663.69</v>
      </c>
      <c r="K1363">
        <v>54031.79</v>
      </c>
      <c r="L1363" s="20">
        <f>tbl_Budget[[#This Row],[Actual]]-tbl_Budget[[#This Row],[Budget]]</f>
        <v>368.09999999999854</v>
      </c>
      <c r="M1363" s="3">
        <f>tbl_Budget[[#This Row],[Variance]]/tbl_Budget[[#This Row],[Budget]]</f>
        <v>6.8593866728135638E-3</v>
      </c>
      <c r="N1363" t="str">
        <f>IF(tbl_Budget[[#This Row],[Variance_%]]&gt;0.05,"Overspend",IF(tbl_Budget[[#This Row],[Variance_%]]&lt;-0.05,"Underspend","On Budget"))</f>
        <v>On Budget</v>
      </c>
    </row>
    <row r="1364" spans="1:14" hidden="1">
      <c r="A1364" s="1">
        <v>45323</v>
      </c>
      <c r="B1364">
        <v>2</v>
      </c>
      <c r="C1364" t="s">
        <v>32</v>
      </c>
      <c r="D1364" t="s">
        <v>55</v>
      </c>
      <c r="E1364">
        <v>2024</v>
      </c>
      <c r="F1364" t="s">
        <v>28</v>
      </c>
      <c r="G1364" t="s">
        <v>14</v>
      </c>
      <c r="H1364" t="s">
        <v>18</v>
      </c>
      <c r="I1364" t="s">
        <v>29</v>
      </c>
      <c r="J1364">
        <v>53594.99</v>
      </c>
      <c r="K1364">
        <v>57857.25</v>
      </c>
      <c r="L1364" s="20">
        <f>tbl_Budget[[#This Row],[Actual]]-tbl_Budget[[#This Row],[Budget]]</f>
        <v>4262.260000000002</v>
      </c>
      <c r="M1364" s="3">
        <f>tbl_Budget[[#This Row],[Variance]]/tbl_Budget[[#This Row],[Budget]]</f>
        <v>7.9527209539548421E-2</v>
      </c>
      <c r="N1364" t="str">
        <f>IF(tbl_Budget[[#This Row],[Variance_%]]&gt;0.05,"Overspend",IF(tbl_Budget[[#This Row],[Variance_%]]&lt;-0.05,"Underspend","On Budget"))</f>
        <v>Overspend</v>
      </c>
    </row>
    <row r="1365" spans="1:14" hidden="1">
      <c r="A1365" s="1">
        <v>45323</v>
      </c>
      <c r="B1365">
        <v>2</v>
      </c>
      <c r="C1365" t="s">
        <v>32</v>
      </c>
      <c r="D1365" t="s">
        <v>55</v>
      </c>
      <c r="E1365">
        <v>2024</v>
      </c>
      <c r="F1365" t="s">
        <v>28</v>
      </c>
      <c r="G1365" t="s">
        <v>14</v>
      </c>
      <c r="H1365" t="s">
        <v>19</v>
      </c>
      <c r="I1365" t="s">
        <v>29</v>
      </c>
      <c r="J1365">
        <v>58707.69</v>
      </c>
      <c r="K1365">
        <v>55226.73</v>
      </c>
      <c r="L1365" s="20">
        <f>tbl_Budget[[#This Row],[Actual]]-tbl_Budget[[#This Row],[Budget]]</f>
        <v>-3480.9599999999991</v>
      </c>
      <c r="M1365" s="3">
        <f>tbl_Budget[[#This Row],[Variance]]/tbl_Budget[[#This Row],[Budget]]</f>
        <v>-5.9293084091709261E-2</v>
      </c>
      <c r="N1365" t="str">
        <f>IF(tbl_Budget[[#This Row],[Variance_%]]&gt;0.05,"Overspend",IF(tbl_Budget[[#This Row],[Variance_%]]&lt;-0.05,"Underspend","On Budget"))</f>
        <v>Underspend</v>
      </c>
    </row>
    <row r="1366" spans="1:14" hidden="1">
      <c r="A1366" s="1">
        <v>45323</v>
      </c>
      <c r="B1366">
        <v>2</v>
      </c>
      <c r="C1366" t="s">
        <v>32</v>
      </c>
      <c r="D1366" t="s">
        <v>55</v>
      </c>
      <c r="E1366">
        <v>2024</v>
      </c>
      <c r="F1366" t="s">
        <v>28</v>
      </c>
      <c r="G1366" t="s">
        <v>20</v>
      </c>
      <c r="H1366" t="s">
        <v>15</v>
      </c>
      <c r="I1366" t="s">
        <v>29</v>
      </c>
      <c r="J1366">
        <v>21557.78</v>
      </c>
      <c r="K1366">
        <v>21844.74</v>
      </c>
      <c r="L1366" s="20">
        <f>tbl_Budget[[#This Row],[Actual]]-tbl_Budget[[#This Row],[Budget]]</f>
        <v>286.96000000000276</v>
      </c>
      <c r="M1366" s="3">
        <f>tbl_Budget[[#This Row],[Variance]]/tbl_Budget[[#This Row],[Budget]]</f>
        <v>1.3311203658261786E-2</v>
      </c>
      <c r="N1366" t="str">
        <f>IF(tbl_Budget[[#This Row],[Variance_%]]&gt;0.05,"Overspend",IF(tbl_Budget[[#This Row],[Variance_%]]&lt;-0.05,"Underspend","On Budget"))</f>
        <v>On Budget</v>
      </c>
    </row>
    <row r="1367" spans="1:14" hidden="1">
      <c r="A1367" s="1">
        <v>45323</v>
      </c>
      <c r="B1367">
        <v>2</v>
      </c>
      <c r="C1367" t="s">
        <v>32</v>
      </c>
      <c r="D1367" t="s">
        <v>55</v>
      </c>
      <c r="E1367">
        <v>2024</v>
      </c>
      <c r="F1367" t="s">
        <v>28</v>
      </c>
      <c r="G1367" t="s">
        <v>20</v>
      </c>
      <c r="H1367" t="s">
        <v>17</v>
      </c>
      <c r="I1367" t="s">
        <v>29</v>
      </c>
      <c r="J1367">
        <v>19978.02</v>
      </c>
      <c r="K1367">
        <v>22786.799999999999</v>
      </c>
      <c r="L1367" s="20">
        <f>tbl_Budget[[#This Row],[Actual]]-tbl_Budget[[#This Row],[Budget]]</f>
        <v>2808.7799999999988</v>
      </c>
      <c r="M1367" s="3">
        <f>tbl_Budget[[#This Row],[Variance]]/tbl_Budget[[#This Row],[Budget]]</f>
        <v>0.14059351226998465</v>
      </c>
      <c r="N1367" t="str">
        <f>IF(tbl_Budget[[#This Row],[Variance_%]]&gt;0.05,"Overspend",IF(tbl_Budget[[#This Row],[Variance_%]]&lt;-0.05,"Underspend","On Budget"))</f>
        <v>Overspend</v>
      </c>
    </row>
    <row r="1368" spans="1:14" hidden="1">
      <c r="A1368" s="1">
        <v>45323</v>
      </c>
      <c r="B1368">
        <v>2</v>
      </c>
      <c r="C1368" t="s">
        <v>32</v>
      </c>
      <c r="D1368" t="s">
        <v>55</v>
      </c>
      <c r="E1368">
        <v>2024</v>
      </c>
      <c r="F1368" t="s">
        <v>28</v>
      </c>
      <c r="G1368" t="s">
        <v>20</v>
      </c>
      <c r="H1368" t="s">
        <v>18</v>
      </c>
      <c r="I1368" t="s">
        <v>29</v>
      </c>
      <c r="J1368">
        <v>20946.14</v>
      </c>
      <c r="K1368">
        <v>19412.88</v>
      </c>
      <c r="L1368" s="20">
        <f>tbl_Budget[[#This Row],[Actual]]-tbl_Budget[[#This Row],[Budget]]</f>
        <v>-1533.2599999999984</v>
      </c>
      <c r="M1368" s="3">
        <f>tbl_Budget[[#This Row],[Variance]]/tbl_Budget[[#This Row],[Budget]]</f>
        <v>-7.320012183629053E-2</v>
      </c>
      <c r="N1368" t="str">
        <f>IF(tbl_Budget[[#This Row],[Variance_%]]&gt;0.05,"Overspend",IF(tbl_Budget[[#This Row],[Variance_%]]&lt;-0.05,"Underspend","On Budget"))</f>
        <v>Underspend</v>
      </c>
    </row>
    <row r="1369" spans="1:14" hidden="1">
      <c r="A1369" s="1">
        <v>45323</v>
      </c>
      <c r="B1369">
        <v>2</v>
      </c>
      <c r="C1369" t="s">
        <v>32</v>
      </c>
      <c r="D1369" t="s">
        <v>55</v>
      </c>
      <c r="E1369">
        <v>2024</v>
      </c>
      <c r="F1369" t="s">
        <v>28</v>
      </c>
      <c r="G1369" t="s">
        <v>20</v>
      </c>
      <c r="H1369" t="s">
        <v>19</v>
      </c>
      <c r="I1369" t="s">
        <v>29</v>
      </c>
      <c r="J1369">
        <v>22182.15</v>
      </c>
      <c r="K1369">
        <v>25129.03</v>
      </c>
      <c r="L1369" s="20">
        <f>tbl_Budget[[#This Row],[Actual]]-tbl_Budget[[#This Row],[Budget]]</f>
        <v>2946.8799999999974</v>
      </c>
      <c r="M1369" s="3">
        <f>tbl_Budget[[#This Row],[Variance]]/tbl_Budget[[#This Row],[Budget]]</f>
        <v>0.13284916024821747</v>
      </c>
      <c r="N1369" t="str">
        <f>IF(tbl_Budget[[#This Row],[Variance_%]]&gt;0.05,"Overspend",IF(tbl_Budget[[#This Row],[Variance_%]]&lt;-0.05,"Underspend","On Budget"))</f>
        <v>Overspend</v>
      </c>
    </row>
    <row r="1370" spans="1:14">
      <c r="A1370" s="1">
        <v>45323</v>
      </c>
      <c r="B1370">
        <v>2</v>
      </c>
      <c r="C1370" t="s">
        <v>32</v>
      </c>
      <c r="D1370" t="s">
        <v>55</v>
      </c>
      <c r="E1370">
        <v>2024</v>
      </c>
      <c r="F1370" t="s">
        <v>28</v>
      </c>
      <c r="G1370" t="s">
        <v>21</v>
      </c>
      <c r="H1370" t="s">
        <v>15</v>
      </c>
      <c r="I1370" t="s">
        <v>29</v>
      </c>
      <c r="J1370">
        <v>12272.84</v>
      </c>
      <c r="K1370">
        <v>11421.23</v>
      </c>
      <c r="L1370" s="20">
        <f>tbl_Budget[[#This Row],[Actual]]-tbl_Budget[[#This Row],[Budget]]</f>
        <v>-851.61000000000058</v>
      </c>
      <c r="M1370" s="3">
        <f>tbl_Budget[[#This Row],[Variance]]/tbl_Budget[[#This Row],[Budget]]</f>
        <v>-6.9389807086216435E-2</v>
      </c>
      <c r="N1370" t="str">
        <f>IF(tbl_Budget[[#This Row],[Variance_%]]&gt;0.05,"Overspend",IF(tbl_Budget[[#This Row],[Variance_%]]&lt;-0.05,"Underspend","On Budget"))</f>
        <v>Underspend</v>
      </c>
    </row>
    <row r="1371" spans="1:14">
      <c r="A1371" s="1">
        <v>45323</v>
      </c>
      <c r="B1371">
        <v>2</v>
      </c>
      <c r="C1371" t="s">
        <v>32</v>
      </c>
      <c r="D1371" t="s">
        <v>55</v>
      </c>
      <c r="E1371">
        <v>2024</v>
      </c>
      <c r="F1371" t="s">
        <v>28</v>
      </c>
      <c r="G1371" t="s">
        <v>21</v>
      </c>
      <c r="H1371" t="s">
        <v>17</v>
      </c>
      <c r="I1371" t="s">
        <v>29</v>
      </c>
      <c r="J1371">
        <v>11514.06</v>
      </c>
      <c r="K1371">
        <v>11869.17</v>
      </c>
      <c r="L1371" s="20">
        <f>tbl_Budget[[#This Row],[Actual]]-tbl_Budget[[#This Row],[Budget]]</f>
        <v>355.11000000000058</v>
      </c>
      <c r="M1371" s="3">
        <f>tbl_Budget[[#This Row],[Variance]]/tbl_Budget[[#This Row],[Budget]]</f>
        <v>3.0841423442295818E-2</v>
      </c>
      <c r="N1371" t="str">
        <f>IF(tbl_Budget[[#This Row],[Variance_%]]&gt;0.05,"Overspend",IF(tbl_Budget[[#This Row],[Variance_%]]&lt;-0.05,"Underspend","On Budget"))</f>
        <v>On Budget</v>
      </c>
    </row>
    <row r="1372" spans="1:14">
      <c r="A1372" s="1">
        <v>45323</v>
      </c>
      <c r="B1372">
        <v>2</v>
      </c>
      <c r="C1372" t="s">
        <v>32</v>
      </c>
      <c r="D1372" t="s">
        <v>55</v>
      </c>
      <c r="E1372">
        <v>2024</v>
      </c>
      <c r="F1372" t="s">
        <v>28</v>
      </c>
      <c r="G1372" t="s">
        <v>21</v>
      </c>
      <c r="H1372" t="s">
        <v>18</v>
      </c>
      <c r="I1372" t="s">
        <v>29</v>
      </c>
      <c r="J1372">
        <v>12144.58</v>
      </c>
      <c r="K1372">
        <v>13322.07</v>
      </c>
      <c r="L1372" s="20">
        <f>tbl_Budget[[#This Row],[Actual]]-tbl_Budget[[#This Row],[Budget]]</f>
        <v>1177.4899999999998</v>
      </c>
      <c r="M1372" s="3">
        <f>tbl_Budget[[#This Row],[Variance]]/tbl_Budget[[#This Row],[Budget]]</f>
        <v>9.6956008359284529E-2</v>
      </c>
      <c r="N1372" t="str">
        <f>IF(tbl_Budget[[#This Row],[Variance_%]]&gt;0.05,"Overspend",IF(tbl_Budget[[#This Row],[Variance_%]]&lt;-0.05,"Underspend","On Budget"))</f>
        <v>Overspend</v>
      </c>
    </row>
    <row r="1373" spans="1:14">
      <c r="A1373" s="1">
        <v>45323</v>
      </c>
      <c r="B1373">
        <v>2</v>
      </c>
      <c r="C1373" t="s">
        <v>32</v>
      </c>
      <c r="D1373" t="s">
        <v>55</v>
      </c>
      <c r="E1373">
        <v>2024</v>
      </c>
      <c r="F1373" t="s">
        <v>28</v>
      </c>
      <c r="G1373" t="s">
        <v>21</v>
      </c>
      <c r="H1373" t="s">
        <v>19</v>
      </c>
      <c r="I1373" t="s">
        <v>29</v>
      </c>
      <c r="J1373">
        <v>12488.71</v>
      </c>
      <c r="K1373">
        <v>13909.09</v>
      </c>
      <c r="L1373" s="20">
        <f>tbl_Budget[[#This Row],[Actual]]-tbl_Budget[[#This Row],[Budget]]</f>
        <v>1420.380000000001</v>
      </c>
      <c r="M1373" s="3">
        <f>tbl_Budget[[#This Row],[Variance]]/tbl_Budget[[#This Row],[Budget]]</f>
        <v>0.11373312375737775</v>
      </c>
      <c r="N1373" t="str">
        <f>IF(tbl_Budget[[#This Row],[Variance_%]]&gt;0.05,"Overspend",IF(tbl_Budget[[#This Row],[Variance_%]]&lt;-0.05,"Underspend","On Budget"))</f>
        <v>Overspend</v>
      </c>
    </row>
    <row r="1374" spans="1:14" hidden="1">
      <c r="A1374" s="1">
        <v>45323</v>
      </c>
      <c r="B1374">
        <v>2</v>
      </c>
      <c r="C1374" t="s">
        <v>32</v>
      </c>
      <c r="D1374" t="s">
        <v>55</v>
      </c>
      <c r="E1374">
        <v>2024</v>
      </c>
      <c r="F1374" t="s">
        <v>28</v>
      </c>
      <c r="G1374" t="s">
        <v>22</v>
      </c>
      <c r="H1374" t="s">
        <v>15</v>
      </c>
      <c r="I1374" t="s">
        <v>29</v>
      </c>
      <c r="J1374">
        <v>12865.78</v>
      </c>
      <c r="K1374">
        <v>15169.95</v>
      </c>
      <c r="L1374" s="20">
        <f>tbl_Budget[[#This Row],[Actual]]-tbl_Budget[[#This Row],[Budget]]</f>
        <v>2304.17</v>
      </c>
      <c r="M1374" s="3">
        <f>tbl_Budget[[#This Row],[Variance]]/tbl_Budget[[#This Row],[Budget]]</f>
        <v>0.17909291158406251</v>
      </c>
      <c r="N1374" t="str">
        <f>IF(tbl_Budget[[#This Row],[Variance_%]]&gt;0.05,"Overspend",IF(tbl_Budget[[#This Row],[Variance_%]]&lt;-0.05,"Underspend","On Budget"))</f>
        <v>Overspend</v>
      </c>
    </row>
    <row r="1375" spans="1:14" hidden="1">
      <c r="A1375" s="1">
        <v>45323</v>
      </c>
      <c r="B1375">
        <v>2</v>
      </c>
      <c r="C1375" t="s">
        <v>32</v>
      </c>
      <c r="D1375" t="s">
        <v>55</v>
      </c>
      <c r="E1375">
        <v>2024</v>
      </c>
      <c r="F1375" t="s">
        <v>28</v>
      </c>
      <c r="G1375" t="s">
        <v>22</v>
      </c>
      <c r="H1375" t="s">
        <v>17</v>
      </c>
      <c r="I1375" t="s">
        <v>29</v>
      </c>
      <c r="J1375">
        <v>12450.66</v>
      </c>
      <c r="K1375">
        <v>13497.77</v>
      </c>
      <c r="L1375" s="20">
        <f>tbl_Budget[[#This Row],[Actual]]-tbl_Budget[[#This Row],[Budget]]</f>
        <v>1047.1100000000006</v>
      </c>
      <c r="M1375" s="3">
        <f>tbl_Budget[[#This Row],[Variance]]/tbl_Budget[[#This Row],[Budget]]</f>
        <v>8.4100762529857903E-2</v>
      </c>
      <c r="N1375" t="str">
        <f>IF(tbl_Budget[[#This Row],[Variance_%]]&gt;0.05,"Overspend",IF(tbl_Budget[[#This Row],[Variance_%]]&lt;-0.05,"Underspend","On Budget"))</f>
        <v>Overspend</v>
      </c>
    </row>
    <row r="1376" spans="1:14" hidden="1">
      <c r="A1376" s="1">
        <v>45323</v>
      </c>
      <c r="B1376">
        <v>2</v>
      </c>
      <c r="C1376" t="s">
        <v>32</v>
      </c>
      <c r="D1376" t="s">
        <v>55</v>
      </c>
      <c r="E1376">
        <v>2024</v>
      </c>
      <c r="F1376" t="s">
        <v>28</v>
      </c>
      <c r="G1376" t="s">
        <v>22</v>
      </c>
      <c r="H1376" t="s">
        <v>18</v>
      </c>
      <c r="I1376" t="s">
        <v>29</v>
      </c>
      <c r="J1376">
        <v>12556.32</v>
      </c>
      <c r="K1376">
        <v>12851.17</v>
      </c>
      <c r="L1376" s="20">
        <f>tbl_Budget[[#This Row],[Actual]]-tbl_Budget[[#This Row],[Budget]]</f>
        <v>294.85000000000036</v>
      </c>
      <c r="M1376" s="3">
        <f>tbl_Budget[[#This Row],[Variance]]/tbl_Budget[[#This Row],[Budget]]</f>
        <v>2.3482198605961013E-2</v>
      </c>
      <c r="N1376" t="str">
        <f>IF(tbl_Budget[[#This Row],[Variance_%]]&gt;0.05,"Overspend",IF(tbl_Budget[[#This Row],[Variance_%]]&lt;-0.05,"Underspend","On Budget"))</f>
        <v>On Budget</v>
      </c>
    </row>
    <row r="1377" spans="1:14" hidden="1">
      <c r="A1377" s="1">
        <v>45323</v>
      </c>
      <c r="B1377">
        <v>2</v>
      </c>
      <c r="C1377" t="s">
        <v>32</v>
      </c>
      <c r="D1377" t="s">
        <v>55</v>
      </c>
      <c r="E1377">
        <v>2024</v>
      </c>
      <c r="F1377" t="s">
        <v>28</v>
      </c>
      <c r="G1377" t="s">
        <v>22</v>
      </c>
      <c r="H1377" t="s">
        <v>19</v>
      </c>
      <c r="I1377" t="s">
        <v>29</v>
      </c>
      <c r="J1377">
        <v>13520.82</v>
      </c>
      <c r="K1377">
        <v>11990.03</v>
      </c>
      <c r="L1377" s="20">
        <f>tbl_Budget[[#This Row],[Actual]]-tbl_Budget[[#This Row],[Budget]]</f>
        <v>-1530.7899999999991</v>
      </c>
      <c r="M1377" s="3">
        <f>tbl_Budget[[#This Row],[Variance]]/tbl_Budget[[#This Row],[Budget]]</f>
        <v>-0.11321724569959507</v>
      </c>
      <c r="N1377" t="str">
        <f>IF(tbl_Budget[[#This Row],[Variance_%]]&gt;0.05,"Overspend",IF(tbl_Budget[[#This Row],[Variance_%]]&lt;-0.05,"Underspend","On Budget"))</f>
        <v>Underspend</v>
      </c>
    </row>
    <row r="1378" spans="1:14" hidden="1">
      <c r="A1378" s="1">
        <v>45323</v>
      </c>
      <c r="B1378">
        <v>2</v>
      </c>
      <c r="C1378" t="s">
        <v>32</v>
      </c>
      <c r="D1378" t="s">
        <v>55</v>
      </c>
      <c r="E1378">
        <v>2024</v>
      </c>
      <c r="F1378" t="s">
        <v>28</v>
      </c>
      <c r="G1378" t="s">
        <v>23</v>
      </c>
      <c r="H1378" t="s">
        <v>15</v>
      </c>
      <c r="I1378" t="s">
        <v>29</v>
      </c>
      <c r="J1378">
        <v>7904.8</v>
      </c>
      <c r="K1378">
        <v>7978.35</v>
      </c>
      <c r="L1378" s="20">
        <f>tbl_Budget[[#This Row],[Actual]]-tbl_Budget[[#This Row],[Budget]]</f>
        <v>73.550000000000182</v>
      </c>
      <c r="M1378" s="3">
        <f>tbl_Budget[[#This Row],[Variance]]/tbl_Budget[[#This Row],[Budget]]</f>
        <v>9.3044732314543285E-3</v>
      </c>
      <c r="N1378" t="str">
        <f>IF(tbl_Budget[[#This Row],[Variance_%]]&gt;0.05,"Overspend",IF(tbl_Budget[[#This Row],[Variance_%]]&lt;-0.05,"Underspend","On Budget"))</f>
        <v>On Budget</v>
      </c>
    </row>
    <row r="1379" spans="1:14" hidden="1">
      <c r="A1379" s="1">
        <v>45323</v>
      </c>
      <c r="B1379">
        <v>2</v>
      </c>
      <c r="C1379" t="s">
        <v>32</v>
      </c>
      <c r="D1379" t="s">
        <v>55</v>
      </c>
      <c r="E1379">
        <v>2024</v>
      </c>
      <c r="F1379" t="s">
        <v>28</v>
      </c>
      <c r="G1379" t="s">
        <v>23</v>
      </c>
      <c r="H1379" t="s">
        <v>17</v>
      </c>
      <c r="I1379" t="s">
        <v>29</v>
      </c>
      <c r="J1379">
        <v>7824.05</v>
      </c>
      <c r="K1379">
        <v>8166.11</v>
      </c>
      <c r="L1379" s="20">
        <f>tbl_Budget[[#This Row],[Actual]]-tbl_Budget[[#This Row],[Budget]]</f>
        <v>342.05999999999949</v>
      </c>
      <c r="M1379" s="3">
        <f>tbl_Budget[[#This Row],[Variance]]/tbl_Budget[[#This Row],[Budget]]</f>
        <v>4.3719045762744289E-2</v>
      </c>
      <c r="N1379" t="str">
        <f>IF(tbl_Budget[[#This Row],[Variance_%]]&gt;0.05,"Overspend",IF(tbl_Budget[[#This Row],[Variance_%]]&lt;-0.05,"Underspend","On Budget"))</f>
        <v>On Budget</v>
      </c>
    </row>
    <row r="1380" spans="1:14" hidden="1">
      <c r="A1380" s="1">
        <v>45323</v>
      </c>
      <c r="B1380">
        <v>2</v>
      </c>
      <c r="C1380" t="s">
        <v>32</v>
      </c>
      <c r="D1380" t="s">
        <v>55</v>
      </c>
      <c r="E1380">
        <v>2024</v>
      </c>
      <c r="F1380" t="s">
        <v>28</v>
      </c>
      <c r="G1380" t="s">
        <v>23</v>
      </c>
      <c r="H1380" t="s">
        <v>18</v>
      </c>
      <c r="I1380" t="s">
        <v>29</v>
      </c>
      <c r="J1380">
        <v>7773.91</v>
      </c>
      <c r="K1380">
        <v>7915.98</v>
      </c>
      <c r="L1380" s="20">
        <f>tbl_Budget[[#This Row],[Actual]]-tbl_Budget[[#This Row],[Budget]]</f>
        <v>142.06999999999971</v>
      </c>
      <c r="M1380" s="3">
        <f>tbl_Budget[[#This Row],[Variance]]/tbl_Budget[[#This Row],[Budget]]</f>
        <v>1.8275230868378938E-2</v>
      </c>
      <c r="N1380" t="str">
        <f>IF(tbl_Budget[[#This Row],[Variance_%]]&gt;0.05,"Overspend",IF(tbl_Budget[[#This Row],[Variance_%]]&lt;-0.05,"Underspend","On Budget"))</f>
        <v>On Budget</v>
      </c>
    </row>
    <row r="1381" spans="1:14" hidden="1">
      <c r="A1381" s="1">
        <v>45323</v>
      </c>
      <c r="B1381">
        <v>2</v>
      </c>
      <c r="C1381" t="s">
        <v>32</v>
      </c>
      <c r="D1381" t="s">
        <v>55</v>
      </c>
      <c r="E1381">
        <v>2024</v>
      </c>
      <c r="F1381" t="s">
        <v>28</v>
      </c>
      <c r="G1381" t="s">
        <v>23</v>
      </c>
      <c r="H1381" t="s">
        <v>19</v>
      </c>
      <c r="I1381" t="s">
        <v>29</v>
      </c>
      <c r="J1381">
        <v>8623.98</v>
      </c>
      <c r="K1381">
        <v>7836.76</v>
      </c>
      <c r="L1381" s="20">
        <f>tbl_Budget[[#This Row],[Actual]]-tbl_Budget[[#This Row],[Budget]]</f>
        <v>-787.21999999999935</v>
      </c>
      <c r="M1381" s="3">
        <f>tbl_Budget[[#This Row],[Variance]]/tbl_Budget[[#This Row],[Budget]]</f>
        <v>-9.1282679226992569E-2</v>
      </c>
      <c r="N1381" t="str">
        <f>IF(tbl_Budget[[#This Row],[Variance_%]]&gt;0.05,"Overspend",IF(tbl_Budget[[#This Row],[Variance_%]]&lt;-0.05,"Underspend","On Budget"))</f>
        <v>Underspend</v>
      </c>
    </row>
    <row r="1382" spans="1:14" hidden="1">
      <c r="A1382" s="1">
        <v>45323</v>
      </c>
      <c r="B1382">
        <v>2</v>
      </c>
      <c r="C1382" t="s">
        <v>32</v>
      </c>
      <c r="D1382" t="s">
        <v>55</v>
      </c>
      <c r="E1382">
        <v>2024</v>
      </c>
      <c r="F1382" t="s">
        <v>30</v>
      </c>
      <c r="G1382" t="s">
        <v>14</v>
      </c>
      <c r="H1382" t="s">
        <v>15</v>
      </c>
      <c r="I1382" t="s">
        <v>31</v>
      </c>
      <c r="J1382">
        <v>44636.15</v>
      </c>
      <c r="K1382">
        <v>45640.37</v>
      </c>
      <c r="L1382" s="20">
        <f>tbl_Budget[[#This Row],[Actual]]-tbl_Budget[[#This Row],[Budget]]</f>
        <v>1004.2200000000012</v>
      </c>
      <c r="M1382" s="3">
        <f>tbl_Budget[[#This Row],[Variance]]/tbl_Budget[[#This Row],[Budget]]</f>
        <v>2.2497908085710821E-2</v>
      </c>
      <c r="N1382" t="str">
        <f>IF(tbl_Budget[[#This Row],[Variance_%]]&gt;0.05,"Overspend",IF(tbl_Budget[[#This Row],[Variance_%]]&lt;-0.05,"Underspend","On Budget"))</f>
        <v>On Budget</v>
      </c>
    </row>
    <row r="1383" spans="1:14" hidden="1">
      <c r="A1383" s="1">
        <v>45323</v>
      </c>
      <c r="B1383">
        <v>2</v>
      </c>
      <c r="C1383" t="s">
        <v>32</v>
      </c>
      <c r="D1383" t="s">
        <v>55</v>
      </c>
      <c r="E1383">
        <v>2024</v>
      </c>
      <c r="F1383" t="s">
        <v>30</v>
      </c>
      <c r="G1383" t="s">
        <v>14</v>
      </c>
      <c r="H1383" t="s">
        <v>17</v>
      </c>
      <c r="I1383" t="s">
        <v>31</v>
      </c>
      <c r="J1383">
        <v>43531.3</v>
      </c>
      <c r="K1383">
        <v>44826.94</v>
      </c>
      <c r="L1383" s="20">
        <f>tbl_Budget[[#This Row],[Actual]]-tbl_Budget[[#This Row],[Budget]]</f>
        <v>1295.6399999999994</v>
      </c>
      <c r="M1383" s="3">
        <f>tbl_Budget[[#This Row],[Variance]]/tbl_Budget[[#This Row],[Budget]]</f>
        <v>2.9763411614171856E-2</v>
      </c>
      <c r="N1383" t="str">
        <f>IF(tbl_Budget[[#This Row],[Variance_%]]&gt;0.05,"Overspend",IF(tbl_Budget[[#This Row],[Variance_%]]&lt;-0.05,"Underspend","On Budget"))</f>
        <v>On Budget</v>
      </c>
    </row>
    <row r="1384" spans="1:14" hidden="1">
      <c r="A1384" s="1">
        <v>45323</v>
      </c>
      <c r="B1384">
        <v>2</v>
      </c>
      <c r="C1384" t="s">
        <v>32</v>
      </c>
      <c r="D1384" t="s">
        <v>55</v>
      </c>
      <c r="E1384">
        <v>2024</v>
      </c>
      <c r="F1384" t="s">
        <v>30</v>
      </c>
      <c r="G1384" t="s">
        <v>14</v>
      </c>
      <c r="H1384" t="s">
        <v>18</v>
      </c>
      <c r="I1384" t="s">
        <v>31</v>
      </c>
      <c r="J1384">
        <v>43296.39</v>
      </c>
      <c r="K1384">
        <v>41355.99</v>
      </c>
      <c r="L1384" s="20">
        <f>tbl_Budget[[#This Row],[Actual]]-tbl_Budget[[#This Row],[Budget]]</f>
        <v>-1940.4000000000015</v>
      </c>
      <c r="M1384" s="3">
        <f>tbl_Budget[[#This Row],[Variance]]/tbl_Budget[[#This Row],[Budget]]</f>
        <v>-4.4816669472905281E-2</v>
      </c>
      <c r="N1384" t="str">
        <f>IF(tbl_Budget[[#This Row],[Variance_%]]&gt;0.05,"Overspend",IF(tbl_Budget[[#This Row],[Variance_%]]&lt;-0.05,"Underspend","On Budget"))</f>
        <v>On Budget</v>
      </c>
    </row>
    <row r="1385" spans="1:14" hidden="1">
      <c r="A1385" s="1">
        <v>45323</v>
      </c>
      <c r="B1385">
        <v>2</v>
      </c>
      <c r="C1385" t="s">
        <v>32</v>
      </c>
      <c r="D1385" t="s">
        <v>55</v>
      </c>
      <c r="E1385">
        <v>2024</v>
      </c>
      <c r="F1385" t="s">
        <v>30</v>
      </c>
      <c r="G1385" t="s">
        <v>14</v>
      </c>
      <c r="H1385" t="s">
        <v>19</v>
      </c>
      <c r="I1385" t="s">
        <v>31</v>
      </c>
      <c r="J1385">
        <v>46362.33</v>
      </c>
      <c r="K1385">
        <v>47150.67</v>
      </c>
      <c r="L1385" s="20">
        <f>tbl_Budget[[#This Row],[Actual]]-tbl_Budget[[#This Row],[Budget]]</f>
        <v>788.33999999999651</v>
      </c>
      <c r="M1385" s="3">
        <f>tbl_Budget[[#This Row],[Variance]]/tbl_Budget[[#This Row],[Budget]]</f>
        <v>1.7003890874336913E-2</v>
      </c>
      <c r="N1385" t="str">
        <f>IF(tbl_Budget[[#This Row],[Variance_%]]&gt;0.05,"Overspend",IF(tbl_Budget[[#This Row],[Variance_%]]&lt;-0.05,"Underspend","On Budget"))</f>
        <v>On Budget</v>
      </c>
    </row>
    <row r="1386" spans="1:14" hidden="1">
      <c r="A1386" s="1">
        <v>45323</v>
      </c>
      <c r="B1386">
        <v>2</v>
      </c>
      <c r="C1386" t="s">
        <v>32</v>
      </c>
      <c r="D1386" t="s">
        <v>55</v>
      </c>
      <c r="E1386">
        <v>2024</v>
      </c>
      <c r="F1386" t="s">
        <v>30</v>
      </c>
      <c r="G1386" t="s">
        <v>20</v>
      </c>
      <c r="H1386" t="s">
        <v>15</v>
      </c>
      <c r="I1386" t="s">
        <v>31</v>
      </c>
      <c r="J1386">
        <v>17257.990000000002</v>
      </c>
      <c r="K1386">
        <v>16613.36</v>
      </c>
      <c r="L1386" s="20">
        <f>tbl_Budget[[#This Row],[Actual]]-tbl_Budget[[#This Row],[Budget]]</f>
        <v>-644.63000000000102</v>
      </c>
      <c r="M1386" s="3">
        <f>tbl_Budget[[#This Row],[Variance]]/tbl_Budget[[#This Row],[Budget]]</f>
        <v>-3.735255380261554E-2</v>
      </c>
      <c r="N1386" t="str">
        <f>IF(tbl_Budget[[#This Row],[Variance_%]]&gt;0.05,"Overspend",IF(tbl_Budget[[#This Row],[Variance_%]]&lt;-0.05,"Underspend","On Budget"))</f>
        <v>On Budget</v>
      </c>
    </row>
    <row r="1387" spans="1:14" hidden="1">
      <c r="A1387" s="1">
        <v>45323</v>
      </c>
      <c r="B1387">
        <v>2</v>
      </c>
      <c r="C1387" t="s">
        <v>32</v>
      </c>
      <c r="D1387" t="s">
        <v>55</v>
      </c>
      <c r="E1387">
        <v>2024</v>
      </c>
      <c r="F1387" t="s">
        <v>30</v>
      </c>
      <c r="G1387" t="s">
        <v>20</v>
      </c>
      <c r="H1387" t="s">
        <v>17</v>
      </c>
      <c r="I1387" t="s">
        <v>31</v>
      </c>
      <c r="J1387">
        <v>16159.5</v>
      </c>
      <c r="K1387">
        <v>16307.66</v>
      </c>
      <c r="L1387" s="20">
        <f>tbl_Budget[[#This Row],[Actual]]-tbl_Budget[[#This Row],[Budget]]</f>
        <v>148.15999999999985</v>
      </c>
      <c r="M1387" s="3">
        <f>tbl_Budget[[#This Row],[Variance]]/tbl_Budget[[#This Row],[Budget]]</f>
        <v>9.1686005136297436E-3</v>
      </c>
      <c r="N1387" t="str">
        <f>IF(tbl_Budget[[#This Row],[Variance_%]]&gt;0.05,"Overspend",IF(tbl_Budget[[#This Row],[Variance_%]]&lt;-0.05,"Underspend","On Budget"))</f>
        <v>On Budget</v>
      </c>
    </row>
    <row r="1388" spans="1:14" hidden="1">
      <c r="A1388" s="1">
        <v>45323</v>
      </c>
      <c r="B1388">
        <v>2</v>
      </c>
      <c r="C1388" t="s">
        <v>32</v>
      </c>
      <c r="D1388" t="s">
        <v>55</v>
      </c>
      <c r="E1388">
        <v>2024</v>
      </c>
      <c r="F1388" t="s">
        <v>30</v>
      </c>
      <c r="G1388" t="s">
        <v>20</v>
      </c>
      <c r="H1388" t="s">
        <v>18</v>
      </c>
      <c r="I1388" t="s">
        <v>31</v>
      </c>
      <c r="J1388">
        <v>17286.28</v>
      </c>
      <c r="K1388">
        <v>17493.189999999999</v>
      </c>
      <c r="L1388" s="20">
        <f>tbl_Budget[[#This Row],[Actual]]-tbl_Budget[[#This Row],[Budget]]</f>
        <v>206.90999999999985</v>
      </c>
      <c r="M1388" s="3">
        <f>tbl_Budget[[#This Row],[Variance]]/tbl_Budget[[#This Row],[Budget]]</f>
        <v>1.1969608267365787E-2</v>
      </c>
      <c r="N1388" t="str">
        <f>IF(tbl_Budget[[#This Row],[Variance_%]]&gt;0.05,"Overspend",IF(tbl_Budget[[#This Row],[Variance_%]]&lt;-0.05,"Underspend","On Budget"))</f>
        <v>On Budget</v>
      </c>
    </row>
    <row r="1389" spans="1:14" hidden="1">
      <c r="A1389" s="1">
        <v>45323</v>
      </c>
      <c r="B1389">
        <v>2</v>
      </c>
      <c r="C1389" t="s">
        <v>32</v>
      </c>
      <c r="D1389" t="s">
        <v>55</v>
      </c>
      <c r="E1389">
        <v>2024</v>
      </c>
      <c r="F1389" t="s">
        <v>30</v>
      </c>
      <c r="G1389" t="s">
        <v>20</v>
      </c>
      <c r="H1389" t="s">
        <v>19</v>
      </c>
      <c r="I1389" t="s">
        <v>31</v>
      </c>
      <c r="J1389">
        <v>17458.57</v>
      </c>
      <c r="K1389">
        <v>17050.34</v>
      </c>
      <c r="L1389" s="20">
        <f>tbl_Budget[[#This Row],[Actual]]-tbl_Budget[[#This Row],[Budget]]</f>
        <v>-408.22999999999956</v>
      </c>
      <c r="M1389" s="3">
        <f>tbl_Budget[[#This Row],[Variance]]/tbl_Budget[[#This Row],[Budget]]</f>
        <v>-2.3382785646247062E-2</v>
      </c>
      <c r="N1389" t="str">
        <f>IF(tbl_Budget[[#This Row],[Variance_%]]&gt;0.05,"Overspend",IF(tbl_Budget[[#This Row],[Variance_%]]&lt;-0.05,"Underspend","On Budget"))</f>
        <v>On Budget</v>
      </c>
    </row>
    <row r="1390" spans="1:14">
      <c r="A1390" s="1">
        <v>45323</v>
      </c>
      <c r="B1390">
        <v>2</v>
      </c>
      <c r="C1390" t="s">
        <v>32</v>
      </c>
      <c r="D1390" t="s">
        <v>55</v>
      </c>
      <c r="E1390">
        <v>2024</v>
      </c>
      <c r="F1390" t="s">
        <v>30</v>
      </c>
      <c r="G1390" t="s">
        <v>21</v>
      </c>
      <c r="H1390" t="s">
        <v>15</v>
      </c>
      <c r="I1390" t="s">
        <v>31</v>
      </c>
      <c r="J1390">
        <v>7179.52</v>
      </c>
      <c r="K1390">
        <v>7462.51</v>
      </c>
      <c r="L1390" s="20">
        <f>tbl_Budget[[#This Row],[Actual]]-tbl_Budget[[#This Row],[Budget]]</f>
        <v>282.98999999999978</v>
      </c>
      <c r="M1390" s="3">
        <f>tbl_Budget[[#This Row],[Variance]]/tbl_Budget[[#This Row],[Budget]]</f>
        <v>3.9416284096986949E-2</v>
      </c>
      <c r="N1390" t="str">
        <f>IF(tbl_Budget[[#This Row],[Variance_%]]&gt;0.05,"Overspend",IF(tbl_Budget[[#This Row],[Variance_%]]&lt;-0.05,"Underspend","On Budget"))</f>
        <v>On Budget</v>
      </c>
    </row>
    <row r="1391" spans="1:14">
      <c r="A1391" s="1">
        <v>45323</v>
      </c>
      <c r="B1391">
        <v>2</v>
      </c>
      <c r="C1391" t="s">
        <v>32</v>
      </c>
      <c r="D1391" t="s">
        <v>55</v>
      </c>
      <c r="E1391">
        <v>2024</v>
      </c>
      <c r="F1391" t="s">
        <v>30</v>
      </c>
      <c r="G1391" t="s">
        <v>21</v>
      </c>
      <c r="H1391" t="s">
        <v>17</v>
      </c>
      <c r="I1391" t="s">
        <v>31</v>
      </c>
      <c r="J1391">
        <v>6813.51</v>
      </c>
      <c r="K1391">
        <v>6818.65</v>
      </c>
      <c r="L1391" s="20">
        <f>tbl_Budget[[#This Row],[Actual]]-tbl_Budget[[#This Row],[Budget]]</f>
        <v>5.1399999999994179</v>
      </c>
      <c r="M1391" s="3">
        <f>tbl_Budget[[#This Row],[Variance]]/tbl_Budget[[#This Row],[Budget]]</f>
        <v>7.543835702889432E-4</v>
      </c>
      <c r="N1391" t="str">
        <f>IF(tbl_Budget[[#This Row],[Variance_%]]&gt;0.05,"Overspend",IF(tbl_Budget[[#This Row],[Variance_%]]&lt;-0.05,"Underspend","On Budget"))</f>
        <v>On Budget</v>
      </c>
    </row>
    <row r="1392" spans="1:14">
      <c r="A1392" s="1">
        <v>45323</v>
      </c>
      <c r="B1392">
        <v>2</v>
      </c>
      <c r="C1392" t="s">
        <v>32</v>
      </c>
      <c r="D1392" t="s">
        <v>55</v>
      </c>
      <c r="E1392">
        <v>2024</v>
      </c>
      <c r="F1392" t="s">
        <v>30</v>
      </c>
      <c r="G1392" t="s">
        <v>21</v>
      </c>
      <c r="H1392" t="s">
        <v>18</v>
      </c>
      <c r="I1392" t="s">
        <v>31</v>
      </c>
      <c r="J1392">
        <v>7292.78</v>
      </c>
      <c r="K1392">
        <v>6984.33</v>
      </c>
      <c r="L1392" s="20">
        <f>tbl_Budget[[#This Row],[Actual]]-tbl_Budget[[#This Row],[Budget]]</f>
        <v>-308.44999999999982</v>
      </c>
      <c r="M1392" s="3">
        <f>tbl_Budget[[#This Row],[Variance]]/tbl_Budget[[#This Row],[Budget]]</f>
        <v>-4.229525640427928E-2</v>
      </c>
      <c r="N1392" t="str">
        <f>IF(tbl_Budget[[#This Row],[Variance_%]]&gt;0.05,"Overspend",IF(tbl_Budget[[#This Row],[Variance_%]]&lt;-0.05,"Underspend","On Budget"))</f>
        <v>On Budget</v>
      </c>
    </row>
    <row r="1393" spans="1:14">
      <c r="A1393" s="1">
        <v>45323</v>
      </c>
      <c r="B1393">
        <v>2</v>
      </c>
      <c r="C1393" t="s">
        <v>32</v>
      </c>
      <c r="D1393" t="s">
        <v>55</v>
      </c>
      <c r="E1393">
        <v>2024</v>
      </c>
      <c r="F1393" t="s">
        <v>30</v>
      </c>
      <c r="G1393" t="s">
        <v>21</v>
      </c>
      <c r="H1393" t="s">
        <v>19</v>
      </c>
      <c r="I1393" t="s">
        <v>31</v>
      </c>
      <c r="J1393">
        <v>7710.78</v>
      </c>
      <c r="K1393">
        <v>7328.62</v>
      </c>
      <c r="L1393" s="20">
        <f>tbl_Budget[[#This Row],[Actual]]-tbl_Budget[[#This Row],[Budget]]</f>
        <v>-382.15999999999985</v>
      </c>
      <c r="M1393" s="3">
        <f>tbl_Budget[[#This Row],[Variance]]/tbl_Budget[[#This Row],[Budget]]</f>
        <v>-4.9561782335898558E-2</v>
      </c>
      <c r="N1393" t="str">
        <f>IF(tbl_Budget[[#This Row],[Variance_%]]&gt;0.05,"Overspend",IF(tbl_Budget[[#This Row],[Variance_%]]&lt;-0.05,"Underspend","On Budget"))</f>
        <v>On Budget</v>
      </c>
    </row>
    <row r="1394" spans="1:14" hidden="1">
      <c r="A1394" s="1">
        <v>45323</v>
      </c>
      <c r="B1394">
        <v>2</v>
      </c>
      <c r="C1394" t="s">
        <v>32</v>
      </c>
      <c r="D1394" t="s">
        <v>55</v>
      </c>
      <c r="E1394">
        <v>2024</v>
      </c>
      <c r="F1394" t="s">
        <v>30</v>
      </c>
      <c r="G1394" t="s">
        <v>22</v>
      </c>
      <c r="H1394" t="s">
        <v>15</v>
      </c>
      <c r="I1394" t="s">
        <v>31</v>
      </c>
      <c r="J1394">
        <v>7520.81</v>
      </c>
      <c r="K1394">
        <v>7803.46</v>
      </c>
      <c r="L1394" s="20">
        <f>tbl_Budget[[#This Row],[Actual]]-tbl_Budget[[#This Row],[Budget]]</f>
        <v>282.64999999999964</v>
      </c>
      <c r="M1394" s="3">
        <f>tbl_Budget[[#This Row],[Variance]]/tbl_Budget[[#This Row],[Budget]]</f>
        <v>3.7582388067242706E-2</v>
      </c>
      <c r="N1394" t="str">
        <f>IF(tbl_Budget[[#This Row],[Variance_%]]&gt;0.05,"Overspend",IF(tbl_Budget[[#This Row],[Variance_%]]&lt;-0.05,"Underspend","On Budget"))</f>
        <v>On Budget</v>
      </c>
    </row>
    <row r="1395" spans="1:14" hidden="1">
      <c r="A1395" s="1">
        <v>45323</v>
      </c>
      <c r="B1395">
        <v>2</v>
      </c>
      <c r="C1395" t="s">
        <v>32</v>
      </c>
      <c r="D1395" t="s">
        <v>55</v>
      </c>
      <c r="E1395">
        <v>2024</v>
      </c>
      <c r="F1395" t="s">
        <v>30</v>
      </c>
      <c r="G1395" t="s">
        <v>22</v>
      </c>
      <c r="H1395" t="s">
        <v>17</v>
      </c>
      <c r="I1395" t="s">
        <v>31</v>
      </c>
      <c r="J1395">
        <v>7272.89</v>
      </c>
      <c r="K1395">
        <v>7527.8</v>
      </c>
      <c r="L1395" s="20">
        <f>tbl_Budget[[#This Row],[Actual]]-tbl_Budget[[#This Row],[Budget]]</f>
        <v>254.90999999999985</v>
      </c>
      <c r="M1395" s="3">
        <f>tbl_Budget[[#This Row],[Variance]]/tbl_Budget[[#This Row],[Budget]]</f>
        <v>3.5049340771000227E-2</v>
      </c>
      <c r="N1395" t="str">
        <f>IF(tbl_Budget[[#This Row],[Variance_%]]&gt;0.05,"Overspend",IF(tbl_Budget[[#This Row],[Variance_%]]&lt;-0.05,"Underspend","On Budget"))</f>
        <v>On Budget</v>
      </c>
    </row>
    <row r="1396" spans="1:14" hidden="1">
      <c r="A1396" s="1">
        <v>45323</v>
      </c>
      <c r="B1396">
        <v>2</v>
      </c>
      <c r="C1396" t="s">
        <v>32</v>
      </c>
      <c r="D1396" t="s">
        <v>55</v>
      </c>
      <c r="E1396">
        <v>2024</v>
      </c>
      <c r="F1396" t="s">
        <v>30</v>
      </c>
      <c r="G1396" t="s">
        <v>22</v>
      </c>
      <c r="H1396" t="s">
        <v>18</v>
      </c>
      <c r="I1396" t="s">
        <v>31</v>
      </c>
      <c r="J1396">
        <v>7342.34</v>
      </c>
      <c r="K1396">
        <v>7380.84</v>
      </c>
      <c r="L1396" s="20">
        <f>tbl_Budget[[#This Row],[Actual]]-tbl_Budget[[#This Row],[Budget]]</f>
        <v>38.5</v>
      </c>
      <c r="M1396" s="3">
        <f>tbl_Budget[[#This Row],[Variance]]/tbl_Budget[[#This Row],[Budget]]</f>
        <v>5.2435599550007218E-3</v>
      </c>
      <c r="N1396" t="str">
        <f>IF(tbl_Budget[[#This Row],[Variance_%]]&gt;0.05,"Overspend",IF(tbl_Budget[[#This Row],[Variance_%]]&lt;-0.05,"Underspend","On Budget"))</f>
        <v>On Budget</v>
      </c>
    </row>
    <row r="1397" spans="1:14" hidden="1">
      <c r="A1397" s="1">
        <v>45323</v>
      </c>
      <c r="B1397">
        <v>2</v>
      </c>
      <c r="C1397" t="s">
        <v>32</v>
      </c>
      <c r="D1397" t="s">
        <v>55</v>
      </c>
      <c r="E1397">
        <v>2024</v>
      </c>
      <c r="F1397" t="s">
        <v>30</v>
      </c>
      <c r="G1397" t="s">
        <v>22</v>
      </c>
      <c r="H1397" t="s">
        <v>19</v>
      </c>
      <c r="I1397" t="s">
        <v>31</v>
      </c>
      <c r="J1397">
        <v>7755.78</v>
      </c>
      <c r="K1397">
        <v>7953.75</v>
      </c>
      <c r="L1397" s="20">
        <f>tbl_Budget[[#This Row],[Actual]]-tbl_Budget[[#This Row],[Budget]]</f>
        <v>197.97000000000025</v>
      </c>
      <c r="M1397" s="3">
        <f>tbl_Budget[[#This Row],[Variance]]/tbl_Budget[[#This Row],[Budget]]</f>
        <v>2.5525479062067293E-2</v>
      </c>
      <c r="N1397" t="str">
        <f>IF(tbl_Budget[[#This Row],[Variance_%]]&gt;0.05,"Overspend",IF(tbl_Budget[[#This Row],[Variance_%]]&lt;-0.05,"Underspend","On Budget"))</f>
        <v>On Budget</v>
      </c>
    </row>
    <row r="1398" spans="1:14" hidden="1">
      <c r="A1398" s="1">
        <v>45323</v>
      </c>
      <c r="B1398">
        <v>2</v>
      </c>
      <c r="C1398" t="s">
        <v>32</v>
      </c>
      <c r="D1398" t="s">
        <v>55</v>
      </c>
      <c r="E1398">
        <v>2024</v>
      </c>
      <c r="F1398" t="s">
        <v>30</v>
      </c>
      <c r="G1398" t="s">
        <v>23</v>
      </c>
      <c r="H1398" t="s">
        <v>15</v>
      </c>
      <c r="I1398" t="s">
        <v>31</v>
      </c>
      <c r="J1398">
        <v>6372.98</v>
      </c>
      <c r="K1398">
        <v>6543.32</v>
      </c>
      <c r="L1398" s="20">
        <f>tbl_Budget[[#This Row],[Actual]]-tbl_Budget[[#This Row],[Budget]]</f>
        <v>170.34000000000015</v>
      </c>
      <c r="M1398" s="3">
        <f>tbl_Budget[[#This Row],[Variance]]/tbl_Budget[[#This Row],[Budget]]</f>
        <v>2.6728469256140794E-2</v>
      </c>
      <c r="N1398" t="str">
        <f>IF(tbl_Budget[[#This Row],[Variance_%]]&gt;0.05,"Overspend",IF(tbl_Budget[[#This Row],[Variance_%]]&lt;-0.05,"Underspend","On Budget"))</f>
        <v>On Budget</v>
      </c>
    </row>
    <row r="1399" spans="1:14" hidden="1">
      <c r="A1399" s="1">
        <v>45323</v>
      </c>
      <c r="B1399">
        <v>2</v>
      </c>
      <c r="C1399" t="s">
        <v>32</v>
      </c>
      <c r="D1399" t="s">
        <v>55</v>
      </c>
      <c r="E1399">
        <v>2024</v>
      </c>
      <c r="F1399" t="s">
        <v>30</v>
      </c>
      <c r="G1399" t="s">
        <v>23</v>
      </c>
      <c r="H1399" t="s">
        <v>17</v>
      </c>
      <c r="I1399" t="s">
        <v>31</v>
      </c>
      <c r="J1399">
        <v>6046.59</v>
      </c>
      <c r="K1399">
        <v>5860.79</v>
      </c>
      <c r="L1399" s="20">
        <f>tbl_Budget[[#This Row],[Actual]]-tbl_Budget[[#This Row],[Budget]]</f>
        <v>-185.80000000000018</v>
      </c>
      <c r="M1399" s="3">
        <f>tbl_Budget[[#This Row],[Variance]]/tbl_Budget[[#This Row],[Budget]]</f>
        <v>-3.0728063255487832E-2</v>
      </c>
      <c r="N1399" t="str">
        <f>IF(tbl_Budget[[#This Row],[Variance_%]]&gt;0.05,"Overspend",IF(tbl_Budget[[#This Row],[Variance_%]]&lt;-0.05,"Underspend","On Budget"))</f>
        <v>On Budget</v>
      </c>
    </row>
    <row r="1400" spans="1:14" hidden="1">
      <c r="A1400" s="1">
        <v>45323</v>
      </c>
      <c r="B1400">
        <v>2</v>
      </c>
      <c r="C1400" t="s">
        <v>32</v>
      </c>
      <c r="D1400" t="s">
        <v>55</v>
      </c>
      <c r="E1400">
        <v>2024</v>
      </c>
      <c r="F1400" t="s">
        <v>30</v>
      </c>
      <c r="G1400" t="s">
        <v>23</v>
      </c>
      <c r="H1400" t="s">
        <v>18</v>
      </c>
      <c r="I1400" t="s">
        <v>31</v>
      </c>
      <c r="J1400">
        <v>6433.31</v>
      </c>
      <c r="K1400">
        <v>6099.28</v>
      </c>
      <c r="L1400" s="20">
        <f>tbl_Budget[[#This Row],[Actual]]-tbl_Budget[[#This Row],[Budget]]</f>
        <v>-334.03000000000065</v>
      </c>
      <c r="M1400" s="3">
        <f>tbl_Budget[[#This Row],[Variance]]/tbl_Budget[[#This Row],[Budget]]</f>
        <v>-5.1921949975984469E-2</v>
      </c>
      <c r="N1400" t="str">
        <f>IF(tbl_Budget[[#This Row],[Variance_%]]&gt;0.05,"Overspend",IF(tbl_Budget[[#This Row],[Variance_%]]&lt;-0.05,"Underspend","On Budget"))</f>
        <v>Underspend</v>
      </c>
    </row>
    <row r="1401" spans="1:14" hidden="1">
      <c r="A1401" s="1">
        <v>45323</v>
      </c>
      <c r="B1401">
        <v>2</v>
      </c>
      <c r="C1401" t="s">
        <v>32</v>
      </c>
      <c r="D1401" t="s">
        <v>55</v>
      </c>
      <c r="E1401">
        <v>2024</v>
      </c>
      <c r="F1401" t="s">
        <v>30</v>
      </c>
      <c r="G1401" t="s">
        <v>23</v>
      </c>
      <c r="H1401" t="s">
        <v>19</v>
      </c>
      <c r="I1401" t="s">
        <v>31</v>
      </c>
      <c r="J1401">
        <v>6729.47</v>
      </c>
      <c r="K1401">
        <v>7005.36</v>
      </c>
      <c r="L1401" s="20">
        <f>tbl_Budget[[#This Row],[Actual]]-tbl_Budget[[#This Row],[Budget]]</f>
        <v>275.88999999999942</v>
      </c>
      <c r="M1401" s="3">
        <f>tbl_Budget[[#This Row],[Variance]]/tbl_Budget[[#This Row],[Budget]]</f>
        <v>4.0997285075941997E-2</v>
      </c>
      <c r="N1401" t="str">
        <f>IF(tbl_Budget[[#This Row],[Variance_%]]&gt;0.05,"Overspend",IF(tbl_Budget[[#This Row],[Variance_%]]&lt;-0.05,"Underspend","On Budget"))</f>
        <v>On Budget</v>
      </c>
    </row>
    <row r="1402" spans="1:14" hidden="1">
      <c r="A1402" s="1">
        <v>45352</v>
      </c>
      <c r="B1402">
        <v>3</v>
      </c>
      <c r="C1402" t="s">
        <v>34</v>
      </c>
      <c r="D1402" t="s">
        <v>56</v>
      </c>
      <c r="E1402">
        <v>2024</v>
      </c>
      <c r="F1402" t="s">
        <v>13</v>
      </c>
      <c r="G1402" t="s">
        <v>14</v>
      </c>
      <c r="H1402" t="s">
        <v>15</v>
      </c>
      <c r="I1402" t="s">
        <v>16</v>
      </c>
      <c r="J1402">
        <v>52674.3</v>
      </c>
      <c r="K1402">
        <v>62345.94</v>
      </c>
      <c r="L1402" s="20">
        <f>tbl_Budget[[#This Row],[Actual]]-tbl_Budget[[#This Row],[Budget]]</f>
        <v>9671.64</v>
      </c>
      <c r="M1402" s="3">
        <f>tbl_Budget[[#This Row],[Variance]]/tbl_Budget[[#This Row],[Budget]]</f>
        <v>0.18361212204053967</v>
      </c>
      <c r="N1402" t="str">
        <f>IF(tbl_Budget[[#This Row],[Variance_%]]&gt;0.05,"Overspend",IF(tbl_Budget[[#This Row],[Variance_%]]&lt;-0.05,"Underspend","On Budget"))</f>
        <v>Overspend</v>
      </c>
    </row>
    <row r="1403" spans="1:14" hidden="1">
      <c r="A1403" s="1">
        <v>45352</v>
      </c>
      <c r="B1403">
        <v>3</v>
      </c>
      <c r="C1403" t="s">
        <v>34</v>
      </c>
      <c r="D1403" t="s">
        <v>56</v>
      </c>
      <c r="E1403">
        <v>2024</v>
      </c>
      <c r="F1403" t="s">
        <v>13</v>
      </c>
      <c r="G1403" t="s">
        <v>14</v>
      </c>
      <c r="H1403" t="s">
        <v>17</v>
      </c>
      <c r="I1403" t="s">
        <v>16</v>
      </c>
      <c r="J1403">
        <v>49701.09</v>
      </c>
      <c r="K1403">
        <v>58093.77</v>
      </c>
      <c r="L1403" s="20">
        <f>tbl_Budget[[#This Row],[Actual]]-tbl_Budget[[#This Row],[Budget]]</f>
        <v>8392.68</v>
      </c>
      <c r="M1403" s="3">
        <f>tbl_Budget[[#This Row],[Variance]]/tbl_Budget[[#This Row],[Budget]]</f>
        <v>0.16886309736868951</v>
      </c>
      <c r="N1403" t="str">
        <f>IF(tbl_Budget[[#This Row],[Variance_%]]&gt;0.05,"Overspend",IF(tbl_Budget[[#This Row],[Variance_%]]&lt;-0.05,"Underspend","On Budget"))</f>
        <v>Overspend</v>
      </c>
    </row>
    <row r="1404" spans="1:14" hidden="1">
      <c r="A1404" s="1">
        <v>45352</v>
      </c>
      <c r="B1404">
        <v>3</v>
      </c>
      <c r="C1404" t="s">
        <v>34</v>
      </c>
      <c r="D1404" t="s">
        <v>56</v>
      </c>
      <c r="E1404">
        <v>2024</v>
      </c>
      <c r="F1404" t="s">
        <v>13</v>
      </c>
      <c r="G1404" t="s">
        <v>14</v>
      </c>
      <c r="H1404" t="s">
        <v>18</v>
      </c>
      <c r="I1404" t="s">
        <v>16</v>
      </c>
      <c r="J1404">
        <v>49538.76</v>
      </c>
      <c r="K1404">
        <v>58875.63</v>
      </c>
      <c r="L1404" s="20">
        <f>tbl_Budget[[#This Row],[Actual]]-tbl_Budget[[#This Row],[Budget]]</f>
        <v>9336.8699999999953</v>
      </c>
      <c r="M1404" s="3">
        <f>tbl_Budget[[#This Row],[Variance]]/tbl_Budget[[#This Row],[Budget]]</f>
        <v>0.1884760539020354</v>
      </c>
      <c r="N1404" t="str">
        <f>IF(tbl_Budget[[#This Row],[Variance_%]]&gt;0.05,"Overspend",IF(tbl_Budget[[#This Row],[Variance_%]]&lt;-0.05,"Underspend","On Budget"))</f>
        <v>Overspend</v>
      </c>
    </row>
    <row r="1405" spans="1:14" hidden="1">
      <c r="A1405" s="1">
        <v>45352</v>
      </c>
      <c r="B1405">
        <v>3</v>
      </c>
      <c r="C1405" t="s">
        <v>34</v>
      </c>
      <c r="D1405" t="s">
        <v>56</v>
      </c>
      <c r="E1405">
        <v>2024</v>
      </c>
      <c r="F1405" t="s">
        <v>13</v>
      </c>
      <c r="G1405" t="s">
        <v>14</v>
      </c>
      <c r="H1405" t="s">
        <v>19</v>
      </c>
      <c r="I1405" t="s">
        <v>16</v>
      </c>
      <c r="J1405">
        <v>54073.73</v>
      </c>
      <c r="K1405">
        <v>64851.16</v>
      </c>
      <c r="L1405" s="20">
        <f>tbl_Budget[[#This Row],[Actual]]-tbl_Budget[[#This Row],[Budget]]</f>
        <v>10777.43</v>
      </c>
      <c r="M1405" s="3">
        <f>tbl_Budget[[#This Row],[Variance]]/tbl_Budget[[#This Row],[Budget]]</f>
        <v>0.19930990519795841</v>
      </c>
      <c r="N1405" t="str">
        <f>IF(tbl_Budget[[#This Row],[Variance_%]]&gt;0.05,"Overspend",IF(tbl_Budget[[#This Row],[Variance_%]]&lt;-0.05,"Underspend","On Budget"))</f>
        <v>Overspend</v>
      </c>
    </row>
    <row r="1406" spans="1:14" hidden="1">
      <c r="A1406" s="1">
        <v>45352</v>
      </c>
      <c r="B1406">
        <v>3</v>
      </c>
      <c r="C1406" t="s">
        <v>34</v>
      </c>
      <c r="D1406" t="s">
        <v>56</v>
      </c>
      <c r="E1406">
        <v>2024</v>
      </c>
      <c r="F1406" t="s">
        <v>13</v>
      </c>
      <c r="G1406" t="s">
        <v>20</v>
      </c>
      <c r="H1406" t="s">
        <v>15</v>
      </c>
      <c r="I1406" t="s">
        <v>16</v>
      </c>
      <c r="J1406">
        <v>19888.009999999998</v>
      </c>
      <c r="K1406">
        <v>23456.03</v>
      </c>
      <c r="L1406" s="20">
        <f>tbl_Budget[[#This Row],[Actual]]-tbl_Budget[[#This Row],[Budget]]</f>
        <v>3568.0200000000004</v>
      </c>
      <c r="M1406" s="3">
        <f>tbl_Budget[[#This Row],[Variance]]/tbl_Budget[[#This Row],[Budget]]</f>
        <v>0.17940558155391118</v>
      </c>
      <c r="N1406" t="str">
        <f>IF(tbl_Budget[[#This Row],[Variance_%]]&gt;0.05,"Overspend",IF(tbl_Budget[[#This Row],[Variance_%]]&lt;-0.05,"Underspend","On Budget"))</f>
        <v>Overspend</v>
      </c>
    </row>
    <row r="1407" spans="1:14" hidden="1">
      <c r="A1407" s="1">
        <v>45352</v>
      </c>
      <c r="B1407">
        <v>3</v>
      </c>
      <c r="C1407" t="s">
        <v>34</v>
      </c>
      <c r="D1407" t="s">
        <v>56</v>
      </c>
      <c r="E1407">
        <v>2024</v>
      </c>
      <c r="F1407" t="s">
        <v>13</v>
      </c>
      <c r="G1407" t="s">
        <v>20</v>
      </c>
      <c r="H1407" t="s">
        <v>17</v>
      </c>
      <c r="I1407" t="s">
        <v>16</v>
      </c>
      <c r="J1407">
        <v>18069.89</v>
      </c>
      <c r="K1407">
        <v>20755.29</v>
      </c>
      <c r="L1407" s="20">
        <f>tbl_Budget[[#This Row],[Actual]]-tbl_Budget[[#This Row],[Budget]]</f>
        <v>2685.4000000000015</v>
      </c>
      <c r="M1407" s="3">
        <f>tbl_Budget[[#This Row],[Variance]]/tbl_Budget[[#This Row],[Budget]]</f>
        <v>0.14861186205339388</v>
      </c>
      <c r="N1407" t="str">
        <f>IF(tbl_Budget[[#This Row],[Variance_%]]&gt;0.05,"Overspend",IF(tbl_Budget[[#This Row],[Variance_%]]&lt;-0.05,"Underspend","On Budget"))</f>
        <v>Overspend</v>
      </c>
    </row>
    <row r="1408" spans="1:14" hidden="1">
      <c r="A1408" s="1">
        <v>45352</v>
      </c>
      <c r="B1408">
        <v>3</v>
      </c>
      <c r="C1408" t="s">
        <v>34</v>
      </c>
      <c r="D1408" t="s">
        <v>56</v>
      </c>
      <c r="E1408">
        <v>2024</v>
      </c>
      <c r="F1408" t="s">
        <v>13</v>
      </c>
      <c r="G1408" t="s">
        <v>20</v>
      </c>
      <c r="H1408" t="s">
        <v>18</v>
      </c>
      <c r="I1408" t="s">
        <v>16</v>
      </c>
      <c r="J1408">
        <v>18719.689999999999</v>
      </c>
      <c r="K1408">
        <v>21686.25</v>
      </c>
      <c r="L1408" s="20">
        <f>tbl_Budget[[#This Row],[Actual]]-tbl_Budget[[#This Row],[Budget]]</f>
        <v>2966.5600000000013</v>
      </c>
      <c r="M1408" s="3">
        <f>tbl_Budget[[#This Row],[Variance]]/tbl_Budget[[#This Row],[Budget]]</f>
        <v>0.15847270975106967</v>
      </c>
      <c r="N1408" t="str">
        <f>IF(tbl_Budget[[#This Row],[Variance_%]]&gt;0.05,"Overspend",IF(tbl_Budget[[#This Row],[Variance_%]]&lt;-0.05,"Underspend","On Budget"))</f>
        <v>Overspend</v>
      </c>
    </row>
    <row r="1409" spans="1:14" hidden="1">
      <c r="A1409" s="1">
        <v>45352</v>
      </c>
      <c r="B1409">
        <v>3</v>
      </c>
      <c r="C1409" t="s">
        <v>34</v>
      </c>
      <c r="D1409" t="s">
        <v>56</v>
      </c>
      <c r="E1409">
        <v>2024</v>
      </c>
      <c r="F1409" t="s">
        <v>13</v>
      </c>
      <c r="G1409" t="s">
        <v>20</v>
      </c>
      <c r="H1409" t="s">
        <v>19</v>
      </c>
      <c r="I1409" t="s">
        <v>16</v>
      </c>
      <c r="J1409">
        <v>20110.72</v>
      </c>
      <c r="K1409">
        <v>23186.67</v>
      </c>
      <c r="L1409" s="20">
        <f>tbl_Budget[[#This Row],[Actual]]-tbl_Budget[[#This Row],[Budget]]</f>
        <v>3075.9499999999971</v>
      </c>
      <c r="M1409" s="3">
        <f>tbl_Budget[[#This Row],[Variance]]/tbl_Budget[[#This Row],[Budget]]</f>
        <v>0.15295076456735496</v>
      </c>
      <c r="N1409" t="str">
        <f>IF(tbl_Budget[[#This Row],[Variance_%]]&gt;0.05,"Overspend",IF(tbl_Budget[[#This Row],[Variance_%]]&lt;-0.05,"Underspend","On Budget"))</f>
        <v>Overspend</v>
      </c>
    </row>
    <row r="1410" spans="1:14">
      <c r="A1410" s="1">
        <v>45352</v>
      </c>
      <c r="B1410">
        <v>3</v>
      </c>
      <c r="C1410" t="s">
        <v>34</v>
      </c>
      <c r="D1410" t="s">
        <v>56</v>
      </c>
      <c r="E1410">
        <v>2024</v>
      </c>
      <c r="F1410" t="s">
        <v>13</v>
      </c>
      <c r="G1410" t="s">
        <v>21</v>
      </c>
      <c r="H1410" t="s">
        <v>15</v>
      </c>
      <c r="I1410" t="s">
        <v>16</v>
      </c>
      <c r="J1410">
        <v>11246.11</v>
      </c>
      <c r="K1410">
        <v>12649.3</v>
      </c>
      <c r="L1410" s="20">
        <f>tbl_Budget[[#This Row],[Actual]]-tbl_Budget[[#This Row],[Budget]]</f>
        <v>1403.1899999999987</v>
      </c>
      <c r="M1410" s="3">
        <f>tbl_Budget[[#This Row],[Variance]]/tbl_Budget[[#This Row],[Budget]]</f>
        <v>0.12477114308858785</v>
      </c>
      <c r="N1410" t="str">
        <f>IF(tbl_Budget[[#This Row],[Variance_%]]&gt;0.05,"Overspend",IF(tbl_Budget[[#This Row],[Variance_%]]&lt;-0.05,"Underspend","On Budget"))</f>
        <v>Overspend</v>
      </c>
    </row>
    <row r="1411" spans="1:14">
      <c r="A1411" s="1">
        <v>45352</v>
      </c>
      <c r="B1411">
        <v>3</v>
      </c>
      <c r="C1411" t="s">
        <v>34</v>
      </c>
      <c r="D1411" t="s">
        <v>56</v>
      </c>
      <c r="E1411">
        <v>2024</v>
      </c>
      <c r="F1411" t="s">
        <v>13</v>
      </c>
      <c r="G1411" t="s">
        <v>21</v>
      </c>
      <c r="H1411" t="s">
        <v>17</v>
      </c>
      <c r="I1411" t="s">
        <v>16</v>
      </c>
      <c r="J1411">
        <v>10273.629999999999</v>
      </c>
      <c r="K1411">
        <v>12348.29</v>
      </c>
      <c r="L1411" s="20">
        <f>tbl_Budget[[#This Row],[Actual]]-tbl_Budget[[#This Row],[Budget]]</f>
        <v>2074.6600000000017</v>
      </c>
      <c r="M1411" s="3">
        <f>tbl_Budget[[#This Row],[Variance]]/tbl_Budget[[#This Row],[Budget]]</f>
        <v>0.20194030736944993</v>
      </c>
      <c r="N1411" t="str">
        <f>IF(tbl_Budget[[#This Row],[Variance_%]]&gt;0.05,"Overspend",IF(tbl_Budget[[#This Row],[Variance_%]]&lt;-0.05,"Underspend","On Budget"))</f>
        <v>Overspend</v>
      </c>
    </row>
    <row r="1412" spans="1:14">
      <c r="A1412" s="1">
        <v>45352</v>
      </c>
      <c r="B1412">
        <v>3</v>
      </c>
      <c r="C1412" t="s">
        <v>34</v>
      </c>
      <c r="D1412" t="s">
        <v>56</v>
      </c>
      <c r="E1412">
        <v>2024</v>
      </c>
      <c r="F1412" t="s">
        <v>13</v>
      </c>
      <c r="G1412" t="s">
        <v>21</v>
      </c>
      <c r="H1412" t="s">
        <v>18</v>
      </c>
      <c r="I1412" t="s">
        <v>16</v>
      </c>
      <c r="J1412">
        <v>10398.799999999999</v>
      </c>
      <c r="K1412">
        <v>11408.74</v>
      </c>
      <c r="L1412" s="20">
        <f>tbl_Budget[[#This Row],[Actual]]-tbl_Budget[[#This Row],[Budget]]</f>
        <v>1009.9400000000005</v>
      </c>
      <c r="M1412" s="3">
        <f>tbl_Budget[[#This Row],[Variance]]/tbl_Budget[[#This Row],[Budget]]</f>
        <v>9.7120821633265436E-2</v>
      </c>
      <c r="N1412" t="str">
        <f>IF(tbl_Budget[[#This Row],[Variance_%]]&gt;0.05,"Overspend",IF(tbl_Budget[[#This Row],[Variance_%]]&lt;-0.05,"Underspend","On Budget"))</f>
        <v>Overspend</v>
      </c>
    </row>
    <row r="1413" spans="1:14">
      <c r="A1413" s="1">
        <v>45352</v>
      </c>
      <c r="B1413">
        <v>3</v>
      </c>
      <c r="C1413" t="s">
        <v>34</v>
      </c>
      <c r="D1413" t="s">
        <v>56</v>
      </c>
      <c r="E1413">
        <v>2024</v>
      </c>
      <c r="F1413" t="s">
        <v>13</v>
      </c>
      <c r="G1413" t="s">
        <v>21</v>
      </c>
      <c r="H1413" t="s">
        <v>19</v>
      </c>
      <c r="I1413" t="s">
        <v>16</v>
      </c>
      <c r="J1413">
        <v>11472.86</v>
      </c>
      <c r="K1413">
        <v>13522.67</v>
      </c>
      <c r="L1413" s="20">
        <f>tbl_Budget[[#This Row],[Actual]]-tbl_Budget[[#This Row],[Budget]]</f>
        <v>2049.8099999999995</v>
      </c>
      <c r="M1413" s="3">
        <f>tbl_Budget[[#This Row],[Variance]]/tbl_Budget[[#This Row],[Budget]]</f>
        <v>0.17866599958510776</v>
      </c>
      <c r="N1413" t="str">
        <f>IF(tbl_Budget[[#This Row],[Variance_%]]&gt;0.05,"Overspend",IF(tbl_Budget[[#This Row],[Variance_%]]&lt;-0.05,"Underspend","On Budget"))</f>
        <v>Overspend</v>
      </c>
    </row>
    <row r="1414" spans="1:14" hidden="1">
      <c r="A1414" s="1">
        <v>45352</v>
      </c>
      <c r="B1414">
        <v>3</v>
      </c>
      <c r="C1414" t="s">
        <v>34</v>
      </c>
      <c r="D1414" t="s">
        <v>56</v>
      </c>
      <c r="E1414">
        <v>2024</v>
      </c>
      <c r="F1414" t="s">
        <v>13</v>
      </c>
      <c r="G1414" t="s">
        <v>22</v>
      </c>
      <c r="H1414" t="s">
        <v>15</v>
      </c>
      <c r="I1414" t="s">
        <v>16</v>
      </c>
      <c r="J1414">
        <v>8515.39</v>
      </c>
      <c r="K1414">
        <v>9875.25</v>
      </c>
      <c r="L1414" s="20">
        <f>tbl_Budget[[#This Row],[Actual]]-tbl_Budget[[#This Row],[Budget]]</f>
        <v>1359.8600000000006</v>
      </c>
      <c r="M1414" s="3">
        <f>tbl_Budget[[#This Row],[Variance]]/tbl_Budget[[#This Row],[Budget]]</f>
        <v>0.15969438863046798</v>
      </c>
      <c r="N1414" t="str">
        <f>IF(tbl_Budget[[#This Row],[Variance_%]]&gt;0.05,"Overspend",IF(tbl_Budget[[#This Row],[Variance_%]]&lt;-0.05,"Underspend","On Budget"))</f>
        <v>Overspend</v>
      </c>
    </row>
    <row r="1415" spans="1:14" hidden="1">
      <c r="A1415" s="1">
        <v>45352</v>
      </c>
      <c r="B1415">
        <v>3</v>
      </c>
      <c r="C1415" t="s">
        <v>34</v>
      </c>
      <c r="D1415" t="s">
        <v>56</v>
      </c>
      <c r="E1415">
        <v>2024</v>
      </c>
      <c r="F1415" t="s">
        <v>13</v>
      </c>
      <c r="G1415" t="s">
        <v>22</v>
      </c>
      <c r="H1415" t="s">
        <v>17</v>
      </c>
      <c r="I1415" t="s">
        <v>16</v>
      </c>
      <c r="J1415">
        <v>8220.65</v>
      </c>
      <c r="K1415">
        <v>9470.89</v>
      </c>
      <c r="L1415" s="20">
        <f>tbl_Budget[[#This Row],[Actual]]-tbl_Budget[[#This Row],[Budget]]</f>
        <v>1250.2399999999998</v>
      </c>
      <c r="M1415" s="3">
        <f>tbl_Budget[[#This Row],[Variance]]/tbl_Budget[[#This Row],[Budget]]</f>
        <v>0.15208529739132548</v>
      </c>
      <c r="N1415" t="str">
        <f>IF(tbl_Budget[[#This Row],[Variance_%]]&gt;0.05,"Overspend",IF(tbl_Budget[[#This Row],[Variance_%]]&lt;-0.05,"Underspend","On Budget"))</f>
        <v>Overspend</v>
      </c>
    </row>
    <row r="1416" spans="1:14" hidden="1">
      <c r="A1416" s="1">
        <v>45352</v>
      </c>
      <c r="B1416">
        <v>3</v>
      </c>
      <c r="C1416" t="s">
        <v>34</v>
      </c>
      <c r="D1416" t="s">
        <v>56</v>
      </c>
      <c r="E1416">
        <v>2024</v>
      </c>
      <c r="F1416" t="s">
        <v>13</v>
      </c>
      <c r="G1416" t="s">
        <v>22</v>
      </c>
      <c r="H1416" t="s">
        <v>18</v>
      </c>
      <c r="I1416" t="s">
        <v>16</v>
      </c>
      <c r="J1416">
        <v>8542.33</v>
      </c>
      <c r="K1416">
        <v>9601.2099999999991</v>
      </c>
      <c r="L1416" s="20">
        <f>tbl_Budget[[#This Row],[Actual]]-tbl_Budget[[#This Row],[Budget]]</f>
        <v>1058.8799999999992</v>
      </c>
      <c r="M1416" s="3">
        <f>tbl_Budget[[#This Row],[Variance]]/tbl_Budget[[#This Row],[Budget]]</f>
        <v>0.12395681271971455</v>
      </c>
      <c r="N1416" t="str">
        <f>IF(tbl_Budget[[#This Row],[Variance_%]]&gt;0.05,"Overspend",IF(tbl_Budget[[#This Row],[Variance_%]]&lt;-0.05,"Underspend","On Budget"))</f>
        <v>Overspend</v>
      </c>
    </row>
    <row r="1417" spans="1:14" hidden="1">
      <c r="A1417" s="1">
        <v>45352</v>
      </c>
      <c r="B1417">
        <v>3</v>
      </c>
      <c r="C1417" t="s">
        <v>34</v>
      </c>
      <c r="D1417" t="s">
        <v>56</v>
      </c>
      <c r="E1417">
        <v>2024</v>
      </c>
      <c r="F1417" t="s">
        <v>13</v>
      </c>
      <c r="G1417" t="s">
        <v>22</v>
      </c>
      <c r="H1417" t="s">
        <v>19</v>
      </c>
      <c r="I1417" t="s">
        <v>16</v>
      </c>
      <c r="J1417">
        <v>8676.1</v>
      </c>
      <c r="K1417">
        <v>9992.7199999999993</v>
      </c>
      <c r="L1417" s="20">
        <f>tbl_Budget[[#This Row],[Actual]]-tbl_Budget[[#This Row],[Budget]]</f>
        <v>1316.619999999999</v>
      </c>
      <c r="M1417" s="3">
        <f>tbl_Budget[[#This Row],[Variance]]/tbl_Budget[[#This Row],[Budget]]</f>
        <v>0.15175251553117172</v>
      </c>
      <c r="N1417" t="str">
        <f>IF(tbl_Budget[[#This Row],[Variance_%]]&gt;0.05,"Overspend",IF(tbl_Budget[[#This Row],[Variance_%]]&lt;-0.05,"Underspend","On Budget"))</f>
        <v>Overspend</v>
      </c>
    </row>
    <row r="1418" spans="1:14" hidden="1">
      <c r="A1418" s="1">
        <v>45352</v>
      </c>
      <c r="B1418">
        <v>3</v>
      </c>
      <c r="C1418" t="s">
        <v>34</v>
      </c>
      <c r="D1418" t="s">
        <v>56</v>
      </c>
      <c r="E1418">
        <v>2024</v>
      </c>
      <c r="F1418" t="s">
        <v>13</v>
      </c>
      <c r="G1418" t="s">
        <v>23</v>
      </c>
      <c r="H1418" t="s">
        <v>15</v>
      </c>
      <c r="I1418" t="s">
        <v>16</v>
      </c>
      <c r="J1418">
        <v>9019.76</v>
      </c>
      <c r="K1418">
        <v>10491.95</v>
      </c>
      <c r="L1418" s="20">
        <f>tbl_Budget[[#This Row],[Actual]]-tbl_Budget[[#This Row],[Budget]]</f>
        <v>1472.1900000000005</v>
      </c>
      <c r="M1418" s="3">
        <f>tbl_Budget[[#This Row],[Variance]]/tbl_Budget[[#This Row],[Budget]]</f>
        <v>0.16321831179543586</v>
      </c>
      <c r="N1418" t="str">
        <f>IF(tbl_Budget[[#This Row],[Variance_%]]&gt;0.05,"Overspend",IF(tbl_Budget[[#This Row],[Variance_%]]&lt;-0.05,"Underspend","On Budget"))</f>
        <v>Overspend</v>
      </c>
    </row>
    <row r="1419" spans="1:14" hidden="1">
      <c r="A1419" s="1">
        <v>45352</v>
      </c>
      <c r="B1419">
        <v>3</v>
      </c>
      <c r="C1419" t="s">
        <v>34</v>
      </c>
      <c r="D1419" t="s">
        <v>56</v>
      </c>
      <c r="E1419">
        <v>2024</v>
      </c>
      <c r="F1419" t="s">
        <v>13</v>
      </c>
      <c r="G1419" t="s">
        <v>23</v>
      </c>
      <c r="H1419" t="s">
        <v>17</v>
      </c>
      <c r="I1419" t="s">
        <v>16</v>
      </c>
      <c r="J1419">
        <v>8510.7000000000007</v>
      </c>
      <c r="K1419">
        <v>9643.1200000000008</v>
      </c>
      <c r="L1419" s="20">
        <f>tbl_Budget[[#This Row],[Actual]]-tbl_Budget[[#This Row],[Budget]]</f>
        <v>1132.42</v>
      </c>
      <c r="M1419" s="3">
        <f>tbl_Budget[[#This Row],[Variance]]/tbl_Budget[[#This Row],[Budget]]</f>
        <v>0.13305838532670639</v>
      </c>
      <c r="N1419" t="str">
        <f>IF(tbl_Budget[[#This Row],[Variance_%]]&gt;0.05,"Overspend",IF(tbl_Budget[[#This Row],[Variance_%]]&lt;-0.05,"Underspend","On Budget"))</f>
        <v>Overspend</v>
      </c>
    </row>
    <row r="1420" spans="1:14" hidden="1">
      <c r="A1420" s="1">
        <v>45352</v>
      </c>
      <c r="B1420">
        <v>3</v>
      </c>
      <c r="C1420" t="s">
        <v>34</v>
      </c>
      <c r="D1420" t="s">
        <v>56</v>
      </c>
      <c r="E1420">
        <v>2024</v>
      </c>
      <c r="F1420" t="s">
        <v>13</v>
      </c>
      <c r="G1420" t="s">
        <v>23</v>
      </c>
      <c r="H1420" t="s">
        <v>18</v>
      </c>
      <c r="I1420" t="s">
        <v>16</v>
      </c>
      <c r="J1420">
        <v>8277.43</v>
      </c>
      <c r="K1420">
        <v>9701.74</v>
      </c>
      <c r="L1420" s="20">
        <f>tbl_Budget[[#This Row],[Actual]]-tbl_Budget[[#This Row],[Budget]]</f>
        <v>1424.3099999999995</v>
      </c>
      <c r="M1420" s="3">
        <f>tbl_Budget[[#This Row],[Variance]]/tbl_Budget[[#This Row],[Budget]]</f>
        <v>0.17207152461573211</v>
      </c>
      <c r="N1420" t="str">
        <f>IF(tbl_Budget[[#This Row],[Variance_%]]&gt;0.05,"Overspend",IF(tbl_Budget[[#This Row],[Variance_%]]&lt;-0.05,"Underspend","On Budget"))</f>
        <v>Overspend</v>
      </c>
    </row>
    <row r="1421" spans="1:14" hidden="1">
      <c r="A1421" s="1">
        <v>45352</v>
      </c>
      <c r="B1421">
        <v>3</v>
      </c>
      <c r="C1421" t="s">
        <v>34</v>
      </c>
      <c r="D1421" t="s">
        <v>56</v>
      </c>
      <c r="E1421">
        <v>2024</v>
      </c>
      <c r="F1421" t="s">
        <v>13</v>
      </c>
      <c r="G1421" t="s">
        <v>23</v>
      </c>
      <c r="H1421" t="s">
        <v>19</v>
      </c>
      <c r="I1421" t="s">
        <v>16</v>
      </c>
      <c r="J1421">
        <v>9286.7199999999993</v>
      </c>
      <c r="K1421">
        <v>10985.45</v>
      </c>
      <c r="L1421" s="20">
        <f>tbl_Budget[[#This Row],[Actual]]-tbl_Budget[[#This Row],[Budget]]</f>
        <v>1698.7300000000014</v>
      </c>
      <c r="M1421" s="3">
        <f>tbl_Budget[[#This Row],[Variance]]/tbl_Budget[[#This Row],[Budget]]</f>
        <v>0.18292034216601788</v>
      </c>
      <c r="N1421" t="str">
        <f>IF(tbl_Budget[[#This Row],[Variance_%]]&gt;0.05,"Overspend",IF(tbl_Budget[[#This Row],[Variance_%]]&lt;-0.05,"Underspend","On Budget"))</f>
        <v>Overspend</v>
      </c>
    </row>
    <row r="1422" spans="1:14" hidden="1">
      <c r="A1422" s="1">
        <v>45352</v>
      </c>
      <c r="B1422">
        <v>3</v>
      </c>
      <c r="C1422" t="s">
        <v>34</v>
      </c>
      <c r="D1422" t="s">
        <v>56</v>
      </c>
      <c r="E1422">
        <v>2024</v>
      </c>
      <c r="F1422" t="s">
        <v>24</v>
      </c>
      <c r="G1422" t="s">
        <v>14</v>
      </c>
      <c r="H1422" t="s">
        <v>15</v>
      </c>
      <c r="I1422" t="s">
        <v>25</v>
      </c>
      <c r="J1422">
        <v>55058.89</v>
      </c>
      <c r="K1422">
        <v>48431.01</v>
      </c>
      <c r="L1422" s="20">
        <f>tbl_Budget[[#This Row],[Actual]]-tbl_Budget[[#This Row],[Budget]]</f>
        <v>-6627.8799999999974</v>
      </c>
      <c r="M1422" s="3">
        <f>tbl_Budget[[#This Row],[Variance]]/tbl_Budget[[#This Row],[Budget]]</f>
        <v>-0.12037801706500072</v>
      </c>
      <c r="N1422" t="str">
        <f>IF(tbl_Budget[[#This Row],[Variance_%]]&gt;0.05,"Overspend",IF(tbl_Budget[[#This Row],[Variance_%]]&lt;-0.05,"Underspend","On Budget"))</f>
        <v>Underspend</v>
      </c>
    </row>
    <row r="1423" spans="1:14" hidden="1">
      <c r="A1423" s="1">
        <v>45352</v>
      </c>
      <c r="B1423">
        <v>3</v>
      </c>
      <c r="C1423" t="s">
        <v>34</v>
      </c>
      <c r="D1423" t="s">
        <v>56</v>
      </c>
      <c r="E1423">
        <v>2024</v>
      </c>
      <c r="F1423" t="s">
        <v>24</v>
      </c>
      <c r="G1423" t="s">
        <v>14</v>
      </c>
      <c r="H1423" t="s">
        <v>17</v>
      </c>
      <c r="I1423" t="s">
        <v>25</v>
      </c>
      <c r="J1423">
        <v>50026.49</v>
      </c>
      <c r="K1423">
        <v>43070.52</v>
      </c>
      <c r="L1423" s="20">
        <f>tbl_Budget[[#This Row],[Actual]]-tbl_Budget[[#This Row],[Budget]]</f>
        <v>-6955.9700000000012</v>
      </c>
      <c r="M1423" s="3">
        <f>tbl_Budget[[#This Row],[Variance]]/tbl_Budget[[#This Row],[Budget]]</f>
        <v>-0.13904573357035446</v>
      </c>
      <c r="N1423" t="str">
        <f>IF(tbl_Budget[[#This Row],[Variance_%]]&gt;0.05,"Overspend",IF(tbl_Budget[[#This Row],[Variance_%]]&lt;-0.05,"Underspend","On Budget"))</f>
        <v>Underspend</v>
      </c>
    </row>
    <row r="1424" spans="1:14" hidden="1">
      <c r="A1424" s="1">
        <v>45352</v>
      </c>
      <c r="B1424">
        <v>3</v>
      </c>
      <c r="C1424" t="s">
        <v>34</v>
      </c>
      <c r="D1424" t="s">
        <v>56</v>
      </c>
      <c r="E1424">
        <v>2024</v>
      </c>
      <c r="F1424" t="s">
        <v>24</v>
      </c>
      <c r="G1424" t="s">
        <v>14</v>
      </c>
      <c r="H1424" t="s">
        <v>18</v>
      </c>
      <c r="I1424" t="s">
        <v>25</v>
      </c>
      <c r="J1424">
        <v>51047.08</v>
      </c>
      <c r="K1424">
        <v>45590.43</v>
      </c>
      <c r="L1424" s="20">
        <f>tbl_Budget[[#This Row],[Actual]]-tbl_Budget[[#This Row],[Budget]]</f>
        <v>-5456.6500000000015</v>
      </c>
      <c r="M1424" s="3">
        <f>tbl_Budget[[#This Row],[Variance]]/tbl_Budget[[#This Row],[Budget]]</f>
        <v>-0.10689445899745884</v>
      </c>
      <c r="N1424" t="str">
        <f>IF(tbl_Budget[[#This Row],[Variance_%]]&gt;0.05,"Overspend",IF(tbl_Budget[[#This Row],[Variance_%]]&lt;-0.05,"Underspend","On Budget"))</f>
        <v>Underspend</v>
      </c>
    </row>
    <row r="1425" spans="1:14" hidden="1">
      <c r="A1425" s="1">
        <v>45352</v>
      </c>
      <c r="B1425">
        <v>3</v>
      </c>
      <c r="C1425" t="s">
        <v>34</v>
      </c>
      <c r="D1425" t="s">
        <v>56</v>
      </c>
      <c r="E1425">
        <v>2024</v>
      </c>
      <c r="F1425" t="s">
        <v>24</v>
      </c>
      <c r="G1425" t="s">
        <v>14</v>
      </c>
      <c r="H1425" t="s">
        <v>19</v>
      </c>
      <c r="I1425" t="s">
        <v>25</v>
      </c>
      <c r="J1425">
        <v>57520.68</v>
      </c>
      <c r="K1425">
        <v>49617.82</v>
      </c>
      <c r="L1425" s="20">
        <f>tbl_Budget[[#This Row],[Actual]]-tbl_Budget[[#This Row],[Budget]]</f>
        <v>-7902.8600000000006</v>
      </c>
      <c r="M1425" s="3">
        <f>tbl_Budget[[#This Row],[Variance]]/tbl_Budget[[#This Row],[Budget]]</f>
        <v>-0.13739163027975332</v>
      </c>
      <c r="N1425" t="str">
        <f>IF(tbl_Budget[[#This Row],[Variance_%]]&gt;0.05,"Overspend",IF(tbl_Budget[[#This Row],[Variance_%]]&lt;-0.05,"Underspend","On Budget"))</f>
        <v>Underspend</v>
      </c>
    </row>
    <row r="1426" spans="1:14" hidden="1">
      <c r="A1426" s="1">
        <v>45352</v>
      </c>
      <c r="B1426">
        <v>3</v>
      </c>
      <c r="C1426" t="s">
        <v>34</v>
      </c>
      <c r="D1426" t="s">
        <v>56</v>
      </c>
      <c r="E1426">
        <v>2024</v>
      </c>
      <c r="F1426" t="s">
        <v>24</v>
      </c>
      <c r="G1426" t="s">
        <v>20</v>
      </c>
      <c r="H1426" t="s">
        <v>15</v>
      </c>
      <c r="I1426" t="s">
        <v>25</v>
      </c>
      <c r="J1426">
        <v>29059.14</v>
      </c>
      <c r="K1426">
        <v>25561.83</v>
      </c>
      <c r="L1426" s="20">
        <f>tbl_Budget[[#This Row],[Actual]]-tbl_Budget[[#This Row],[Budget]]</f>
        <v>-3497.3099999999977</v>
      </c>
      <c r="M1426" s="3">
        <f>tbl_Budget[[#This Row],[Variance]]/tbl_Budget[[#This Row],[Budget]]</f>
        <v>-0.12035146256909178</v>
      </c>
      <c r="N1426" t="str">
        <f>IF(tbl_Budget[[#This Row],[Variance_%]]&gt;0.05,"Overspend",IF(tbl_Budget[[#This Row],[Variance_%]]&lt;-0.05,"Underspend","On Budget"))</f>
        <v>Underspend</v>
      </c>
    </row>
    <row r="1427" spans="1:14" hidden="1">
      <c r="A1427" s="1">
        <v>45352</v>
      </c>
      <c r="B1427">
        <v>3</v>
      </c>
      <c r="C1427" t="s">
        <v>34</v>
      </c>
      <c r="D1427" t="s">
        <v>56</v>
      </c>
      <c r="E1427">
        <v>2024</v>
      </c>
      <c r="F1427" t="s">
        <v>24</v>
      </c>
      <c r="G1427" t="s">
        <v>20</v>
      </c>
      <c r="H1427" t="s">
        <v>17</v>
      </c>
      <c r="I1427" t="s">
        <v>25</v>
      </c>
      <c r="J1427">
        <v>27653.09</v>
      </c>
      <c r="K1427">
        <v>23306.77</v>
      </c>
      <c r="L1427" s="20">
        <f>tbl_Budget[[#This Row],[Actual]]-tbl_Budget[[#This Row],[Budget]]</f>
        <v>-4346.32</v>
      </c>
      <c r="M1427" s="3">
        <f>tbl_Budget[[#This Row],[Variance]]/tbl_Budget[[#This Row],[Budget]]</f>
        <v>-0.15717303201920652</v>
      </c>
      <c r="N1427" t="str">
        <f>IF(tbl_Budget[[#This Row],[Variance_%]]&gt;0.05,"Overspend",IF(tbl_Budget[[#This Row],[Variance_%]]&lt;-0.05,"Underspend","On Budget"))</f>
        <v>Underspend</v>
      </c>
    </row>
    <row r="1428" spans="1:14" hidden="1">
      <c r="A1428" s="1">
        <v>45352</v>
      </c>
      <c r="B1428">
        <v>3</v>
      </c>
      <c r="C1428" t="s">
        <v>34</v>
      </c>
      <c r="D1428" t="s">
        <v>56</v>
      </c>
      <c r="E1428">
        <v>2024</v>
      </c>
      <c r="F1428" t="s">
        <v>24</v>
      </c>
      <c r="G1428" t="s">
        <v>20</v>
      </c>
      <c r="H1428" t="s">
        <v>18</v>
      </c>
      <c r="I1428" t="s">
        <v>25</v>
      </c>
      <c r="J1428">
        <v>28983.759999999998</v>
      </c>
      <c r="K1428">
        <v>25620.01</v>
      </c>
      <c r="L1428" s="20">
        <f>tbl_Budget[[#This Row],[Actual]]-tbl_Budget[[#This Row],[Budget]]</f>
        <v>-3363.75</v>
      </c>
      <c r="M1428" s="3">
        <f>tbl_Budget[[#This Row],[Variance]]/tbl_Budget[[#This Row],[Budget]]</f>
        <v>-0.11605637087803654</v>
      </c>
      <c r="N1428" t="str">
        <f>IF(tbl_Budget[[#This Row],[Variance_%]]&gt;0.05,"Overspend",IF(tbl_Budget[[#This Row],[Variance_%]]&lt;-0.05,"Underspend","On Budget"))</f>
        <v>Underspend</v>
      </c>
    </row>
    <row r="1429" spans="1:14" hidden="1">
      <c r="A1429" s="1">
        <v>45352</v>
      </c>
      <c r="B1429">
        <v>3</v>
      </c>
      <c r="C1429" t="s">
        <v>34</v>
      </c>
      <c r="D1429" t="s">
        <v>56</v>
      </c>
      <c r="E1429">
        <v>2024</v>
      </c>
      <c r="F1429" t="s">
        <v>24</v>
      </c>
      <c r="G1429" t="s">
        <v>20</v>
      </c>
      <c r="H1429" t="s">
        <v>19</v>
      </c>
      <c r="I1429" t="s">
        <v>25</v>
      </c>
      <c r="J1429">
        <v>30293.63</v>
      </c>
      <c r="K1429">
        <v>26469.34</v>
      </c>
      <c r="L1429" s="20">
        <f>tbl_Budget[[#This Row],[Actual]]-tbl_Budget[[#This Row],[Budget]]</f>
        <v>-3824.2900000000009</v>
      </c>
      <c r="M1429" s="3">
        <f>tbl_Budget[[#This Row],[Variance]]/tbl_Budget[[#This Row],[Budget]]</f>
        <v>-0.1262407311372061</v>
      </c>
      <c r="N1429" t="str">
        <f>IF(tbl_Budget[[#This Row],[Variance_%]]&gt;0.05,"Overspend",IF(tbl_Budget[[#This Row],[Variance_%]]&lt;-0.05,"Underspend","On Budget"))</f>
        <v>Underspend</v>
      </c>
    </row>
    <row r="1430" spans="1:14">
      <c r="A1430" s="1">
        <v>45352</v>
      </c>
      <c r="B1430">
        <v>3</v>
      </c>
      <c r="C1430" t="s">
        <v>34</v>
      </c>
      <c r="D1430" t="s">
        <v>56</v>
      </c>
      <c r="E1430">
        <v>2024</v>
      </c>
      <c r="F1430" t="s">
        <v>24</v>
      </c>
      <c r="G1430" t="s">
        <v>21</v>
      </c>
      <c r="H1430" t="s">
        <v>15</v>
      </c>
      <c r="I1430" t="s">
        <v>25</v>
      </c>
      <c r="J1430">
        <v>11733.04</v>
      </c>
      <c r="K1430">
        <v>10586.22</v>
      </c>
      <c r="L1430" s="20">
        <f>tbl_Budget[[#This Row],[Actual]]-tbl_Budget[[#This Row],[Budget]]</f>
        <v>-1146.8200000000015</v>
      </c>
      <c r="M1430" s="3">
        <f>tbl_Budget[[#This Row],[Variance]]/tbl_Budget[[#This Row],[Budget]]</f>
        <v>-9.7742784478702993E-2</v>
      </c>
      <c r="N1430" t="str">
        <f>IF(tbl_Budget[[#This Row],[Variance_%]]&gt;0.05,"Overspend",IF(tbl_Budget[[#This Row],[Variance_%]]&lt;-0.05,"Underspend","On Budget"))</f>
        <v>Underspend</v>
      </c>
    </row>
    <row r="1431" spans="1:14">
      <c r="A1431" s="1">
        <v>45352</v>
      </c>
      <c r="B1431">
        <v>3</v>
      </c>
      <c r="C1431" t="s">
        <v>34</v>
      </c>
      <c r="D1431" t="s">
        <v>56</v>
      </c>
      <c r="E1431">
        <v>2024</v>
      </c>
      <c r="F1431" t="s">
        <v>24</v>
      </c>
      <c r="G1431" t="s">
        <v>21</v>
      </c>
      <c r="H1431" t="s">
        <v>17</v>
      </c>
      <c r="I1431" t="s">
        <v>25</v>
      </c>
      <c r="J1431">
        <v>11260.57</v>
      </c>
      <c r="K1431">
        <v>9929.59</v>
      </c>
      <c r="L1431" s="20">
        <f>tbl_Budget[[#This Row],[Actual]]-tbl_Budget[[#This Row],[Budget]]</f>
        <v>-1330.9799999999996</v>
      </c>
      <c r="M1431" s="3">
        <f>tbl_Budget[[#This Row],[Variance]]/tbl_Budget[[#This Row],[Budget]]</f>
        <v>-0.11819827948318776</v>
      </c>
      <c r="N1431" t="str">
        <f>IF(tbl_Budget[[#This Row],[Variance_%]]&gt;0.05,"Overspend",IF(tbl_Budget[[#This Row],[Variance_%]]&lt;-0.05,"Underspend","On Budget"))</f>
        <v>Underspend</v>
      </c>
    </row>
    <row r="1432" spans="1:14">
      <c r="A1432" s="1">
        <v>45352</v>
      </c>
      <c r="B1432">
        <v>3</v>
      </c>
      <c r="C1432" t="s">
        <v>34</v>
      </c>
      <c r="D1432" t="s">
        <v>56</v>
      </c>
      <c r="E1432">
        <v>2024</v>
      </c>
      <c r="F1432" t="s">
        <v>24</v>
      </c>
      <c r="G1432" t="s">
        <v>21</v>
      </c>
      <c r="H1432" t="s">
        <v>18</v>
      </c>
      <c r="I1432" t="s">
        <v>25</v>
      </c>
      <c r="J1432">
        <v>11022.33</v>
      </c>
      <c r="K1432">
        <v>9435.99</v>
      </c>
      <c r="L1432" s="20">
        <f>tbl_Budget[[#This Row],[Actual]]-tbl_Budget[[#This Row],[Budget]]</f>
        <v>-1586.3400000000001</v>
      </c>
      <c r="M1432" s="3">
        <f>tbl_Budget[[#This Row],[Variance]]/tbl_Budget[[#This Row],[Budget]]</f>
        <v>-0.14392056851863447</v>
      </c>
      <c r="N1432" t="str">
        <f>IF(tbl_Budget[[#This Row],[Variance_%]]&gt;0.05,"Overspend",IF(tbl_Budget[[#This Row],[Variance_%]]&lt;-0.05,"Underspend","On Budget"))</f>
        <v>Underspend</v>
      </c>
    </row>
    <row r="1433" spans="1:14">
      <c r="A1433" s="1">
        <v>45352</v>
      </c>
      <c r="B1433">
        <v>3</v>
      </c>
      <c r="C1433" t="s">
        <v>34</v>
      </c>
      <c r="D1433" t="s">
        <v>56</v>
      </c>
      <c r="E1433">
        <v>2024</v>
      </c>
      <c r="F1433" t="s">
        <v>24</v>
      </c>
      <c r="G1433" t="s">
        <v>21</v>
      </c>
      <c r="H1433" t="s">
        <v>19</v>
      </c>
      <c r="I1433" t="s">
        <v>25</v>
      </c>
      <c r="J1433">
        <v>11699.43</v>
      </c>
      <c r="K1433">
        <v>10506.69</v>
      </c>
      <c r="L1433" s="20">
        <f>tbl_Budget[[#This Row],[Actual]]-tbl_Budget[[#This Row],[Budget]]</f>
        <v>-1192.7399999999998</v>
      </c>
      <c r="M1433" s="3">
        <f>tbl_Budget[[#This Row],[Variance]]/tbl_Budget[[#This Row],[Budget]]</f>
        <v>-0.10194855646813561</v>
      </c>
      <c r="N1433" t="str">
        <f>IF(tbl_Budget[[#This Row],[Variance_%]]&gt;0.05,"Overspend",IF(tbl_Budget[[#This Row],[Variance_%]]&lt;-0.05,"Underspend","On Budget"))</f>
        <v>Underspend</v>
      </c>
    </row>
    <row r="1434" spans="1:14" hidden="1">
      <c r="A1434" s="1">
        <v>45352</v>
      </c>
      <c r="B1434">
        <v>3</v>
      </c>
      <c r="C1434" t="s">
        <v>34</v>
      </c>
      <c r="D1434" t="s">
        <v>56</v>
      </c>
      <c r="E1434">
        <v>2024</v>
      </c>
      <c r="F1434" t="s">
        <v>24</v>
      </c>
      <c r="G1434" t="s">
        <v>22</v>
      </c>
      <c r="H1434" t="s">
        <v>15</v>
      </c>
      <c r="I1434" t="s">
        <v>25</v>
      </c>
      <c r="J1434">
        <v>9245.59</v>
      </c>
      <c r="K1434">
        <v>8001.64</v>
      </c>
      <c r="L1434" s="20">
        <f>tbl_Budget[[#This Row],[Actual]]-tbl_Budget[[#This Row],[Budget]]</f>
        <v>-1243.9499999999998</v>
      </c>
      <c r="M1434" s="3">
        <f>tbl_Budget[[#This Row],[Variance]]/tbl_Budget[[#This Row],[Budget]]</f>
        <v>-0.13454522642686945</v>
      </c>
      <c r="N1434" t="str">
        <f>IF(tbl_Budget[[#This Row],[Variance_%]]&gt;0.05,"Overspend",IF(tbl_Budget[[#This Row],[Variance_%]]&lt;-0.05,"Underspend","On Budget"))</f>
        <v>Underspend</v>
      </c>
    </row>
    <row r="1435" spans="1:14" hidden="1">
      <c r="A1435" s="1">
        <v>45352</v>
      </c>
      <c r="B1435">
        <v>3</v>
      </c>
      <c r="C1435" t="s">
        <v>34</v>
      </c>
      <c r="D1435" t="s">
        <v>56</v>
      </c>
      <c r="E1435">
        <v>2024</v>
      </c>
      <c r="F1435" t="s">
        <v>24</v>
      </c>
      <c r="G1435" t="s">
        <v>22</v>
      </c>
      <c r="H1435" t="s">
        <v>17</v>
      </c>
      <c r="I1435" t="s">
        <v>25</v>
      </c>
      <c r="J1435">
        <v>8688.6</v>
      </c>
      <c r="K1435">
        <v>7497.05</v>
      </c>
      <c r="L1435" s="20">
        <f>tbl_Budget[[#This Row],[Actual]]-tbl_Budget[[#This Row],[Budget]]</f>
        <v>-1191.5500000000002</v>
      </c>
      <c r="M1435" s="3">
        <f>tbl_Budget[[#This Row],[Variance]]/tbl_Budget[[#This Row],[Budget]]</f>
        <v>-0.13713947011025943</v>
      </c>
      <c r="N1435" t="str">
        <f>IF(tbl_Budget[[#This Row],[Variance_%]]&gt;0.05,"Overspend",IF(tbl_Budget[[#This Row],[Variance_%]]&lt;-0.05,"Underspend","On Budget"))</f>
        <v>Underspend</v>
      </c>
    </row>
    <row r="1436" spans="1:14" hidden="1">
      <c r="A1436" s="1">
        <v>45352</v>
      </c>
      <c r="B1436">
        <v>3</v>
      </c>
      <c r="C1436" t="s">
        <v>34</v>
      </c>
      <c r="D1436" t="s">
        <v>56</v>
      </c>
      <c r="E1436">
        <v>2024</v>
      </c>
      <c r="F1436" t="s">
        <v>24</v>
      </c>
      <c r="G1436" t="s">
        <v>22</v>
      </c>
      <c r="H1436" t="s">
        <v>18</v>
      </c>
      <c r="I1436" t="s">
        <v>25</v>
      </c>
      <c r="J1436">
        <v>8822.81</v>
      </c>
      <c r="K1436">
        <v>7970</v>
      </c>
      <c r="L1436" s="20">
        <f>tbl_Budget[[#This Row],[Actual]]-tbl_Budget[[#This Row],[Budget]]</f>
        <v>-852.80999999999949</v>
      </c>
      <c r="M1436" s="3">
        <f>tbl_Budget[[#This Row],[Variance]]/tbl_Budget[[#This Row],[Budget]]</f>
        <v>-9.6659680985989677E-2</v>
      </c>
      <c r="N1436" t="str">
        <f>IF(tbl_Budget[[#This Row],[Variance_%]]&gt;0.05,"Overspend",IF(tbl_Budget[[#This Row],[Variance_%]]&lt;-0.05,"Underspend","On Budget"))</f>
        <v>Underspend</v>
      </c>
    </row>
    <row r="1437" spans="1:14" hidden="1">
      <c r="A1437" s="1">
        <v>45352</v>
      </c>
      <c r="B1437">
        <v>3</v>
      </c>
      <c r="C1437" t="s">
        <v>34</v>
      </c>
      <c r="D1437" t="s">
        <v>56</v>
      </c>
      <c r="E1437">
        <v>2024</v>
      </c>
      <c r="F1437" t="s">
        <v>24</v>
      </c>
      <c r="G1437" t="s">
        <v>22</v>
      </c>
      <c r="H1437" t="s">
        <v>19</v>
      </c>
      <c r="I1437" t="s">
        <v>25</v>
      </c>
      <c r="J1437">
        <v>9136.68</v>
      </c>
      <c r="K1437">
        <v>7997.5</v>
      </c>
      <c r="L1437" s="20">
        <f>tbl_Budget[[#This Row],[Actual]]-tbl_Budget[[#This Row],[Budget]]</f>
        <v>-1139.1800000000003</v>
      </c>
      <c r="M1437" s="3">
        <f>tbl_Budget[[#This Row],[Variance]]/tbl_Budget[[#This Row],[Budget]]</f>
        <v>-0.12468205081057893</v>
      </c>
      <c r="N1437" t="str">
        <f>IF(tbl_Budget[[#This Row],[Variance_%]]&gt;0.05,"Overspend",IF(tbl_Budget[[#This Row],[Variance_%]]&lt;-0.05,"Underspend","On Budget"))</f>
        <v>Underspend</v>
      </c>
    </row>
    <row r="1438" spans="1:14" hidden="1">
      <c r="A1438" s="1">
        <v>45352</v>
      </c>
      <c r="B1438">
        <v>3</v>
      </c>
      <c r="C1438" t="s">
        <v>34</v>
      </c>
      <c r="D1438" t="s">
        <v>56</v>
      </c>
      <c r="E1438">
        <v>2024</v>
      </c>
      <c r="F1438" t="s">
        <v>24</v>
      </c>
      <c r="G1438" t="s">
        <v>23</v>
      </c>
      <c r="H1438" t="s">
        <v>15</v>
      </c>
      <c r="I1438" t="s">
        <v>25</v>
      </c>
      <c r="J1438">
        <v>7551.87</v>
      </c>
      <c r="K1438">
        <v>6553.76</v>
      </c>
      <c r="L1438" s="20">
        <f>tbl_Budget[[#This Row],[Actual]]-tbl_Budget[[#This Row],[Budget]]</f>
        <v>-998.10999999999967</v>
      </c>
      <c r="M1438" s="3">
        <f>tbl_Budget[[#This Row],[Variance]]/tbl_Budget[[#This Row],[Budget]]</f>
        <v>-0.13216726453183114</v>
      </c>
      <c r="N1438" t="str">
        <f>IF(tbl_Budget[[#This Row],[Variance_%]]&gt;0.05,"Overspend",IF(tbl_Budget[[#This Row],[Variance_%]]&lt;-0.05,"Underspend","On Budget"))</f>
        <v>Underspend</v>
      </c>
    </row>
    <row r="1439" spans="1:14" hidden="1">
      <c r="A1439" s="1">
        <v>45352</v>
      </c>
      <c r="B1439">
        <v>3</v>
      </c>
      <c r="C1439" t="s">
        <v>34</v>
      </c>
      <c r="D1439" t="s">
        <v>56</v>
      </c>
      <c r="E1439">
        <v>2024</v>
      </c>
      <c r="F1439" t="s">
        <v>24</v>
      </c>
      <c r="G1439" t="s">
        <v>23</v>
      </c>
      <c r="H1439" t="s">
        <v>17</v>
      </c>
      <c r="I1439" t="s">
        <v>25</v>
      </c>
      <c r="J1439">
        <v>7173.03</v>
      </c>
      <c r="K1439">
        <v>6238.72</v>
      </c>
      <c r="L1439" s="20">
        <f>tbl_Budget[[#This Row],[Actual]]-tbl_Budget[[#This Row],[Budget]]</f>
        <v>-934.30999999999949</v>
      </c>
      <c r="M1439" s="3">
        <f>tbl_Budget[[#This Row],[Variance]]/tbl_Budget[[#This Row],[Budget]]</f>
        <v>-0.1302531844980433</v>
      </c>
      <c r="N1439" t="str">
        <f>IF(tbl_Budget[[#This Row],[Variance_%]]&gt;0.05,"Overspend",IF(tbl_Budget[[#This Row],[Variance_%]]&lt;-0.05,"Underspend","On Budget"))</f>
        <v>Underspend</v>
      </c>
    </row>
    <row r="1440" spans="1:14" hidden="1">
      <c r="A1440" s="1">
        <v>45352</v>
      </c>
      <c r="B1440">
        <v>3</v>
      </c>
      <c r="C1440" t="s">
        <v>34</v>
      </c>
      <c r="D1440" t="s">
        <v>56</v>
      </c>
      <c r="E1440">
        <v>2024</v>
      </c>
      <c r="F1440" t="s">
        <v>24</v>
      </c>
      <c r="G1440" t="s">
        <v>23</v>
      </c>
      <c r="H1440" t="s">
        <v>18</v>
      </c>
      <c r="I1440" t="s">
        <v>25</v>
      </c>
      <c r="J1440">
        <v>7531.43</v>
      </c>
      <c r="K1440">
        <v>6494.53</v>
      </c>
      <c r="L1440" s="20">
        <f>tbl_Budget[[#This Row],[Actual]]-tbl_Budget[[#This Row],[Budget]]</f>
        <v>-1036.9000000000005</v>
      </c>
      <c r="M1440" s="3">
        <f>tbl_Budget[[#This Row],[Variance]]/tbl_Budget[[#This Row],[Budget]]</f>
        <v>-0.13767637752724257</v>
      </c>
      <c r="N1440" t="str">
        <f>IF(tbl_Budget[[#This Row],[Variance_%]]&gt;0.05,"Overspend",IF(tbl_Budget[[#This Row],[Variance_%]]&lt;-0.05,"Underspend","On Budget"))</f>
        <v>Underspend</v>
      </c>
    </row>
    <row r="1441" spans="1:14" hidden="1">
      <c r="A1441" s="1">
        <v>45352</v>
      </c>
      <c r="B1441">
        <v>3</v>
      </c>
      <c r="C1441" t="s">
        <v>34</v>
      </c>
      <c r="D1441" t="s">
        <v>56</v>
      </c>
      <c r="E1441">
        <v>2024</v>
      </c>
      <c r="F1441" t="s">
        <v>24</v>
      </c>
      <c r="G1441" t="s">
        <v>23</v>
      </c>
      <c r="H1441" t="s">
        <v>19</v>
      </c>
      <c r="I1441" t="s">
        <v>25</v>
      </c>
      <c r="J1441">
        <v>7868.53</v>
      </c>
      <c r="K1441">
        <v>6974.15</v>
      </c>
      <c r="L1441" s="20">
        <f>tbl_Budget[[#This Row],[Actual]]-tbl_Budget[[#This Row],[Budget]]</f>
        <v>-894.38000000000011</v>
      </c>
      <c r="M1441" s="3">
        <f>tbl_Budget[[#This Row],[Variance]]/tbl_Budget[[#This Row],[Budget]]</f>
        <v>-0.11366544958206935</v>
      </c>
      <c r="N1441" t="str">
        <f>IF(tbl_Budget[[#This Row],[Variance_%]]&gt;0.05,"Overspend",IF(tbl_Budget[[#This Row],[Variance_%]]&lt;-0.05,"Underspend","On Budget"))</f>
        <v>Underspend</v>
      </c>
    </row>
    <row r="1442" spans="1:14" hidden="1">
      <c r="A1442" s="1">
        <v>45352</v>
      </c>
      <c r="B1442">
        <v>3</v>
      </c>
      <c r="C1442" t="s">
        <v>34</v>
      </c>
      <c r="D1442" t="s">
        <v>56</v>
      </c>
      <c r="E1442">
        <v>2024</v>
      </c>
      <c r="F1442" t="s">
        <v>26</v>
      </c>
      <c r="G1442" t="s">
        <v>14</v>
      </c>
      <c r="H1442" t="s">
        <v>15</v>
      </c>
      <c r="I1442" t="s">
        <v>27</v>
      </c>
      <c r="J1442">
        <v>47223.3</v>
      </c>
      <c r="K1442">
        <v>46456.73</v>
      </c>
      <c r="L1442" s="20">
        <f>tbl_Budget[[#This Row],[Actual]]-tbl_Budget[[#This Row],[Budget]]</f>
        <v>-766.56999999999971</v>
      </c>
      <c r="M1442" s="3">
        <f>tbl_Budget[[#This Row],[Variance]]/tbl_Budget[[#This Row],[Budget]]</f>
        <v>-1.6232876567287752E-2</v>
      </c>
      <c r="N1442" t="str">
        <f>IF(tbl_Budget[[#This Row],[Variance_%]]&gt;0.05,"Overspend",IF(tbl_Budget[[#This Row],[Variance_%]]&lt;-0.05,"Underspend","On Budget"))</f>
        <v>On Budget</v>
      </c>
    </row>
    <row r="1443" spans="1:14" hidden="1">
      <c r="A1443" s="1">
        <v>45352</v>
      </c>
      <c r="B1443">
        <v>3</v>
      </c>
      <c r="C1443" t="s">
        <v>34</v>
      </c>
      <c r="D1443" t="s">
        <v>56</v>
      </c>
      <c r="E1443">
        <v>2024</v>
      </c>
      <c r="F1443" t="s">
        <v>26</v>
      </c>
      <c r="G1443" t="s">
        <v>14</v>
      </c>
      <c r="H1443" t="s">
        <v>17</v>
      </c>
      <c r="I1443" t="s">
        <v>27</v>
      </c>
      <c r="J1443">
        <v>44795.23</v>
      </c>
      <c r="K1443">
        <v>46094.16</v>
      </c>
      <c r="L1443" s="20">
        <f>tbl_Budget[[#This Row],[Actual]]-tbl_Budget[[#This Row],[Budget]]</f>
        <v>1298.9300000000003</v>
      </c>
      <c r="M1443" s="3">
        <f>tbl_Budget[[#This Row],[Variance]]/tbl_Budget[[#This Row],[Budget]]</f>
        <v>2.8997060624535251E-2</v>
      </c>
      <c r="N1443" t="str">
        <f>IF(tbl_Budget[[#This Row],[Variance_%]]&gt;0.05,"Overspend",IF(tbl_Budget[[#This Row],[Variance_%]]&lt;-0.05,"Underspend","On Budget"))</f>
        <v>On Budget</v>
      </c>
    </row>
    <row r="1444" spans="1:14" hidden="1">
      <c r="A1444" s="1">
        <v>45352</v>
      </c>
      <c r="B1444">
        <v>3</v>
      </c>
      <c r="C1444" t="s">
        <v>34</v>
      </c>
      <c r="D1444" t="s">
        <v>56</v>
      </c>
      <c r="E1444">
        <v>2024</v>
      </c>
      <c r="F1444" t="s">
        <v>26</v>
      </c>
      <c r="G1444" t="s">
        <v>14</v>
      </c>
      <c r="H1444" t="s">
        <v>18</v>
      </c>
      <c r="I1444" t="s">
        <v>27</v>
      </c>
      <c r="J1444">
        <v>45246.91</v>
      </c>
      <c r="K1444">
        <v>44503.33</v>
      </c>
      <c r="L1444" s="20">
        <f>tbl_Budget[[#This Row],[Actual]]-tbl_Budget[[#This Row],[Budget]]</f>
        <v>-743.58000000000175</v>
      </c>
      <c r="M1444" s="3">
        <f>tbl_Budget[[#This Row],[Variance]]/tbl_Budget[[#This Row],[Budget]]</f>
        <v>-1.643382940404111E-2</v>
      </c>
      <c r="N1444" t="str">
        <f>IF(tbl_Budget[[#This Row],[Variance_%]]&gt;0.05,"Overspend",IF(tbl_Budget[[#This Row],[Variance_%]]&lt;-0.05,"Underspend","On Budget"))</f>
        <v>On Budget</v>
      </c>
    </row>
    <row r="1445" spans="1:14" hidden="1">
      <c r="A1445" s="1">
        <v>45352</v>
      </c>
      <c r="B1445">
        <v>3</v>
      </c>
      <c r="C1445" t="s">
        <v>34</v>
      </c>
      <c r="D1445" t="s">
        <v>56</v>
      </c>
      <c r="E1445">
        <v>2024</v>
      </c>
      <c r="F1445" t="s">
        <v>26</v>
      </c>
      <c r="G1445" t="s">
        <v>14</v>
      </c>
      <c r="H1445" t="s">
        <v>19</v>
      </c>
      <c r="I1445" t="s">
        <v>27</v>
      </c>
      <c r="J1445">
        <v>49233.59</v>
      </c>
      <c r="K1445">
        <v>48602.1</v>
      </c>
      <c r="L1445" s="20">
        <f>tbl_Budget[[#This Row],[Actual]]-tbl_Budget[[#This Row],[Budget]]</f>
        <v>-631.48999999999796</v>
      </c>
      <c r="M1445" s="3">
        <f>tbl_Budget[[#This Row],[Variance]]/tbl_Budget[[#This Row],[Budget]]</f>
        <v>-1.2826405712035178E-2</v>
      </c>
      <c r="N1445" t="str">
        <f>IF(tbl_Budget[[#This Row],[Variance_%]]&gt;0.05,"Overspend",IF(tbl_Budget[[#This Row],[Variance_%]]&lt;-0.05,"Underspend","On Budget"))</f>
        <v>On Budget</v>
      </c>
    </row>
    <row r="1446" spans="1:14" hidden="1">
      <c r="A1446" s="1">
        <v>45352</v>
      </c>
      <c r="B1446">
        <v>3</v>
      </c>
      <c r="C1446" t="s">
        <v>34</v>
      </c>
      <c r="D1446" t="s">
        <v>56</v>
      </c>
      <c r="E1446">
        <v>2024</v>
      </c>
      <c r="F1446" t="s">
        <v>26</v>
      </c>
      <c r="G1446" t="s">
        <v>20</v>
      </c>
      <c r="H1446" t="s">
        <v>15</v>
      </c>
      <c r="I1446" t="s">
        <v>27</v>
      </c>
      <c r="J1446">
        <v>16059.39</v>
      </c>
      <c r="K1446">
        <v>16161.6</v>
      </c>
      <c r="L1446" s="20">
        <f>tbl_Budget[[#This Row],[Actual]]-tbl_Budget[[#This Row],[Budget]]</f>
        <v>102.21000000000095</v>
      </c>
      <c r="M1446" s="3">
        <f>tbl_Budget[[#This Row],[Variance]]/tbl_Budget[[#This Row],[Budget]]</f>
        <v>6.3645007687092069E-3</v>
      </c>
      <c r="N1446" t="str">
        <f>IF(tbl_Budget[[#This Row],[Variance_%]]&gt;0.05,"Overspend",IF(tbl_Budget[[#This Row],[Variance_%]]&lt;-0.05,"Underspend","On Budget"))</f>
        <v>On Budget</v>
      </c>
    </row>
    <row r="1447" spans="1:14" hidden="1">
      <c r="A1447" s="1">
        <v>45352</v>
      </c>
      <c r="B1447">
        <v>3</v>
      </c>
      <c r="C1447" t="s">
        <v>34</v>
      </c>
      <c r="D1447" t="s">
        <v>56</v>
      </c>
      <c r="E1447">
        <v>2024</v>
      </c>
      <c r="F1447" t="s">
        <v>26</v>
      </c>
      <c r="G1447" t="s">
        <v>20</v>
      </c>
      <c r="H1447" t="s">
        <v>17</v>
      </c>
      <c r="I1447" t="s">
        <v>27</v>
      </c>
      <c r="J1447">
        <v>15206.71</v>
      </c>
      <c r="K1447">
        <v>14991.57</v>
      </c>
      <c r="L1447" s="20">
        <f>tbl_Budget[[#This Row],[Actual]]-tbl_Budget[[#This Row],[Budget]]</f>
        <v>-215.13999999999942</v>
      </c>
      <c r="M1447" s="3">
        <f>tbl_Budget[[#This Row],[Variance]]/tbl_Budget[[#This Row],[Budget]]</f>
        <v>-1.4147701902646886E-2</v>
      </c>
      <c r="N1447" t="str">
        <f>IF(tbl_Budget[[#This Row],[Variance_%]]&gt;0.05,"Overspend",IF(tbl_Budget[[#This Row],[Variance_%]]&lt;-0.05,"Underspend","On Budget"))</f>
        <v>On Budget</v>
      </c>
    </row>
    <row r="1448" spans="1:14" hidden="1">
      <c r="A1448" s="1">
        <v>45352</v>
      </c>
      <c r="B1448">
        <v>3</v>
      </c>
      <c r="C1448" t="s">
        <v>34</v>
      </c>
      <c r="D1448" t="s">
        <v>56</v>
      </c>
      <c r="E1448">
        <v>2024</v>
      </c>
      <c r="F1448" t="s">
        <v>26</v>
      </c>
      <c r="G1448" t="s">
        <v>20</v>
      </c>
      <c r="H1448" t="s">
        <v>18</v>
      </c>
      <c r="I1448" t="s">
        <v>27</v>
      </c>
      <c r="J1448">
        <v>15253.45</v>
      </c>
      <c r="K1448">
        <v>15600.59</v>
      </c>
      <c r="L1448" s="20">
        <f>tbl_Budget[[#This Row],[Actual]]-tbl_Budget[[#This Row],[Budget]]</f>
        <v>347.13999999999942</v>
      </c>
      <c r="M1448" s="3">
        <f>tbl_Budget[[#This Row],[Variance]]/tbl_Budget[[#This Row],[Budget]]</f>
        <v>2.2758130127938231E-2</v>
      </c>
      <c r="N1448" t="str">
        <f>IF(tbl_Budget[[#This Row],[Variance_%]]&gt;0.05,"Overspend",IF(tbl_Budget[[#This Row],[Variance_%]]&lt;-0.05,"Underspend","On Budget"))</f>
        <v>On Budget</v>
      </c>
    </row>
    <row r="1449" spans="1:14" hidden="1">
      <c r="A1449" s="1">
        <v>45352</v>
      </c>
      <c r="B1449">
        <v>3</v>
      </c>
      <c r="C1449" t="s">
        <v>34</v>
      </c>
      <c r="D1449" t="s">
        <v>56</v>
      </c>
      <c r="E1449">
        <v>2024</v>
      </c>
      <c r="F1449" t="s">
        <v>26</v>
      </c>
      <c r="G1449" t="s">
        <v>20</v>
      </c>
      <c r="H1449" t="s">
        <v>19</v>
      </c>
      <c r="I1449" t="s">
        <v>27</v>
      </c>
      <c r="J1449">
        <v>16910.7</v>
      </c>
      <c r="K1449">
        <v>16348.57</v>
      </c>
      <c r="L1449" s="20">
        <f>tbl_Budget[[#This Row],[Actual]]-tbl_Budget[[#This Row],[Budget]]</f>
        <v>-562.13000000000102</v>
      </c>
      <c r="M1449" s="3">
        <f>tbl_Budget[[#This Row],[Variance]]/tbl_Budget[[#This Row],[Budget]]</f>
        <v>-3.3241084047378348E-2</v>
      </c>
      <c r="N1449" t="str">
        <f>IF(tbl_Budget[[#This Row],[Variance_%]]&gt;0.05,"Overspend",IF(tbl_Budget[[#This Row],[Variance_%]]&lt;-0.05,"Underspend","On Budget"))</f>
        <v>On Budget</v>
      </c>
    </row>
    <row r="1450" spans="1:14">
      <c r="A1450" s="1">
        <v>45352</v>
      </c>
      <c r="B1450">
        <v>3</v>
      </c>
      <c r="C1450" t="s">
        <v>34</v>
      </c>
      <c r="D1450" t="s">
        <v>56</v>
      </c>
      <c r="E1450">
        <v>2024</v>
      </c>
      <c r="F1450" t="s">
        <v>26</v>
      </c>
      <c r="G1450" t="s">
        <v>21</v>
      </c>
      <c r="H1450" t="s">
        <v>15</v>
      </c>
      <c r="I1450" t="s">
        <v>27</v>
      </c>
      <c r="J1450">
        <v>9006.02</v>
      </c>
      <c r="K1450">
        <v>9133.59</v>
      </c>
      <c r="L1450" s="20">
        <f>tbl_Budget[[#This Row],[Actual]]-tbl_Budget[[#This Row],[Budget]]</f>
        <v>127.56999999999971</v>
      </c>
      <c r="M1450" s="3">
        <f>tbl_Budget[[#This Row],[Variance]]/tbl_Budget[[#This Row],[Budget]]</f>
        <v>1.4164969653631648E-2</v>
      </c>
      <c r="N1450" t="str">
        <f>IF(tbl_Budget[[#This Row],[Variance_%]]&gt;0.05,"Overspend",IF(tbl_Budget[[#This Row],[Variance_%]]&lt;-0.05,"Underspend","On Budget"))</f>
        <v>On Budget</v>
      </c>
    </row>
    <row r="1451" spans="1:14">
      <c r="A1451" s="1">
        <v>45352</v>
      </c>
      <c r="B1451">
        <v>3</v>
      </c>
      <c r="C1451" t="s">
        <v>34</v>
      </c>
      <c r="D1451" t="s">
        <v>56</v>
      </c>
      <c r="E1451">
        <v>2024</v>
      </c>
      <c r="F1451" t="s">
        <v>26</v>
      </c>
      <c r="G1451" t="s">
        <v>21</v>
      </c>
      <c r="H1451" t="s">
        <v>17</v>
      </c>
      <c r="I1451" t="s">
        <v>27</v>
      </c>
      <c r="J1451">
        <v>8521.07</v>
      </c>
      <c r="K1451">
        <v>8654.16</v>
      </c>
      <c r="L1451" s="20">
        <f>tbl_Budget[[#This Row],[Actual]]-tbl_Budget[[#This Row],[Budget]]</f>
        <v>133.09000000000015</v>
      </c>
      <c r="M1451" s="3">
        <f>tbl_Budget[[#This Row],[Variance]]/tbl_Budget[[#This Row],[Budget]]</f>
        <v>1.5618930486429539E-2</v>
      </c>
      <c r="N1451" t="str">
        <f>IF(tbl_Budget[[#This Row],[Variance_%]]&gt;0.05,"Overspend",IF(tbl_Budget[[#This Row],[Variance_%]]&lt;-0.05,"Underspend","On Budget"))</f>
        <v>On Budget</v>
      </c>
    </row>
    <row r="1452" spans="1:14">
      <c r="A1452" s="1">
        <v>45352</v>
      </c>
      <c r="B1452">
        <v>3</v>
      </c>
      <c r="C1452" t="s">
        <v>34</v>
      </c>
      <c r="D1452" t="s">
        <v>56</v>
      </c>
      <c r="E1452">
        <v>2024</v>
      </c>
      <c r="F1452" t="s">
        <v>26</v>
      </c>
      <c r="G1452" t="s">
        <v>21</v>
      </c>
      <c r="H1452" t="s">
        <v>18</v>
      </c>
      <c r="I1452" t="s">
        <v>27</v>
      </c>
      <c r="J1452">
        <v>8692.69</v>
      </c>
      <c r="K1452">
        <v>8500.2000000000007</v>
      </c>
      <c r="L1452" s="20">
        <f>tbl_Budget[[#This Row],[Actual]]-tbl_Budget[[#This Row],[Budget]]</f>
        <v>-192.48999999999978</v>
      </c>
      <c r="M1452" s="3">
        <f>tbl_Budget[[#This Row],[Variance]]/tbl_Budget[[#This Row],[Budget]]</f>
        <v>-2.2143893317258499E-2</v>
      </c>
      <c r="N1452" t="str">
        <f>IF(tbl_Budget[[#This Row],[Variance_%]]&gt;0.05,"Overspend",IF(tbl_Budget[[#This Row],[Variance_%]]&lt;-0.05,"Underspend","On Budget"))</f>
        <v>On Budget</v>
      </c>
    </row>
    <row r="1453" spans="1:14">
      <c r="A1453" s="1">
        <v>45352</v>
      </c>
      <c r="B1453">
        <v>3</v>
      </c>
      <c r="C1453" t="s">
        <v>34</v>
      </c>
      <c r="D1453" t="s">
        <v>56</v>
      </c>
      <c r="E1453">
        <v>2024</v>
      </c>
      <c r="F1453" t="s">
        <v>26</v>
      </c>
      <c r="G1453" t="s">
        <v>21</v>
      </c>
      <c r="H1453" t="s">
        <v>19</v>
      </c>
      <c r="I1453" t="s">
        <v>27</v>
      </c>
      <c r="J1453">
        <v>9177.1</v>
      </c>
      <c r="K1453">
        <v>9093.09</v>
      </c>
      <c r="L1453" s="20">
        <f>tbl_Budget[[#This Row],[Actual]]-tbl_Budget[[#This Row],[Budget]]</f>
        <v>-84.010000000000218</v>
      </c>
      <c r="M1453" s="3">
        <f>tbl_Budget[[#This Row],[Variance]]/tbl_Budget[[#This Row],[Budget]]</f>
        <v>-9.1543080057970624E-3</v>
      </c>
      <c r="N1453" t="str">
        <f>IF(tbl_Budget[[#This Row],[Variance_%]]&gt;0.05,"Overspend",IF(tbl_Budget[[#This Row],[Variance_%]]&lt;-0.05,"Underspend","On Budget"))</f>
        <v>On Budget</v>
      </c>
    </row>
    <row r="1454" spans="1:14" hidden="1">
      <c r="A1454" s="1">
        <v>45352</v>
      </c>
      <c r="B1454">
        <v>3</v>
      </c>
      <c r="C1454" t="s">
        <v>34</v>
      </c>
      <c r="D1454" t="s">
        <v>56</v>
      </c>
      <c r="E1454">
        <v>2024</v>
      </c>
      <c r="F1454" t="s">
        <v>26</v>
      </c>
      <c r="G1454" t="s">
        <v>22</v>
      </c>
      <c r="H1454" t="s">
        <v>15</v>
      </c>
      <c r="I1454" t="s">
        <v>27</v>
      </c>
      <c r="J1454">
        <v>7032.63</v>
      </c>
      <c r="K1454">
        <v>6759.58</v>
      </c>
      <c r="L1454" s="20">
        <f>tbl_Budget[[#This Row],[Actual]]-tbl_Budget[[#This Row],[Budget]]</f>
        <v>-273.05000000000018</v>
      </c>
      <c r="M1454" s="3">
        <f>tbl_Budget[[#This Row],[Variance]]/tbl_Budget[[#This Row],[Budget]]</f>
        <v>-3.8826157497266339E-2</v>
      </c>
      <c r="N1454" t="str">
        <f>IF(tbl_Budget[[#This Row],[Variance_%]]&gt;0.05,"Overspend",IF(tbl_Budget[[#This Row],[Variance_%]]&lt;-0.05,"Underspend","On Budget"))</f>
        <v>On Budget</v>
      </c>
    </row>
    <row r="1455" spans="1:14" hidden="1">
      <c r="A1455" s="1">
        <v>45352</v>
      </c>
      <c r="B1455">
        <v>3</v>
      </c>
      <c r="C1455" t="s">
        <v>34</v>
      </c>
      <c r="D1455" t="s">
        <v>56</v>
      </c>
      <c r="E1455">
        <v>2024</v>
      </c>
      <c r="F1455" t="s">
        <v>26</v>
      </c>
      <c r="G1455" t="s">
        <v>22</v>
      </c>
      <c r="H1455" t="s">
        <v>17</v>
      </c>
      <c r="I1455" t="s">
        <v>27</v>
      </c>
      <c r="J1455">
        <v>6681.6</v>
      </c>
      <c r="K1455">
        <v>6561.19</v>
      </c>
      <c r="L1455" s="20">
        <f>tbl_Budget[[#This Row],[Actual]]-tbl_Budget[[#This Row],[Budget]]</f>
        <v>-120.41000000000076</v>
      </c>
      <c r="M1455" s="3">
        <f>tbl_Budget[[#This Row],[Variance]]/tbl_Budget[[#This Row],[Budget]]</f>
        <v>-1.8021132662835362E-2</v>
      </c>
      <c r="N1455" t="str">
        <f>IF(tbl_Budget[[#This Row],[Variance_%]]&gt;0.05,"Overspend",IF(tbl_Budget[[#This Row],[Variance_%]]&lt;-0.05,"Underspend","On Budget"))</f>
        <v>On Budget</v>
      </c>
    </row>
    <row r="1456" spans="1:14" hidden="1">
      <c r="A1456" s="1">
        <v>45352</v>
      </c>
      <c r="B1456">
        <v>3</v>
      </c>
      <c r="C1456" t="s">
        <v>34</v>
      </c>
      <c r="D1456" t="s">
        <v>56</v>
      </c>
      <c r="E1456">
        <v>2024</v>
      </c>
      <c r="F1456" t="s">
        <v>26</v>
      </c>
      <c r="G1456" t="s">
        <v>22</v>
      </c>
      <c r="H1456" t="s">
        <v>18</v>
      </c>
      <c r="I1456" t="s">
        <v>27</v>
      </c>
      <c r="J1456">
        <v>6860.04</v>
      </c>
      <c r="K1456">
        <v>6760.71</v>
      </c>
      <c r="L1456" s="20">
        <f>tbl_Budget[[#This Row],[Actual]]-tbl_Budget[[#This Row],[Budget]]</f>
        <v>-99.329999999999927</v>
      </c>
      <c r="M1456" s="3">
        <f>tbl_Budget[[#This Row],[Variance]]/tbl_Budget[[#This Row],[Budget]]</f>
        <v>-1.4479507408120059E-2</v>
      </c>
      <c r="N1456" t="str">
        <f>IF(tbl_Budget[[#This Row],[Variance_%]]&gt;0.05,"Overspend",IF(tbl_Budget[[#This Row],[Variance_%]]&lt;-0.05,"Underspend","On Budget"))</f>
        <v>On Budget</v>
      </c>
    </row>
    <row r="1457" spans="1:14" hidden="1">
      <c r="A1457" s="1">
        <v>45352</v>
      </c>
      <c r="B1457">
        <v>3</v>
      </c>
      <c r="C1457" t="s">
        <v>34</v>
      </c>
      <c r="D1457" t="s">
        <v>56</v>
      </c>
      <c r="E1457">
        <v>2024</v>
      </c>
      <c r="F1457" t="s">
        <v>26</v>
      </c>
      <c r="G1457" t="s">
        <v>22</v>
      </c>
      <c r="H1457" t="s">
        <v>19</v>
      </c>
      <c r="I1457" t="s">
        <v>27</v>
      </c>
      <c r="J1457">
        <v>7237.75</v>
      </c>
      <c r="K1457">
        <v>7050.31</v>
      </c>
      <c r="L1457" s="20">
        <f>tbl_Budget[[#This Row],[Actual]]-tbl_Budget[[#This Row],[Budget]]</f>
        <v>-187.4399999999996</v>
      </c>
      <c r="M1457" s="3">
        <f>tbl_Budget[[#This Row],[Variance]]/tbl_Budget[[#This Row],[Budget]]</f>
        <v>-2.5897551034506524E-2</v>
      </c>
      <c r="N1457" t="str">
        <f>IF(tbl_Budget[[#This Row],[Variance_%]]&gt;0.05,"Overspend",IF(tbl_Budget[[#This Row],[Variance_%]]&lt;-0.05,"Underspend","On Budget"))</f>
        <v>On Budget</v>
      </c>
    </row>
    <row r="1458" spans="1:14" hidden="1">
      <c r="A1458" s="1">
        <v>45352</v>
      </c>
      <c r="B1458">
        <v>3</v>
      </c>
      <c r="C1458" t="s">
        <v>34</v>
      </c>
      <c r="D1458" t="s">
        <v>56</v>
      </c>
      <c r="E1458">
        <v>2024</v>
      </c>
      <c r="F1458" t="s">
        <v>26</v>
      </c>
      <c r="G1458" t="s">
        <v>23</v>
      </c>
      <c r="H1458" t="s">
        <v>15</v>
      </c>
      <c r="I1458" t="s">
        <v>27</v>
      </c>
      <c r="J1458">
        <v>5920.47</v>
      </c>
      <c r="K1458">
        <v>5731.37</v>
      </c>
      <c r="L1458" s="20">
        <f>tbl_Budget[[#This Row],[Actual]]-tbl_Budget[[#This Row],[Budget]]</f>
        <v>-189.10000000000036</v>
      </c>
      <c r="M1458" s="3">
        <f>tbl_Budget[[#This Row],[Variance]]/tbl_Budget[[#This Row],[Budget]]</f>
        <v>-3.1940031788016889E-2</v>
      </c>
      <c r="N1458" t="str">
        <f>IF(tbl_Budget[[#This Row],[Variance_%]]&gt;0.05,"Overspend",IF(tbl_Budget[[#This Row],[Variance_%]]&lt;-0.05,"Underspend","On Budget"))</f>
        <v>On Budget</v>
      </c>
    </row>
    <row r="1459" spans="1:14" hidden="1">
      <c r="A1459" s="1">
        <v>45352</v>
      </c>
      <c r="B1459">
        <v>3</v>
      </c>
      <c r="C1459" t="s">
        <v>34</v>
      </c>
      <c r="D1459" t="s">
        <v>56</v>
      </c>
      <c r="E1459">
        <v>2024</v>
      </c>
      <c r="F1459" t="s">
        <v>26</v>
      </c>
      <c r="G1459" t="s">
        <v>23</v>
      </c>
      <c r="H1459" t="s">
        <v>17</v>
      </c>
      <c r="I1459" t="s">
        <v>27</v>
      </c>
      <c r="J1459">
        <v>5861.46</v>
      </c>
      <c r="K1459">
        <v>5962.69</v>
      </c>
      <c r="L1459" s="20">
        <f>tbl_Budget[[#This Row],[Actual]]-tbl_Budget[[#This Row],[Budget]]</f>
        <v>101.22999999999956</v>
      </c>
      <c r="M1459" s="3">
        <f>tbl_Budget[[#This Row],[Variance]]/tbl_Budget[[#This Row],[Budget]]</f>
        <v>1.7270441152886749E-2</v>
      </c>
      <c r="N1459" t="str">
        <f>IF(tbl_Budget[[#This Row],[Variance_%]]&gt;0.05,"Overspend",IF(tbl_Budget[[#This Row],[Variance_%]]&lt;-0.05,"Underspend","On Budget"))</f>
        <v>On Budget</v>
      </c>
    </row>
    <row r="1460" spans="1:14" hidden="1">
      <c r="A1460" s="1">
        <v>45352</v>
      </c>
      <c r="B1460">
        <v>3</v>
      </c>
      <c r="C1460" t="s">
        <v>34</v>
      </c>
      <c r="D1460" t="s">
        <v>56</v>
      </c>
      <c r="E1460">
        <v>2024</v>
      </c>
      <c r="F1460" t="s">
        <v>26</v>
      </c>
      <c r="G1460" t="s">
        <v>23</v>
      </c>
      <c r="H1460" t="s">
        <v>18</v>
      </c>
      <c r="I1460" t="s">
        <v>27</v>
      </c>
      <c r="J1460">
        <v>5866.81</v>
      </c>
      <c r="K1460">
        <v>5929.25</v>
      </c>
      <c r="L1460" s="20">
        <f>tbl_Budget[[#This Row],[Actual]]-tbl_Budget[[#This Row],[Budget]]</f>
        <v>62.4399999999996</v>
      </c>
      <c r="M1460" s="3">
        <f>tbl_Budget[[#This Row],[Variance]]/tbl_Budget[[#This Row],[Budget]]</f>
        <v>1.0642921792251597E-2</v>
      </c>
      <c r="N1460" t="str">
        <f>IF(tbl_Budget[[#This Row],[Variance_%]]&gt;0.05,"Overspend",IF(tbl_Budget[[#This Row],[Variance_%]]&lt;-0.05,"Underspend","On Budget"))</f>
        <v>On Budget</v>
      </c>
    </row>
    <row r="1461" spans="1:14" hidden="1">
      <c r="A1461" s="1">
        <v>45352</v>
      </c>
      <c r="B1461">
        <v>3</v>
      </c>
      <c r="C1461" t="s">
        <v>34</v>
      </c>
      <c r="D1461" t="s">
        <v>56</v>
      </c>
      <c r="E1461">
        <v>2024</v>
      </c>
      <c r="F1461" t="s">
        <v>26</v>
      </c>
      <c r="G1461" t="s">
        <v>23</v>
      </c>
      <c r="H1461" t="s">
        <v>19</v>
      </c>
      <c r="I1461" t="s">
        <v>27</v>
      </c>
      <c r="J1461">
        <v>6150.17</v>
      </c>
      <c r="K1461">
        <v>6050.95</v>
      </c>
      <c r="L1461" s="20">
        <f>tbl_Budget[[#This Row],[Actual]]-tbl_Budget[[#This Row],[Budget]]</f>
        <v>-99.220000000000255</v>
      </c>
      <c r="M1461" s="3">
        <f>tbl_Budget[[#This Row],[Variance]]/tbl_Budget[[#This Row],[Budget]]</f>
        <v>-1.613288738360082E-2</v>
      </c>
      <c r="N1461" t="str">
        <f>IF(tbl_Budget[[#This Row],[Variance_%]]&gt;0.05,"Overspend",IF(tbl_Budget[[#This Row],[Variance_%]]&lt;-0.05,"Underspend","On Budget"))</f>
        <v>On Budget</v>
      </c>
    </row>
    <row r="1462" spans="1:14" hidden="1">
      <c r="A1462" s="1">
        <v>45352</v>
      </c>
      <c r="B1462">
        <v>3</v>
      </c>
      <c r="C1462" t="s">
        <v>34</v>
      </c>
      <c r="D1462" t="s">
        <v>56</v>
      </c>
      <c r="E1462">
        <v>2024</v>
      </c>
      <c r="F1462" t="s">
        <v>28</v>
      </c>
      <c r="G1462" t="s">
        <v>14</v>
      </c>
      <c r="H1462" t="s">
        <v>15</v>
      </c>
      <c r="I1462" t="s">
        <v>29</v>
      </c>
      <c r="J1462">
        <v>55636</v>
      </c>
      <c r="K1462">
        <v>53853.5</v>
      </c>
      <c r="L1462" s="20">
        <f>tbl_Budget[[#This Row],[Actual]]-tbl_Budget[[#This Row],[Budget]]</f>
        <v>-1782.5</v>
      </c>
      <c r="M1462" s="3">
        <f>tbl_Budget[[#This Row],[Variance]]/tbl_Budget[[#This Row],[Budget]]</f>
        <v>-3.2038608095477747E-2</v>
      </c>
      <c r="N1462" t="str">
        <f>IF(tbl_Budget[[#This Row],[Variance_%]]&gt;0.05,"Overspend",IF(tbl_Budget[[#This Row],[Variance_%]]&lt;-0.05,"Underspend","On Budget"))</f>
        <v>On Budget</v>
      </c>
    </row>
    <row r="1463" spans="1:14" hidden="1">
      <c r="A1463" s="1">
        <v>45352</v>
      </c>
      <c r="B1463">
        <v>3</v>
      </c>
      <c r="C1463" t="s">
        <v>34</v>
      </c>
      <c r="D1463" t="s">
        <v>56</v>
      </c>
      <c r="E1463">
        <v>2024</v>
      </c>
      <c r="F1463" t="s">
        <v>28</v>
      </c>
      <c r="G1463" t="s">
        <v>14</v>
      </c>
      <c r="H1463" t="s">
        <v>17</v>
      </c>
      <c r="I1463" t="s">
        <v>29</v>
      </c>
      <c r="J1463">
        <v>55780.37</v>
      </c>
      <c r="K1463">
        <v>49886.2</v>
      </c>
      <c r="L1463" s="20">
        <f>tbl_Budget[[#This Row],[Actual]]-tbl_Budget[[#This Row],[Budget]]</f>
        <v>-5894.1700000000055</v>
      </c>
      <c r="M1463" s="3">
        <f>tbl_Budget[[#This Row],[Variance]]/tbl_Budget[[#This Row],[Budget]]</f>
        <v>-0.10566745971745983</v>
      </c>
      <c r="N1463" t="str">
        <f>IF(tbl_Budget[[#This Row],[Variance_%]]&gt;0.05,"Overspend",IF(tbl_Budget[[#This Row],[Variance_%]]&lt;-0.05,"Underspend","On Budget"))</f>
        <v>Underspend</v>
      </c>
    </row>
    <row r="1464" spans="1:14" hidden="1">
      <c r="A1464" s="1">
        <v>45352</v>
      </c>
      <c r="B1464">
        <v>3</v>
      </c>
      <c r="C1464" t="s">
        <v>34</v>
      </c>
      <c r="D1464" t="s">
        <v>56</v>
      </c>
      <c r="E1464">
        <v>2024</v>
      </c>
      <c r="F1464" t="s">
        <v>28</v>
      </c>
      <c r="G1464" t="s">
        <v>14</v>
      </c>
      <c r="H1464" t="s">
        <v>18</v>
      </c>
      <c r="I1464" t="s">
        <v>29</v>
      </c>
      <c r="J1464">
        <v>55150.27</v>
      </c>
      <c r="K1464">
        <v>56126.84</v>
      </c>
      <c r="L1464" s="20">
        <f>tbl_Budget[[#This Row],[Actual]]-tbl_Budget[[#This Row],[Budget]]</f>
        <v>976.56999999999971</v>
      </c>
      <c r="M1464" s="3">
        <f>tbl_Budget[[#This Row],[Variance]]/tbl_Budget[[#This Row],[Budget]]</f>
        <v>1.7707438241009513E-2</v>
      </c>
      <c r="N1464" t="str">
        <f>IF(tbl_Budget[[#This Row],[Variance_%]]&gt;0.05,"Overspend",IF(tbl_Budget[[#This Row],[Variance_%]]&lt;-0.05,"Underspend","On Budget"))</f>
        <v>On Budget</v>
      </c>
    </row>
    <row r="1465" spans="1:14" hidden="1">
      <c r="A1465" s="1">
        <v>45352</v>
      </c>
      <c r="B1465">
        <v>3</v>
      </c>
      <c r="C1465" t="s">
        <v>34</v>
      </c>
      <c r="D1465" t="s">
        <v>56</v>
      </c>
      <c r="E1465">
        <v>2024</v>
      </c>
      <c r="F1465" t="s">
        <v>28</v>
      </c>
      <c r="G1465" t="s">
        <v>14</v>
      </c>
      <c r="H1465" t="s">
        <v>19</v>
      </c>
      <c r="I1465" t="s">
        <v>29</v>
      </c>
      <c r="J1465">
        <v>57723.13</v>
      </c>
      <c r="K1465">
        <v>65816.94</v>
      </c>
      <c r="L1465" s="20">
        <f>tbl_Budget[[#This Row],[Actual]]-tbl_Budget[[#This Row],[Budget]]</f>
        <v>8093.8100000000049</v>
      </c>
      <c r="M1465" s="3">
        <f>tbl_Budget[[#This Row],[Variance]]/tbl_Budget[[#This Row],[Budget]]</f>
        <v>0.14021779484237956</v>
      </c>
      <c r="N1465" t="str">
        <f>IF(tbl_Budget[[#This Row],[Variance_%]]&gt;0.05,"Overspend",IF(tbl_Budget[[#This Row],[Variance_%]]&lt;-0.05,"Underspend","On Budget"))</f>
        <v>Overspend</v>
      </c>
    </row>
    <row r="1466" spans="1:14" hidden="1">
      <c r="A1466" s="1">
        <v>45352</v>
      </c>
      <c r="B1466">
        <v>3</v>
      </c>
      <c r="C1466" t="s">
        <v>34</v>
      </c>
      <c r="D1466" t="s">
        <v>56</v>
      </c>
      <c r="E1466">
        <v>2024</v>
      </c>
      <c r="F1466" t="s">
        <v>28</v>
      </c>
      <c r="G1466" t="s">
        <v>20</v>
      </c>
      <c r="H1466" t="s">
        <v>15</v>
      </c>
      <c r="I1466" t="s">
        <v>29</v>
      </c>
      <c r="J1466">
        <v>21995.68</v>
      </c>
      <c r="K1466">
        <v>23578.14</v>
      </c>
      <c r="L1466" s="20">
        <f>tbl_Budget[[#This Row],[Actual]]-tbl_Budget[[#This Row],[Budget]]</f>
        <v>1582.4599999999991</v>
      </c>
      <c r="M1466" s="3">
        <f>tbl_Budget[[#This Row],[Variance]]/tbl_Budget[[#This Row],[Budget]]</f>
        <v>7.1944127210434014E-2</v>
      </c>
      <c r="N1466" t="str">
        <f>IF(tbl_Budget[[#This Row],[Variance_%]]&gt;0.05,"Overspend",IF(tbl_Budget[[#This Row],[Variance_%]]&lt;-0.05,"Underspend","On Budget"))</f>
        <v>Overspend</v>
      </c>
    </row>
    <row r="1467" spans="1:14" hidden="1">
      <c r="A1467" s="1">
        <v>45352</v>
      </c>
      <c r="B1467">
        <v>3</v>
      </c>
      <c r="C1467" t="s">
        <v>34</v>
      </c>
      <c r="D1467" t="s">
        <v>56</v>
      </c>
      <c r="E1467">
        <v>2024</v>
      </c>
      <c r="F1467" t="s">
        <v>28</v>
      </c>
      <c r="G1467" t="s">
        <v>20</v>
      </c>
      <c r="H1467" t="s">
        <v>17</v>
      </c>
      <c r="I1467" t="s">
        <v>29</v>
      </c>
      <c r="J1467">
        <v>20530.86</v>
      </c>
      <c r="K1467">
        <v>18666.64</v>
      </c>
      <c r="L1467" s="20">
        <f>tbl_Budget[[#This Row],[Actual]]-tbl_Budget[[#This Row],[Budget]]</f>
        <v>-1864.2200000000012</v>
      </c>
      <c r="M1467" s="3">
        <f>tbl_Budget[[#This Row],[Variance]]/tbl_Budget[[#This Row],[Budget]]</f>
        <v>-9.080087244275209E-2</v>
      </c>
      <c r="N1467" t="str">
        <f>IF(tbl_Budget[[#This Row],[Variance_%]]&gt;0.05,"Overspend",IF(tbl_Budget[[#This Row],[Variance_%]]&lt;-0.05,"Underspend","On Budget"))</f>
        <v>Underspend</v>
      </c>
    </row>
    <row r="1468" spans="1:14" hidden="1">
      <c r="A1468" s="1">
        <v>45352</v>
      </c>
      <c r="B1468">
        <v>3</v>
      </c>
      <c r="C1468" t="s">
        <v>34</v>
      </c>
      <c r="D1468" t="s">
        <v>56</v>
      </c>
      <c r="E1468">
        <v>2024</v>
      </c>
      <c r="F1468" t="s">
        <v>28</v>
      </c>
      <c r="G1468" t="s">
        <v>20</v>
      </c>
      <c r="H1468" t="s">
        <v>18</v>
      </c>
      <c r="I1468" t="s">
        <v>29</v>
      </c>
      <c r="J1468">
        <v>20582.52</v>
      </c>
      <c r="K1468">
        <v>23094.89</v>
      </c>
      <c r="L1468" s="20">
        <f>tbl_Budget[[#This Row],[Actual]]-tbl_Budget[[#This Row],[Budget]]</f>
        <v>2512.369999999999</v>
      </c>
      <c r="M1468" s="3">
        <f>tbl_Budget[[#This Row],[Variance]]/tbl_Budget[[#This Row],[Budget]]</f>
        <v>0.1220632847678515</v>
      </c>
      <c r="N1468" t="str">
        <f>IF(tbl_Budget[[#This Row],[Variance_%]]&gt;0.05,"Overspend",IF(tbl_Budget[[#This Row],[Variance_%]]&lt;-0.05,"Underspend","On Budget"))</f>
        <v>Overspend</v>
      </c>
    </row>
    <row r="1469" spans="1:14" hidden="1">
      <c r="A1469" s="1">
        <v>45352</v>
      </c>
      <c r="B1469">
        <v>3</v>
      </c>
      <c r="C1469" t="s">
        <v>34</v>
      </c>
      <c r="D1469" t="s">
        <v>56</v>
      </c>
      <c r="E1469">
        <v>2024</v>
      </c>
      <c r="F1469" t="s">
        <v>28</v>
      </c>
      <c r="G1469" t="s">
        <v>20</v>
      </c>
      <c r="H1469" t="s">
        <v>19</v>
      </c>
      <c r="I1469" t="s">
        <v>29</v>
      </c>
      <c r="J1469">
        <v>22525.68</v>
      </c>
      <c r="K1469">
        <v>21934.39</v>
      </c>
      <c r="L1469" s="20">
        <f>tbl_Budget[[#This Row],[Actual]]-tbl_Budget[[#This Row],[Budget]]</f>
        <v>-591.29000000000087</v>
      </c>
      <c r="M1469" s="3">
        <f>tbl_Budget[[#This Row],[Variance]]/tbl_Budget[[#This Row],[Budget]]</f>
        <v>-2.6249596016635273E-2</v>
      </c>
      <c r="N1469" t="str">
        <f>IF(tbl_Budget[[#This Row],[Variance_%]]&gt;0.05,"Overspend",IF(tbl_Budget[[#This Row],[Variance_%]]&lt;-0.05,"Underspend","On Budget"))</f>
        <v>On Budget</v>
      </c>
    </row>
    <row r="1470" spans="1:14">
      <c r="A1470" s="1">
        <v>45352</v>
      </c>
      <c r="B1470">
        <v>3</v>
      </c>
      <c r="C1470" t="s">
        <v>34</v>
      </c>
      <c r="D1470" t="s">
        <v>56</v>
      </c>
      <c r="E1470">
        <v>2024</v>
      </c>
      <c r="F1470" t="s">
        <v>28</v>
      </c>
      <c r="G1470" t="s">
        <v>21</v>
      </c>
      <c r="H1470" t="s">
        <v>15</v>
      </c>
      <c r="I1470" t="s">
        <v>29</v>
      </c>
      <c r="J1470">
        <v>12020.6</v>
      </c>
      <c r="K1470">
        <v>10846.69</v>
      </c>
      <c r="L1470" s="20">
        <f>tbl_Budget[[#This Row],[Actual]]-tbl_Budget[[#This Row],[Budget]]</f>
        <v>-1173.9099999999999</v>
      </c>
      <c r="M1470" s="3">
        <f>tbl_Budget[[#This Row],[Variance]]/tbl_Budget[[#This Row],[Budget]]</f>
        <v>-9.7658186779362083E-2</v>
      </c>
      <c r="N1470" t="str">
        <f>IF(tbl_Budget[[#This Row],[Variance_%]]&gt;0.05,"Overspend",IF(tbl_Budget[[#This Row],[Variance_%]]&lt;-0.05,"Underspend","On Budget"))</f>
        <v>Underspend</v>
      </c>
    </row>
    <row r="1471" spans="1:14">
      <c r="A1471" s="1">
        <v>45352</v>
      </c>
      <c r="B1471">
        <v>3</v>
      </c>
      <c r="C1471" t="s">
        <v>34</v>
      </c>
      <c r="D1471" t="s">
        <v>56</v>
      </c>
      <c r="E1471">
        <v>2024</v>
      </c>
      <c r="F1471" t="s">
        <v>28</v>
      </c>
      <c r="G1471" t="s">
        <v>21</v>
      </c>
      <c r="H1471" t="s">
        <v>17</v>
      </c>
      <c r="I1471" t="s">
        <v>29</v>
      </c>
      <c r="J1471">
        <v>11775.55</v>
      </c>
      <c r="K1471">
        <v>13791.26</v>
      </c>
      <c r="L1471" s="20">
        <f>tbl_Budget[[#This Row],[Actual]]-tbl_Budget[[#This Row],[Budget]]</f>
        <v>2015.7100000000009</v>
      </c>
      <c r="M1471" s="3">
        <f>tbl_Budget[[#This Row],[Variance]]/tbl_Budget[[#This Row],[Budget]]</f>
        <v>0.17117756707754636</v>
      </c>
      <c r="N1471" t="str">
        <f>IF(tbl_Budget[[#This Row],[Variance_%]]&gt;0.05,"Overspend",IF(tbl_Budget[[#This Row],[Variance_%]]&lt;-0.05,"Underspend","On Budget"))</f>
        <v>Overspend</v>
      </c>
    </row>
    <row r="1472" spans="1:14">
      <c r="A1472" s="1">
        <v>45352</v>
      </c>
      <c r="B1472">
        <v>3</v>
      </c>
      <c r="C1472" t="s">
        <v>34</v>
      </c>
      <c r="D1472" t="s">
        <v>56</v>
      </c>
      <c r="E1472">
        <v>2024</v>
      </c>
      <c r="F1472" t="s">
        <v>28</v>
      </c>
      <c r="G1472" t="s">
        <v>21</v>
      </c>
      <c r="H1472" t="s">
        <v>18</v>
      </c>
      <c r="I1472" t="s">
        <v>29</v>
      </c>
      <c r="J1472">
        <v>12192.33</v>
      </c>
      <c r="K1472">
        <v>11606.67</v>
      </c>
      <c r="L1472" s="20">
        <f>tbl_Budget[[#This Row],[Actual]]-tbl_Budget[[#This Row],[Budget]]</f>
        <v>-585.65999999999985</v>
      </c>
      <c r="M1472" s="3">
        <f>tbl_Budget[[#This Row],[Variance]]/tbl_Budget[[#This Row],[Budget]]</f>
        <v>-4.8035117159722536E-2</v>
      </c>
      <c r="N1472" t="str">
        <f>IF(tbl_Budget[[#This Row],[Variance_%]]&gt;0.05,"Overspend",IF(tbl_Budget[[#This Row],[Variance_%]]&lt;-0.05,"Underspend","On Budget"))</f>
        <v>On Budget</v>
      </c>
    </row>
    <row r="1473" spans="1:14">
      <c r="A1473" s="1">
        <v>45352</v>
      </c>
      <c r="B1473">
        <v>3</v>
      </c>
      <c r="C1473" t="s">
        <v>34</v>
      </c>
      <c r="D1473" t="s">
        <v>56</v>
      </c>
      <c r="E1473">
        <v>2024</v>
      </c>
      <c r="F1473" t="s">
        <v>28</v>
      </c>
      <c r="G1473" t="s">
        <v>21</v>
      </c>
      <c r="H1473" t="s">
        <v>19</v>
      </c>
      <c r="I1473" t="s">
        <v>29</v>
      </c>
      <c r="J1473">
        <v>12384.71</v>
      </c>
      <c r="K1473">
        <v>12654.18</v>
      </c>
      <c r="L1473" s="20">
        <f>tbl_Budget[[#This Row],[Actual]]-tbl_Budget[[#This Row],[Budget]]</f>
        <v>269.47000000000116</v>
      </c>
      <c r="M1473" s="3">
        <f>tbl_Budget[[#This Row],[Variance]]/tbl_Budget[[#This Row],[Budget]]</f>
        <v>2.175828097710816E-2</v>
      </c>
      <c r="N1473" t="str">
        <f>IF(tbl_Budget[[#This Row],[Variance_%]]&gt;0.05,"Overspend",IF(tbl_Budget[[#This Row],[Variance_%]]&lt;-0.05,"Underspend","On Budget"))</f>
        <v>On Budget</v>
      </c>
    </row>
    <row r="1474" spans="1:14" hidden="1">
      <c r="A1474" s="1">
        <v>45352</v>
      </c>
      <c r="B1474">
        <v>3</v>
      </c>
      <c r="C1474" t="s">
        <v>34</v>
      </c>
      <c r="D1474" t="s">
        <v>56</v>
      </c>
      <c r="E1474">
        <v>2024</v>
      </c>
      <c r="F1474" t="s">
        <v>28</v>
      </c>
      <c r="G1474" t="s">
        <v>22</v>
      </c>
      <c r="H1474" t="s">
        <v>15</v>
      </c>
      <c r="I1474" t="s">
        <v>29</v>
      </c>
      <c r="J1474">
        <v>12900.77</v>
      </c>
      <c r="K1474">
        <v>12155.85</v>
      </c>
      <c r="L1474" s="20">
        <f>tbl_Budget[[#This Row],[Actual]]-tbl_Budget[[#This Row],[Budget]]</f>
        <v>-744.92000000000007</v>
      </c>
      <c r="M1474" s="3">
        <f>tbl_Budget[[#This Row],[Variance]]/tbl_Budget[[#This Row],[Budget]]</f>
        <v>-5.774228980130644E-2</v>
      </c>
      <c r="N1474" t="str">
        <f>IF(tbl_Budget[[#This Row],[Variance_%]]&gt;0.05,"Overspend",IF(tbl_Budget[[#This Row],[Variance_%]]&lt;-0.05,"Underspend","On Budget"))</f>
        <v>Underspend</v>
      </c>
    </row>
    <row r="1475" spans="1:14" hidden="1">
      <c r="A1475" s="1">
        <v>45352</v>
      </c>
      <c r="B1475">
        <v>3</v>
      </c>
      <c r="C1475" t="s">
        <v>34</v>
      </c>
      <c r="D1475" t="s">
        <v>56</v>
      </c>
      <c r="E1475">
        <v>2024</v>
      </c>
      <c r="F1475" t="s">
        <v>28</v>
      </c>
      <c r="G1475" t="s">
        <v>22</v>
      </c>
      <c r="H1475" t="s">
        <v>17</v>
      </c>
      <c r="I1475" t="s">
        <v>29</v>
      </c>
      <c r="J1475">
        <v>12593.32</v>
      </c>
      <c r="K1475">
        <v>12715.22</v>
      </c>
      <c r="L1475" s="20">
        <f>tbl_Budget[[#This Row],[Actual]]-tbl_Budget[[#This Row],[Budget]]</f>
        <v>121.89999999999964</v>
      </c>
      <c r="M1475" s="3">
        <f>tbl_Budget[[#This Row],[Variance]]/tbl_Budget[[#This Row],[Budget]]</f>
        <v>9.6797349706034333E-3</v>
      </c>
      <c r="N1475" t="str">
        <f>IF(tbl_Budget[[#This Row],[Variance_%]]&gt;0.05,"Overspend",IF(tbl_Budget[[#This Row],[Variance_%]]&lt;-0.05,"Underspend","On Budget"))</f>
        <v>On Budget</v>
      </c>
    </row>
    <row r="1476" spans="1:14" hidden="1">
      <c r="A1476" s="1">
        <v>45352</v>
      </c>
      <c r="B1476">
        <v>3</v>
      </c>
      <c r="C1476" t="s">
        <v>34</v>
      </c>
      <c r="D1476" t="s">
        <v>56</v>
      </c>
      <c r="E1476">
        <v>2024</v>
      </c>
      <c r="F1476" t="s">
        <v>28</v>
      </c>
      <c r="G1476" t="s">
        <v>22</v>
      </c>
      <c r="H1476" t="s">
        <v>18</v>
      </c>
      <c r="I1476" t="s">
        <v>29</v>
      </c>
      <c r="J1476">
        <v>12715.55</v>
      </c>
      <c r="K1476">
        <v>12004.86</v>
      </c>
      <c r="L1476" s="20">
        <f>tbl_Budget[[#This Row],[Actual]]-tbl_Budget[[#This Row],[Budget]]</f>
        <v>-710.68999999999869</v>
      </c>
      <c r="M1476" s="3">
        <f>tbl_Budget[[#This Row],[Variance]]/tbl_Budget[[#This Row],[Budget]]</f>
        <v>-5.5891408550947361E-2</v>
      </c>
      <c r="N1476" t="str">
        <f>IF(tbl_Budget[[#This Row],[Variance_%]]&gt;0.05,"Overspend",IF(tbl_Budget[[#This Row],[Variance_%]]&lt;-0.05,"Underspend","On Budget"))</f>
        <v>Underspend</v>
      </c>
    </row>
    <row r="1477" spans="1:14" hidden="1">
      <c r="A1477" s="1">
        <v>45352</v>
      </c>
      <c r="B1477">
        <v>3</v>
      </c>
      <c r="C1477" t="s">
        <v>34</v>
      </c>
      <c r="D1477" t="s">
        <v>56</v>
      </c>
      <c r="E1477">
        <v>2024</v>
      </c>
      <c r="F1477" t="s">
        <v>28</v>
      </c>
      <c r="G1477" t="s">
        <v>22</v>
      </c>
      <c r="H1477" t="s">
        <v>19</v>
      </c>
      <c r="I1477" t="s">
        <v>29</v>
      </c>
      <c r="J1477">
        <v>13196.27</v>
      </c>
      <c r="K1477">
        <v>14511.51</v>
      </c>
      <c r="L1477" s="20">
        <f>tbl_Budget[[#This Row],[Actual]]-tbl_Budget[[#This Row],[Budget]]</f>
        <v>1315.2399999999998</v>
      </c>
      <c r="M1477" s="3">
        <f>tbl_Budget[[#This Row],[Variance]]/tbl_Budget[[#This Row],[Budget]]</f>
        <v>9.96675575749814E-2</v>
      </c>
      <c r="N1477" t="str">
        <f>IF(tbl_Budget[[#This Row],[Variance_%]]&gt;0.05,"Overspend",IF(tbl_Budget[[#This Row],[Variance_%]]&lt;-0.05,"Underspend","On Budget"))</f>
        <v>Overspend</v>
      </c>
    </row>
    <row r="1478" spans="1:14" hidden="1">
      <c r="A1478" s="1">
        <v>45352</v>
      </c>
      <c r="B1478">
        <v>3</v>
      </c>
      <c r="C1478" t="s">
        <v>34</v>
      </c>
      <c r="D1478" t="s">
        <v>56</v>
      </c>
      <c r="E1478">
        <v>2024</v>
      </c>
      <c r="F1478" t="s">
        <v>28</v>
      </c>
      <c r="G1478" t="s">
        <v>23</v>
      </c>
      <c r="H1478" t="s">
        <v>15</v>
      </c>
      <c r="I1478" t="s">
        <v>29</v>
      </c>
      <c r="J1478">
        <v>8069.38</v>
      </c>
      <c r="K1478">
        <v>8321.73</v>
      </c>
      <c r="L1478" s="20">
        <f>tbl_Budget[[#This Row],[Actual]]-tbl_Budget[[#This Row],[Budget]]</f>
        <v>252.34999999999945</v>
      </c>
      <c r="M1478" s="3">
        <f>tbl_Budget[[#This Row],[Variance]]/tbl_Budget[[#This Row],[Budget]]</f>
        <v>3.1272538906334746E-2</v>
      </c>
      <c r="N1478" t="str">
        <f>IF(tbl_Budget[[#This Row],[Variance_%]]&gt;0.05,"Overspend",IF(tbl_Budget[[#This Row],[Variance_%]]&lt;-0.05,"Underspend","On Budget"))</f>
        <v>On Budget</v>
      </c>
    </row>
    <row r="1479" spans="1:14" hidden="1">
      <c r="A1479" s="1">
        <v>45352</v>
      </c>
      <c r="B1479">
        <v>3</v>
      </c>
      <c r="C1479" t="s">
        <v>34</v>
      </c>
      <c r="D1479" t="s">
        <v>56</v>
      </c>
      <c r="E1479">
        <v>2024</v>
      </c>
      <c r="F1479" t="s">
        <v>28</v>
      </c>
      <c r="G1479" t="s">
        <v>23</v>
      </c>
      <c r="H1479" t="s">
        <v>17</v>
      </c>
      <c r="I1479" t="s">
        <v>29</v>
      </c>
      <c r="J1479">
        <v>7939.9</v>
      </c>
      <c r="K1479">
        <v>9285.7199999999993</v>
      </c>
      <c r="L1479" s="20">
        <f>tbl_Budget[[#This Row],[Actual]]-tbl_Budget[[#This Row],[Budget]]</f>
        <v>1345.8199999999997</v>
      </c>
      <c r="M1479" s="3">
        <f>tbl_Budget[[#This Row],[Variance]]/tbl_Budget[[#This Row],[Budget]]</f>
        <v>0.16950087532588567</v>
      </c>
      <c r="N1479" t="str">
        <f>IF(tbl_Budget[[#This Row],[Variance_%]]&gt;0.05,"Overspend",IF(tbl_Budget[[#This Row],[Variance_%]]&lt;-0.05,"Underspend","On Budget"))</f>
        <v>Overspend</v>
      </c>
    </row>
    <row r="1480" spans="1:14" hidden="1">
      <c r="A1480" s="1">
        <v>45352</v>
      </c>
      <c r="B1480">
        <v>3</v>
      </c>
      <c r="C1480" t="s">
        <v>34</v>
      </c>
      <c r="D1480" t="s">
        <v>56</v>
      </c>
      <c r="E1480">
        <v>2024</v>
      </c>
      <c r="F1480" t="s">
        <v>28</v>
      </c>
      <c r="G1480" t="s">
        <v>23</v>
      </c>
      <c r="H1480" t="s">
        <v>18</v>
      </c>
      <c r="I1480" t="s">
        <v>29</v>
      </c>
      <c r="J1480">
        <v>7826.26</v>
      </c>
      <c r="K1480">
        <v>7622.94</v>
      </c>
      <c r="L1480" s="20">
        <f>tbl_Budget[[#This Row],[Actual]]-tbl_Budget[[#This Row],[Budget]]</f>
        <v>-203.32000000000062</v>
      </c>
      <c r="M1480" s="3">
        <f>tbl_Budget[[#This Row],[Variance]]/tbl_Budget[[#This Row],[Budget]]</f>
        <v>-2.5979203348726033E-2</v>
      </c>
      <c r="N1480" t="str">
        <f>IF(tbl_Budget[[#This Row],[Variance_%]]&gt;0.05,"Overspend",IF(tbl_Budget[[#This Row],[Variance_%]]&lt;-0.05,"Underspend","On Budget"))</f>
        <v>On Budget</v>
      </c>
    </row>
    <row r="1481" spans="1:14" hidden="1">
      <c r="A1481" s="1">
        <v>45352</v>
      </c>
      <c r="B1481">
        <v>3</v>
      </c>
      <c r="C1481" t="s">
        <v>34</v>
      </c>
      <c r="D1481" t="s">
        <v>56</v>
      </c>
      <c r="E1481">
        <v>2024</v>
      </c>
      <c r="F1481" t="s">
        <v>28</v>
      </c>
      <c r="G1481" t="s">
        <v>23</v>
      </c>
      <c r="H1481" t="s">
        <v>19</v>
      </c>
      <c r="I1481" t="s">
        <v>29</v>
      </c>
      <c r="J1481">
        <v>8487.4500000000007</v>
      </c>
      <c r="K1481">
        <v>9676.7000000000007</v>
      </c>
      <c r="L1481" s="20">
        <f>tbl_Budget[[#This Row],[Actual]]-tbl_Budget[[#This Row],[Budget]]</f>
        <v>1189.25</v>
      </c>
      <c r="M1481" s="3">
        <f>tbl_Budget[[#This Row],[Variance]]/tbl_Budget[[#This Row],[Budget]]</f>
        <v>0.14011864576521804</v>
      </c>
      <c r="N1481" t="str">
        <f>IF(tbl_Budget[[#This Row],[Variance_%]]&gt;0.05,"Overspend",IF(tbl_Budget[[#This Row],[Variance_%]]&lt;-0.05,"Underspend","On Budget"))</f>
        <v>Overspend</v>
      </c>
    </row>
    <row r="1482" spans="1:14" hidden="1">
      <c r="A1482" s="1">
        <v>45352</v>
      </c>
      <c r="B1482">
        <v>3</v>
      </c>
      <c r="C1482" t="s">
        <v>34</v>
      </c>
      <c r="D1482" t="s">
        <v>56</v>
      </c>
      <c r="E1482">
        <v>2024</v>
      </c>
      <c r="F1482" t="s">
        <v>30</v>
      </c>
      <c r="G1482" t="s">
        <v>14</v>
      </c>
      <c r="H1482" t="s">
        <v>15</v>
      </c>
      <c r="I1482" t="s">
        <v>31</v>
      </c>
      <c r="J1482">
        <v>44448.34</v>
      </c>
      <c r="K1482">
        <v>44352.91</v>
      </c>
      <c r="L1482" s="20">
        <f>tbl_Budget[[#This Row],[Actual]]-tbl_Budget[[#This Row],[Budget]]</f>
        <v>-95.429999999993015</v>
      </c>
      <c r="M1482" s="3">
        <f>tbl_Budget[[#This Row],[Variance]]/tbl_Budget[[#This Row],[Budget]]</f>
        <v>-2.1469868166053676E-3</v>
      </c>
      <c r="N1482" t="str">
        <f>IF(tbl_Budget[[#This Row],[Variance_%]]&gt;0.05,"Overspend",IF(tbl_Budget[[#This Row],[Variance_%]]&lt;-0.05,"Underspend","On Budget"))</f>
        <v>On Budget</v>
      </c>
    </row>
    <row r="1483" spans="1:14" hidden="1">
      <c r="A1483" s="1">
        <v>45352</v>
      </c>
      <c r="B1483">
        <v>3</v>
      </c>
      <c r="C1483" t="s">
        <v>34</v>
      </c>
      <c r="D1483" t="s">
        <v>56</v>
      </c>
      <c r="E1483">
        <v>2024</v>
      </c>
      <c r="F1483" t="s">
        <v>30</v>
      </c>
      <c r="G1483" t="s">
        <v>14</v>
      </c>
      <c r="H1483" t="s">
        <v>17</v>
      </c>
      <c r="I1483" t="s">
        <v>31</v>
      </c>
      <c r="J1483">
        <v>43444.35</v>
      </c>
      <c r="K1483">
        <v>41753.919999999998</v>
      </c>
      <c r="L1483" s="20">
        <f>tbl_Budget[[#This Row],[Actual]]-tbl_Budget[[#This Row],[Budget]]</f>
        <v>-1690.4300000000003</v>
      </c>
      <c r="M1483" s="3">
        <f>tbl_Budget[[#This Row],[Variance]]/tbl_Budget[[#This Row],[Budget]]</f>
        <v>-3.8910238040159431E-2</v>
      </c>
      <c r="N1483" t="str">
        <f>IF(tbl_Budget[[#This Row],[Variance_%]]&gt;0.05,"Overspend",IF(tbl_Budget[[#This Row],[Variance_%]]&lt;-0.05,"Underspend","On Budget"))</f>
        <v>On Budget</v>
      </c>
    </row>
    <row r="1484" spans="1:14" hidden="1">
      <c r="A1484" s="1">
        <v>45352</v>
      </c>
      <c r="B1484">
        <v>3</v>
      </c>
      <c r="C1484" t="s">
        <v>34</v>
      </c>
      <c r="D1484" t="s">
        <v>56</v>
      </c>
      <c r="E1484">
        <v>2024</v>
      </c>
      <c r="F1484" t="s">
        <v>30</v>
      </c>
      <c r="G1484" t="s">
        <v>14</v>
      </c>
      <c r="H1484" t="s">
        <v>18</v>
      </c>
      <c r="I1484" t="s">
        <v>31</v>
      </c>
      <c r="J1484">
        <v>44201.02</v>
      </c>
      <c r="K1484">
        <v>43040.2</v>
      </c>
      <c r="L1484" s="20">
        <f>tbl_Budget[[#This Row],[Actual]]-tbl_Budget[[#This Row],[Budget]]</f>
        <v>-1160.8199999999997</v>
      </c>
      <c r="M1484" s="3">
        <f>tbl_Budget[[#This Row],[Variance]]/tbl_Budget[[#This Row],[Budget]]</f>
        <v>-2.6262289874758541E-2</v>
      </c>
      <c r="N1484" t="str">
        <f>IF(tbl_Budget[[#This Row],[Variance_%]]&gt;0.05,"Overspend",IF(tbl_Budget[[#This Row],[Variance_%]]&lt;-0.05,"Underspend","On Budget"))</f>
        <v>On Budget</v>
      </c>
    </row>
    <row r="1485" spans="1:14" hidden="1">
      <c r="A1485" s="1">
        <v>45352</v>
      </c>
      <c r="B1485">
        <v>3</v>
      </c>
      <c r="C1485" t="s">
        <v>34</v>
      </c>
      <c r="D1485" t="s">
        <v>56</v>
      </c>
      <c r="E1485">
        <v>2024</v>
      </c>
      <c r="F1485" t="s">
        <v>30</v>
      </c>
      <c r="G1485" t="s">
        <v>14</v>
      </c>
      <c r="H1485" t="s">
        <v>19</v>
      </c>
      <c r="I1485" t="s">
        <v>31</v>
      </c>
      <c r="J1485">
        <v>47037.61</v>
      </c>
      <c r="K1485">
        <v>47471.11</v>
      </c>
      <c r="L1485" s="20">
        <f>tbl_Budget[[#This Row],[Actual]]-tbl_Budget[[#This Row],[Budget]]</f>
        <v>433.5</v>
      </c>
      <c r="M1485" s="3">
        <f>tbl_Budget[[#This Row],[Variance]]/tbl_Budget[[#This Row],[Budget]]</f>
        <v>9.2160294708851058E-3</v>
      </c>
      <c r="N1485" t="str">
        <f>IF(tbl_Budget[[#This Row],[Variance_%]]&gt;0.05,"Overspend",IF(tbl_Budget[[#This Row],[Variance_%]]&lt;-0.05,"Underspend","On Budget"))</f>
        <v>On Budget</v>
      </c>
    </row>
    <row r="1486" spans="1:14" hidden="1">
      <c r="A1486" s="1">
        <v>45352</v>
      </c>
      <c r="B1486">
        <v>3</v>
      </c>
      <c r="C1486" t="s">
        <v>34</v>
      </c>
      <c r="D1486" t="s">
        <v>56</v>
      </c>
      <c r="E1486">
        <v>2024</v>
      </c>
      <c r="F1486" t="s">
        <v>30</v>
      </c>
      <c r="G1486" t="s">
        <v>20</v>
      </c>
      <c r="H1486" t="s">
        <v>15</v>
      </c>
      <c r="I1486" t="s">
        <v>31</v>
      </c>
      <c r="J1486">
        <v>17830.91</v>
      </c>
      <c r="K1486">
        <v>17024.57</v>
      </c>
      <c r="L1486" s="20">
        <f>tbl_Budget[[#This Row],[Actual]]-tbl_Budget[[#This Row],[Budget]]</f>
        <v>-806.34000000000015</v>
      </c>
      <c r="M1486" s="3">
        <f>tbl_Budget[[#This Row],[Variance]]/tbl_Budget[[#This Row],[Budget]]</f>
        <v>-4.5221472151449373E-2</v>
      </c>
      <c r="N1486" t="str">
        <f>IF(tbl_Budget[[#This Row],[Variance_%]]&gt;0.05,"Overspend",IF(tbl_Budget[[#This Row],[Variance_%]]&lt;-0.05,"Underspend","On Budget"))</f>
        <v>On Budget</v>
      </c>
    </row>
    <row r="1487" spans="1:14" hidden="1">
      <c r="A1487" s="1">
        <v>45352</v>
      </c>
      <c r="B1487">
        <v>3</v>
      </c>
      <c r="C1487" t="s">
        <v>34</v>
      </c>
      <c r="D1487" t="s">
        <v>56</v>
      </c>
      <c r="E1487">
        <v>2024</v>
      </c>
      <c r="F1487" t="s">
        <v>30</v>
      </c>
      <c r="G1487" t="s">
        <v>20</v>
      </c>
      <c r="H1487" t="s">
        <v>17</v>
      </c>
      <c r="I1487" t="s">
        <v>31</v>
      </c>
      <c r="J1487">
        <v>16390.89</v>
      </c>
      <c r="K1487">
        <v>16212.56</v>
      </c>
      <c r="L1487" s="20">
        <f>tbl_Budget[[#This Row],[Actual]]-tbl_Budget[[#This Row],[Budget]]</f>
        <v>-178.32999999999993</v>
      </c>
      <c r="M1487" s="3">
        <f>tbl_Budget[[#This Row],[Variance]]/tbl_Budget[[#This Row],[Budget]]</f>
        <v>-1.0879824097410203E-2</v>
      </c>
      <c r="N1487" t="str">
        <f>IF(tbl_Budget[[#This Row],[Variance_%]]&gt;0.05,"Overspend",IF(tbl_Budget[[#This Row],[Variance_%]]&lt;-0.05,"Underspend","On Budget"))</f>
        <v>On Budget</v>
      </c>
    </row>
    <row r="1488" spans="1:14" hidden="1">
      <c r="A1488" s="1">
        <v>45352</v>
      </c>
      <c r="B1488">
        <v>3</v>
      </c>
      <c r="C1488" t="s">
        <v>34</v>
      </c>
      <c r="D1488" t="s">
        <v>56</v>
      </c>
      <c r="E1488">
        <v>2024</v>
      </c>
      <c r="F1488" t="s">
        <v>30</v>
      </c>
      <c r="G1488" t="s">
        <v>20</v>
      </c>
      <c r="H1488" t="s">
        <v>18</v>
      </c>
      <c r="I1488" t="s">
        <v>31</v>
      </c>
      <c r="J1488">
        <v>17195.53</v>
      </c>
      <c r="K1488">
        <v>16618.34</v>
      </c>
      <c r="L1488" s="20">
        <f>tbl_Budget[[#This Row],[Actual]]-tbl_Budget[[#This Row],[Budget]]</f>
        <v>-577.18999999999869</v>
      </c>
      <c r="M1488" s="3">
        <f>tbl_Budget[[#This Row],[Variance]]/tbl_Budget[[#This Row],[Budget]]</f>
        <v>-3.3566281469660939E-2</v>
      </c>
      <c r="N1488" t="str">
        <f>IF(tbl_Budget[[#This Row],[Variance_%]]&gt;0.05,"Overspend",IF(tbl_Budget[[#This Row],[Variance_%]]&lt;-0.05,"Underspend","On Budget"))</f>
        <v>On Budget</v>
      </c>
    </row>
    <row r="1489" spans="1:14" hidden="1">
      <c r="A1489" s="1">
        <v>45352</v>
      </c>
      <c r="B1489">
        <v>3</v>
      </c>
      <c r="C1489" t="s">
        <v>34</v>
      </c>
      <c r="D1489" t="s">
        <v>56</v>
      </c>
      <c r="E1489">
        <v>2024</v>
      </c>
      <c r="F1489" t="s">
        <v>30</v>
      </c>
      <c r="G1489" t="s">
        <v>20</v>
      </c>
      <c r="H1489" t="s">
        <v>19</v>
      </c>
      <c r="I1489" t="s">
        <v>31</v>
      </c>
      <c r="J1489">
        <v>18019.509999999998</v>
      </c>
      <c r="K1489">
        <v>18641.919999999998</v>
      </c>
      <c r="L1489" s="20">
        <f>tbl_Budget[[#This Row],[Actual]]-tbl_Budget[[#This Row],[Budget]]</f>
        <v>622.40999999999985</v>
      </c>
      <c r="M1489" s="3">
        <f>tbl_Budget[[#This Row],[Variance]]/tbl_Budget[[#This Row],[Budget]]</f>
        <v>3.4540894841202673E-2</v>
      </c>
      <c r="N1489" t="str">
        <f>IF(tbl_Budget[[#This Row],[Variance_%]]&gt;0.05,"Overspend",IF(tbl_Budget[[#This Row],[Variance_%]]&lt;-0.05,"Underspend","On Budget"))</f>
        <v>On Budget</v>
      </c>
    </row>
    <row r="1490" spans="1:14">
      <c r="A1490" s="1">
        <v>45352</v>
      </c>
      <c r="B1490">
        <v>3</v>
      </c>
      <c r="C1490" t="s">
        <v>34</v>
      </c>
      <c r="D1490" t="s">
        <v>56</v>
      </c>
      <c r="E1490">
        <v>2024</v>
      </c>
      <c r="F1490" t="s">
        <v>30</v>
      </c>
      <c r="G1490" t="s">
        <v>21</v>
      </c>
      <c r="H1490" t="s">
        <v>15</v>
      </c>
      <c r="I1490" t="s">
        <v>31</v>
      </c>
      <c r="J1490">
        <v>7458.82</v>
      </c>
      <c r="K1490">
        <v>7535.63</v>
      </c>
      <c r="L1490" s="20">
        <f>tbl_Budget[[#This Row],[Actual]]-tbl_Budget[[#This Row],[Budget]]</f>
        <v>76.8100000000004</v>
      </c>
      <c r="M1490" s="3">
        <f>tbl_Budget[[#This Row],[Variance]]/tbl_Budget[[#This Row],[Budget]]</f>
        <v>1.0297875535272389E-2</v>
      </c>
      <c r="N1490" t="str">
        <f>IF(tbl_Budget[[#This Row],[Variance_%]]&gt;0.05,"Overspend",IF(tbl_Budget[[#This Row],[Variance_%]]&lt;-0.05,"Underspend","On Budget"))</f>
        <v>On Budget</v>
      </c>
    </row>
    <row r="1491" spans="1:14">
      <c r="A1491" s="1">
        <v>45352</v>
      </c>
      <c r="B1491">
        <v>3</v>
      </c>
      <c r="C1491" t="s">
        <v>34</v>
      </c>
      <c r="D1491" t="s">
        <v>56</v>
      </c>
      <c r="E1491">
        <v>2024</v>
      </c>
      <c r="F1491" t="s">
        <v>30</v>
      </c>
      <c r="G1491" t="s">
        <v>21</v>
      </c>
      <c r="H1491" t="s">
        <v>17</v>
      </c>
      <c r="I1491" t="s">
        <v>31</v>
      </c>
      <c r="J1491">
        <v>7074.93</v>
      </c>
      <c r="K1491">
        <v>6893.99</v>
      </c>
      <c r="L1491" s="20">
        <f>tbl_Budget[[#This Row],[Actual]]-tbl_Budget[[#This Row],[Budget]]</f>
        <v>-180.94000000000051</v>
      </c>
      <c r="M1491" s="3">
        <f>tbl_Budget[[#This Row],[Variance]]/tbl_Budget[[#This Row],[Budget]]</f>
        <v>-2.5574811340889663E-2</v>
      </c>
      <c r="N1491" t="str">
        <f>IF(tbl_Budget[[#This Row],[Variance_%]]&gt;0.05,"Overspend",IF(tbl_Budget[[#This Row],[Variance_%]]&lt;-0.05,"Underspend","On Budget"))</f>
        <v>On Budget</v>
      </c>
    </row>
    <row r="1492" spans="1:14">
      <c r="A1492" s="1">
        <v>45352</v>
      </c>
      <c r="B1492">
        <v>3</v>
      </c>
      <c r="C1492" t="s">
        <v>34</v>
      </c>
      <c r="D1492" t="s">
        <v>56</v>
      </c>
      <c r="E1492">
        <v>2024</v>
      </c>
      <c r="F1492" t="s">
        <v>30</v>
      </c>
      <c r="G1492" t="s">
        <v>21</v>
      </c>
      <c r="H1492" t="s">
        <v>18</v>
      </c>
      <c r="I1492" t="s">
        <v>31</v>
      </c>
      <c r="J1492">
        <v>7257.54</v>
      </c>
      <c r="K1492">
        <v>7146.76</v>
      </c>
      <c r="L1492" s="20">
        <f>tbl_Budget[[#This Row],[Actual]]-tbl_Budget[[#This Row],[Budget]]</f>
        <v>-110.77999999999975</v>
      </c>
      <c r="M1492" s="3">
        <f>tbl_Budget[[#This Row],[Variance]]/tbl_Budget[[#This Row],[Budget]]</f>
        <v>-1.52641253096779E-2</v>
      </c>
      <c r="N1492" t="str">
        <f>IF(tbl_Budget[[#This Row],[Variance_%]]&gt;0.05,"Overspend",IF(tbl_Budget[[#This Row],[Variance_%]]&lt;-0.05,"Underspend","On Budget"))</f>
        <v>On Budget</v>
      </c>
    </row>
    <row r="1493" spans="1:14">
      <c r="A1493" s="1">
        <v>45352</v>
      </c>
      <c r="B1493">
        <v>3</v>
      </c>
      <c r="C1493" t="s">
        <v>34</v>
      </c>
      <c r="D1493" t="s">
        <v>56</v>
      </c>
      <c r="E1493">
        <v>2024</v>
      </c>
      <c r="F1493" t="s">
        <v>30</v>
      </c>
      <c r="G1493" t="s">
        <v>21</v>
      </c>
      <c r="H1493" t="s">
        <v>19</v>
      </c>
      <c r="I1493" t="s">
        <v>31</v>
      </c>
      <c r="J1493">
        <v>7633.01</v>
      </c>
      <c r="K1493">
        <v>7572.82</v>
      </c>
      <c r="L1493" s="20">
        <f>tbl_Budget[[#This Row],[Actual]]-tbl_Budget[[#This Row],[Budget]]</f>
        <v>-60.190000000000509</v>
      </c>
      <c r="M1493" s="3">
        <f>tbl_Budget[[#This Row],[Variance]]/tbl_Budget[[#This Row],[Budget]]</f>
        <v>-7.8854868524999323E-3</v>
      </c>
      <c r="N1493" t="str">
        <f>IF(tbl_Budget[[#This Row],[Variance_%]]&gt;0.05,"Overspend",IF(tbl_Budget[[#This Row],[Variance_%]]&lt;-0.05,"Underspend","On Budget"))</f>
        <v>On Budget</v>
      </c>
    </row>
    <row r="1494" spans="1:14" hidden="1">
      <c r="A1494" s="1">
        <v>45352</v>
      </c>
      <c r="B1494">
        <v>3</v>
      </c>
      <c r="C1494" t="s">
        <v>34</v>
      </c>
      <c r="D1494" t="s">
        <v>56</v>
      </c>
      <c r="E1494">
        <v>2024</v>
      </c>
      <c r="F1494" t="s">
        <v>30</v>
      </c>
      <c r="G1494" t="s">
        <v>22</v>
      </c>
      <c r="H1494" t="s">
        <v>15</v>
      </c>
      <c r="I1494" t="s">
        <v>31</v>
      </c>
      <c r="J1494">
        <v>7704.35</v>
      </c>
      <c r="K1494">
        <v>7928.82</v>
      </c>
      <c r="L1494" s="20">
        <f>tbl_Budget[[#This Row],[Actual]]-tbl_Budget[[#This Row],[Budget]]</f>
        <v>224.46999999999935</v>
      </c>
      <c r="M1494" s="3">
        <f>tbl_Budget[[#This Row],[Variance]]/tbl_Budget[[#This Row],[Budget]]</f>
        <v>2.9135488392920798E-2</v>
      </c>
      <c r="N1494" t="str">
        <f>IF(tbl_Budget[[#This Row],[Variance_%]]&gt;0.05,"Overspend",IF(tbl_Budget[[#This Row],[Variance_%]]&lt;-0.05,"Underspend","On Budget"))</f>
        <v>On Budget</v>
      </c>
    </row>
    <row r="1495" spans="1:14" hidden="1">
      <c r="A1495" s="1">
        <v>45352</v>
      </c>
      <c r="B1495">
        <v>3</v>
      </c>
      <c r="C1495" t="s">
        <v>34</v>
      </c>
      <c r="D1495" t="s">
        <v>56</v>
      </c>
      <c r="E1495">
        <v>2024</v>
      </c>
      <c r="F1495" t="s">
        <v>30</v>
      </c>
      <c r="G1495" t="s">
        <v>22</v>
      </c>
      <c r="H1495" t="s">
        <v>17</v>
      </c>
      <c r="I1495" t="s">
        <v>31</v>
      </c>
      <c r="J1495">
        <v>7199.66</v>
      </c>
      <c r="K1495">
        <v>6810.04</v>
      </c>
      <c r="L1495" s="20">
        <f>tbl_Budget[[#This Row],[Actual]]-tbl_Budget[[#This Row],[Budget]]</f>
        <v>-389.61999999999989</v>
      </c>
      <c r="M1495" s="3">
        <f>tbl_Budget[[#This Row],[Variance]]/tbl_Budget[[#This Row],[Budget]]</f>
        <v>-5.4116444387651626E-2</v>
      </c>
      <c r="N1495" t="str">
        <f>IF(tbl_Budget[[#This Row],[Variance_%]]&gt;0.05,"Overspend",IF(tbl_Budget[[#This Row],[Variance_%]]&lt;-0.05,"Underspend","On Budget"))</f>
        <v>Underspend</v>
      </c>
    </row>
    <row r="1496" spans="1:14" hidden="1">
      <c r="A1496" s="1">
        <v>45352</v>
      </c>
      <c r="B1496">
        <v>3</v>
      </c>
      <c r="C1496" t="s">
        <v>34</v>
      </c>
      <c r="D1496" t="s">
        <v>56</v>
      </c>
      <c r="E1496">
        <v>2024</v>
      </c>
      <c r="F1496" t="s">
        <v>30</v>
      </c>
      <c r="G1496" t="s">
        <v>22</v>
      </c>
      <c r="H1496" t="s">
        <v>18</v>
      </c>
      <c r="I1496" t="s">
        <v>31</v>
      </c>
      <c r="J1496">
        <v>7623.68</v>
      </c>
      <c r="K1496">
        <v>7596.69</v>
      </c>
      <c r="L1496" s="20">
        <f>tbl_Budget[[#This Row],[Actual]]-tbl_Budget[[#This Row],[Budget]]</f>
        <v>-26.990000000000691</v>
      </c>
      <c r="M1496" s="3">
        <f>tbl_Budget[[#This Row],[Variance]]/tbl_Budget[[#This Row],[Budget]]</f>
        <v>-3.5402850067160073E-3</v>
      </c>
      <c r="N1496" t="str">
        <f>IF(tbl_Budget[[#This Row],[Variance_%]]&gt;0.05,"Overspend",IF(tbl_Budget[[#This Row],[Variance_%]]&lt;-0.05,"Underspend","On Budget"))</f>
        <v>On Budget</v>
      </c>
    </row>
    <row r="1497" spans="1:14" hidden="1">
      <c r="A1497" s="1">
        <v>45352</v>
      </c>
      <c r="B1497">
        <v>3</v>
      </c>
      <c r="C1497" t="s">
        <v>34</v>
      </c>
      <c r="D1497" t="s">
        <v>56</v>
      </c>
      <c r="E1497">
        <v>2024</v>
      </c>
      <c r="F1497" t="s">
        <v>30</v>
      </c>
      <c r="G1497" t="s">
        <v>22</v>
      </c>
      <c r="H1497" t="s">
        <v>19</v>
      </c>
      <c r="I1497" t="s">
        <v>31</v>
      </c>
      <c r="J1497">
        <v>7817.48</v>
      </c>
      <c r="K1497">
        <v>8152.13</v>
      </c>
      <c r="L1497" s="20">
        <f>tbl_Budget[[#This Row],[Actual]]-tbl_Budget[[#This Row],[Budget]]</f>
        <v>334.65000000000055</v>
      </c>
      <c r="M1497" s="3">
        <f>tbl_Budget[[#This Row],[Variance]]/tbl_Budget[[#This Row],[Budget]]</f>
        <v>4.280791252424062E-2</v>
      </c>
      <c r="N1497" t="str">
        <f>IF(tbl_Budget[[#This Row],[Variance_%]]&gt;0.05,"Overspend",IF(tbl_Budget[[#This Row],[Variance_%]]&lt;-0.05,"Underspend","On Budget"))</f>
        <v>On Budget</v>
      </c>
    </row>
    <row r="1498" spans="1:14" hidden="1">
      <c r="A1498" s="1">
        <v>45352</v>
      </c>
      <c r="B1498">
        <v>3</v>
      </c>
      <c r="C1498" t="s">
        <v>34</v>
      </c>
      <c r="D1498" t="s">
        <v>56</v>
      </c>
      <c r="E1498">
        <v>2024</v>
      </c>
      <c r="F1498" t="s">
        <v>30</v>
      </c>
      <c r="G1498" t="s">
        <v>23</v>
      </c>
      <c r="H1498" t="s">
        <v>15</v>
      </c>
      <c r="I1498" t="s">
        <v>31</v>
      </c>
      <c r="J1498">
        <v>6627.07</v>
      </c>
      <c r="K1498">
        <v>6428.07</v>
      </c>
      <c r="L1498" s="20">
        <f>tbl_Budget[[#This Row],[Actual]]-tbl_Budget[[#This Row],[Budget]]</f>
        <v>-199</v>
      </c>
      <c r="M1498" s="3">
        <f>tbl_Budget[[#This Row],[Variance]]/tbl_Budget[[#This Row],[Budget]]</f>
        <v>-3.002835340504929E-2</v>
      </c>
      <c r="N1498" t="str">
        <f>IF(tbl_Budget[[#This Row],[Variance_%]]&gt;0.05,"Overspend",IF(tbl_Budget[[#This Row],[Variance_%]]&lt;-0.05,"Underspend","On Budget"))</f>
        <v>On Budget</v>
      </c>
    </row>
    <row r="1499" spans="1:14" hidden="1">
      <c r="A1499" s="1">
        <v>45352</v>
      </c>
      <c r="B1499">
        <v>3</v>
      </c>
      <c r="C1499" t="s">
        <v>34</v>
      </c>
      <c r="D1499" t="s">
        <v>56</v>
      </c>
      <c r="E1499">
        <v>2024</v>
      </c>
      <c r="F1499" t="s">
        <v>30</v>
      </c>
      <c r="G1499" t="s">
        <v>23</v>
      </c>
      <c r="H1499" t="s">
        <v>17</v>
      </c>
      <c r="I1499" t="s">
        <v>31</v>
      </c>
      <c r="J1499">
        <v>6289.53</v>
      </c>
      <c r="K1499">
        <v>5997.08</v>
      </c>
      <c r="L1499" s="20">
        <f>tbl_Budget[[#This Row],[Actual]]-tbl_Budget[[#This Row],[Budget]]</f>
        <v>-292.44999999999982</v>
      </c>
      <c r="M1499" s="3">
        <f>tbl_Budget[[#This Row],[Variance]]/tbl_Budget[[#This Row],[Budget]]</f>
        <v>-4.649791001871361E-2</v>
      </c>
      <c r="N1499" t="str">
        <f>IF(tbl_Budget[[#This Row],[Variance_%]]&gt;0.05,"Overspend",IF(tbl_Budget[[#This Row],[Variance_%]]&lt;-0.05,"Underspend","On Budget"))</f>
        <v>On Budget</v>
      </c>
    </row>
    <row r="1500" spans="1:14" hidden="1">
      <c r="A1500" s="1">
        <v>45352</v>
      </c>
      <c r="B1500">
        <v>3</v>
      </c>
      <c r="C1500" t="s">
        <v>34</v>
      </c>
      <c r="D1500" t="s">
        <v>56</v>
      </c>
      <c r="E1500">
        <v>2024</v>
      </c>
      <c r="F1500" t="s">
        <v>30</v>
      </c>
      <c r="G1500" t="s">
        <v>23</v>
      </c>
      <c r="H1500" t="s">
        <v>18</v>
      </c>
      <c r="I1500" t="s">
        <v>31</v>
      </c>
      <c r="J1500">
        <v>6253</v>
      </c>
      <c r="K1500">
        <v>6441.45</v>
      </c>
      <c r="L1500" s="20">
        <f>tbl_Budget[[#This Row],[Actual]]-tbl_Budget[[#This Row],[Budget]]</f>
        <v>188.44999999999982</v>
      </c>
      <c r="M1500" s="3">
        <f>tbl_Budget[[#This Row],[Variance]]/tbl_Budget[[#This Row],[Budget]]</f>
        <v>3.0137533983687802E-2</v>
      </c>
      <c r="N1500" t="str">
        <f>IF(tbl_Budget[[#This Row],[Variance_%]]&gt;0.05,"Overspend",IF(tbl_Budget[[#This Row],[Variance_%]]&lt;-0.05,"Underspend","On Budget"))</f>
        <v>On Budget</v>
      </c>
    </row>
    <row r="1501" spans="1:14" hidden="1">
      <c r="A1501" s="1">
        <v>45352</v>
      </c>
      <c r="B1501">
        <v>3</v>
      </c>
      <c r="C1501" t="s">
        <v>34</v>
      </c>
      <c r="D1501" t="s">
        <v>56</v>
      </c>
      <c r="E1501">
        <v>2024</v>
      </c>
      <c r="F1501" t="s">
        <v>30</v>
      </c>
      <c r="G1501" t="s">
        <v>23</v>
      </c>
      <c r="H1501" t="s">
        <v>19</v>
      </c>
      <c r="I1501" t="s">
        <v>31</v>
      </c>
      <c r="J1501">
        <v>6883.78</v>
      </c>
      <c r="K1501">
        <v>6583.16</v>
      </c>
      <c r="L1501" s="20">
        <f>tbl_Budget[[#This Row],[Actual]]-tbl_Budget[[#This Row],[Budget]]</f>
        <v>-300.61999999999989</v>
      </c>
      <c r="M1501" s="3">
        <f>tbl_Budget[[#This Row],[Variance]]/tbl_Budget[[#This Row],[Budget]]</f>
        <v>-4.3670773906196871E-2</v>
      </c>
      <c r="N1501" t="str">
        <f>IF(tbl_Budget[[#This Row],[Variance_%]]&gt;0.05,"Overspend",IF(tbl_Budget[[#This Row],[Variance_%]]&lt;-0.05,"Underspend","On Budget"))</f>
        <v>On Budget</v>
      </c>
    </row>
    <row r="1502" spans="1:14" hidden="1">
      <c r="A1502" s="1">
        <v>45383</v>
      </c>
      <c r="B1502">
        <v>4</v>
      </c>
      <c r="C1502" t="s">
        <v>36</v>
      </c>
      <c r="D1502" t="s">
        <v>57</v>
      </c>
      <c r="E1502">
        <v>2024</v>
      </c>
      <c r="F1502" t="s">
        <v>13</v>
      </c>
      <c r="G1502" t="s">
        <v>14</v>
      </c>
      <c r="H1502" t="s">
        <v>15</v>
      </c>
      <c r="I1502" t="s">
        <v>16</v>
      </c>
      <c r="J1502">
        <v>52908.55</v>
      </c>
      <c r="K1502">
        <v>59214.52</v>
      </c>
      <c r="L1502" s="20">
        <f>tbl_Budget[[#This Row],[Actual]]-tbl_Budget[[#This Row],[Budget]]</f>
        <v>6305.9699999999939</v>
      </c>
      <c r="M1502" s="3">
        <f>tbl_Budget[[#This Row],[Variance]]/tbl_Budget[[#This Row],[Budget]]</f>
        <v>0.11918621848453594</v>
      </c>
      <c r="N1502" t="str">
        <f>IF(tbl_Budget[[#This Row],[Variance_%]]&gt;0.05,"Overspend",IF(tbl_Budget[[#This Row],[Variance_%]]&lt;-0.05,"Underspend","On Budget"))</f>
        <v>Overspend</v>
      </c>
    </row>
    <row r="1503" spans="1:14" hidden="1">
      <c r="A1503" s="1">
        <v>45383</v>
      </c>
      <c r="B1503">
        <v>4</v>
      </c>
      <c r="C1503" t="s">
        <v>36</v>
      </c>
      <c r="D1503" t="s">
        <v>57</v>
      </c>
      <c r="E1503">
        <v>2024</v>
      </c>
      <c r="F1503" t="s">
        <v>13</v>
      </c>
      <c r="G1503" t="s">
        <v>14</v>
      </c>
      <c r="H1503" t="s">
        <v>17</v>
      </c>
      <c r="I1503" t="s">
        <v>16</v>
      </c>
      <c r="J1503">
        <v>49821.96</v>
      </c>
      <c r="K1503">
        <v>55781.86</v>
      </c>
      <c r="L1503" s="20">
        <f>tbl_Budget[[#This Row],[Actual]]-tbl_Budget[[#This Row],[Budget]]</f>
        <v>5959.9000000000015</v>
      </c>
      <c r="M1503" s="3">
        <f>tbl_Budget[[#This Row],[Variance]]/tbl_Budget[[#This Row],[Budget]]</f>
        <v>0.11962395698603591</v>
      </c>
      <c r="N1503" t="str">
        <f>IF(tbl_Budget[[#This Row],[Variance_%]]&gt;0.05,"Overspend",IF(tbl_Budget[[#This Row],[Variance_%]]&lt;-0.05,"Underspend","On Budget"))</f>
        <v>Overspend</v>
      </c>
    </row>
    <row r="1504" spans="1:14" hidden="1">
      <c r="A1504" s="1">
        <v>45383</v>
      </c>
      <c r="B1504">
        <v>4</v>
      </c>
      <c r="C1504" t="s">
        <v>36</v>
      </c>
      <c r="D1504" t="s">
        <v>57</v>
      </c>
      <c r="E1504">
        <v>2024</v>
      </c>
      <c r="F1504" t="s">
        <v>13</v>
      </c>
      <c r="G1504" t="s">
        <v>14</v>
      </c>
      <c r="H1504" t="s">
        <v>18</v>
      </c>
      <c r="I1504" t="s">
        <v>16</v>
      </c>
      <c r="J1504">
        <v>50663.58</v>
      </c>
      <c r="K1504">
        <v>55978.33</v>
      </c>
      <c r="L1504" s="20">
        <f>tbl_Budget[[#This Row],[Actual]]-tbl_Budget[[#This Row],[Budget]]</f>
        <v>5314.75</v>
      </c>
      <c r="M1504" s="3">
        <f>tbl_Budget[[#This Row],[Variance]]/tbl_Budget[[#This Row],[Budget]]</f>
        <v>0.10490277236626389</v>
      </c>
      <c r="N1504" t="str">
        <f>IF(tbl_Budget[[#This Row],[Variance_%]]&gt;0.05,"Overspend",IF(tbl_Budget[[#This Row],[Variance_%]]&lt;-0.05,"Underspend","On Budget"))</f>
        <v>Overspend</v>
      </c>
    </row>
    <row r="1505" spans="1:14" hidden="1">
      <c r="A1505" s="1">
        <v>45383</v>
      </c>
      <c r="B1505">
        <v>4</v>
      </c>
      <c r="C1505" t="s">
        <v>36</v>
      </c>
      <c r="D1505" t="s">
        <v>57</v>
      </c>
      <c r="E1505">
        <v>2024</v>
      </c>
      <c r="F1505" t="s">
        <v>13</v>
      </c>
      <c r="G1505" t="s">
        <v>14</v>
      </c>
      <c r="H1505" t="s">
        <v>19</v>
      </c>
      <c r="I1505" t="s">
        <v>16</v>
      </c>
      <c r="J1505">
        <v>53636.11</v>
      </c>
      <c r="K1505">
        <v>61083.61</v>
      </c>
      <c r="L1505" s="20">
        <f>tbl_Budget[[#This Row],[Actual]]-tbl_Budget[[#This Row],[Budget]]</f>
        <v>7447.5</v>
      </c>
      <c r="M1505" s="3">
        <f>tbl_Budget[[#This Row],[Variance]]/tbl_Budget[[#This Row],[Budget]]</f>
        <v>0.13885235152213685</v>
      </c>
      <c r="N1505" t="str">
        <f>IF(tbl_Budget[[#This Row],[Variance_%]]&gt;0.05,"Overspend",IF(tbl_Budget[[#This Row],[Variance_%]]&lt;-0.05,"Underspend","On Budget"))</f>
        <v>Overspend</v>
      </c>
    </row>
    <row r="1506" spans="1:14" hidden="1">
      <c r="A1506" s="1">
        <v>45383</v>
      </c>
      <c r="B1506">
        <v>4</v>
      </c>
      <c r="C1506" t="s">
        <v>36</v>
      </c>
      <c r="D1506" t="s">
        <v>57</v>
      </c>
      <c r="E1506">
        <v>2024</v>
      </c>
      <c r="F1506" t="s">
        <v>13</v>
      </c>
      <c r="G1506" t="s">
        <v>20</v>
      </c>
      <c r="H1506" t="s">
        <v>15</v>
      </c>
      <c r="I1506" t="s">
        <v>16</v>
      </c>
      <c r="J1506">
        <v>19183.62</v>
      </c>
      <c r="K1506">
        <v>21952.66</v>
      </c>
      <c r="L1506" s="20">
        <f>tbl_Budget[[#This Row],[Actual]]-tbl_Budget[[#This Row],[Budget]]</f>
        <v>2769.0400000000009</v>
      </c>
      <c r="M1506" s="3">
        <f>tbl_Budget[[#This Row],[Variance]]/tbl_Budget[[#This Row],[Budget]]</f>
        <v>0.14434397678853111</v>
      </c>
      <c r="N1506" t="str">
        <f>IF(tbl_Budget[[#This Row],[Variance_%]]&gt;0.05,"Overspend",IF(tbl_Budget[[#This Row],[Variance_%]]&lt;-0.05,"Underspend","On Budget"))</f>
        <v>Overspend</v>
      </c>
    </row>
    <row r="1507" spans="1:14" hidden="1">
      <c r="A1507" s="1">
        <v>45383</v>
      </c>
      <c r="B1507">
        <v>4</v>
      </c>
      <c r="C1507" t="s">
        <v>36</v>
      </c>
      <c r="D1507" t="s">
        <v>57</v>
      </c>
      <c r="E1507">
        <v>2024</v>
      </c>
      <c r="F1507" t="s">
        <v>13</v>
      </c>
      <c r="G1507" t="s">
        <v>20</v>
      </c>
      <c r="H1507" t="s">
        <v>17</v>
      </c>
      <c r="I1507" t="s">
        <v>16</v>
      </c>
      <c r="J1507">
        <v>18283.560000000001</v>
      </c>
      <c r="K1507">
        <v>21431.72</v>
      </c>
      <c r="L1507" s="20">
        <f>tbl_Budget[[#This Row],[Actual]]-tbl_Budget[[#This Row],[Budget]]</f>
        <v>3148.16</v>
      </c>
      <c r="M1507" s="3">
        <f>tbl_Budget[[#This Row],[Variance]]/tbl_Budget[[#This Row],[Budget]]</f>
        <v>0.17218528557895724</v>
      </c>
      <c r="N1507" t="str">
        <f>IF(tbl_Budget[[#This Row],[Variance_%]]&gt;0.05,"Overspend",IF(tbl_Budget[[#This Row],[Variance_%]]&lt;-0.05,"Underspend","On Budget"))</f>
        <v>Overspend</v>
      </c>
    </row>
    <row r="1508" spans="1:14" hidden="1">
      <c r="A1508" s="1">
        <v>45383</v>
      </c>
      <c r="B1508">
        <v>4</v>
      </c>
      <c r="C1508" t="s">
        <v>36</v>
      </c>
      <c r="D1508" t="s">
        <v>57</v>
      </c>
      <c r="E1508">
        <v>2024</v>
      </c>
      <c r="F1508" t="s">
        <v>13</v>
      </c>
      <c r="G1508" t="s">
        <v>20</v>
      </c>
      <c r="H1508" t="s">
        <v>18</v>
      </c>
      <c r="I1508" t="s">
        <v>16</v>
      </c>
      <c r="J1508">
        <v>18997.25</v>
      </c>
      <c r="K1508">
        <v>21114.94</v>
      </c>
      <c r="L1508" s="20">
        <f>tbl_Budget[[#This Row],[Actual]]-tbl_Budget[[#This Row],[Budget]]</f>
        <v>2117.6899999999987</v>
      </c>
      <c r="M1508" s="3">
        <f>tbl_Budget[[#This Row],[Variance]]/tbl_Budget[[#This Row],[Budget]]</f>
        <v>0.11147350274381812</v>
      </c>
      <c r="N1508" t="str">
        <f>IF(tbl_Budget[[#This Row],[Variance_%]]&gt;0.05,"Overspend",IF(tbl_Budget[[#This Row],[Variance_%]]&lt;-0.05,"Underspend","On Budget"))</f>
        <v>Overspend</v>
      </c>
    </row>
    <row r="1509" spans="1:14" hidden="1">
      <c r="A1509" s="1">
        <v>45383</v>
      </c>
      <c r="B1509">
        <v>4</v>
      </c>
      <c r="C1509" t="s">
        <v>36</v>
      </c>
      <c r="D1509" t="s">
        <v>57</v>
      </c>
      <c r="E1509">
        <v>2024</v>
      </c>
      <c r="F1509" t="s">
        <v>13</v>
      </c>
      <c r="G1509" t="s">
        <v>20</v>
      </c>
      <c r="H1509" t="s">
        <v>19</v>
      </c>
      <c r="I1509" t="s">
        <v>16</v>
      </c>
      <c r="J1509">
        <v>20694.86</v>
      </c>
      <c r="K1509">
        <v>24759.16</v>
      </c>
      <c r="L1509" s="20">
        <f>tbl_Budget[[#This Row],[Actual]]-tbl_Budget[[#This Row],[Budget]]</f>
        <v>4064.2999999999993</v>
      </c>
      <c r="M1509" s="3">
        <f>tbl_Budget[[#This Row],[Variance]]/tbl_Budget[[#This Row],[Budget]]</f>
        <v>0.1963917610459795</v>
      </c>
      <c r="N1509" t="str">
        <f>IF(tbl_Budget[[#This Row],[Variance_%]]&gt;0.05,"Overspend",IF(tbl_Budget[[#This Row],[Variance_%]]&lt;-0.05,"Underspend","On Budget"))</f>
        <v>Overspend</v>
      </c>
    </row>
    <row r="1510" spans="1:14">
      <c r="A1510" s="1">
        <v>45383</v>
      </c>
      <c r="B1510">
        <v>4</v>
      </c>
      <c r="C1510" t="s">
        <v>36</v>
      </c>
      <c r="D1510" t="s">
        <v>57</v>
      </c>
      <c r="E1510">
        <v>2024</v>
      </c>
      <c r="F1510" t="s">
        <v>13</v>
      </c>
      <c r="G1510" t="s">
        <v>21</v>
      </c>
      <c r="H1510" t="s">
        <v>15</v>
      </c>
      <c r="I1510" t="s">
        <v>16</v>
      </c>
      <c r="J1510">
        <v>11127.32</v>
      </c>
      <c r="K1510">
        <v>13097.32</v>
      </c>
      <c r="L1510" s="20">
        <f>tbl_Budget[[#This Row],[Actual]]-tbl_Budget[[#This Row],[Budget]]</f>
        <v>1970</v>
      </c>
      <c r="M1510" s="3">
        <f>tbl_Budget[[#This Row],[Variance]]/tbl_Budget[[#This Row],[Budget]]</f>
        <v>0.17704173152205563</v>
      </c>
      <c r="N1510" t="str">
        <f>IF(tbl_Budget[[#This Row],[Variance_%]]&gt;0.05,"Overspend",IF(tbl_Budget[[#This Row],[Variance_%]]&lt;-0.05,"Underspend","On Budget"))</f>
        <v>Overspend</v>
      </c>
    </row>
    <row r="1511" spans="1:14">
      <c r="A1511" s="1">
        <v>45383</v>
      </c>
      <c r="B1511">
        <v>4</v>
      </c>
      <c r="C1511" t="s">
        <v>36</v>
      </c>
      <c r="D1511" t="s">
        <v>57</v>
      </c>
      <c r="E1511">
        <v>2024</v>
      </c>
      <c r="F1511" t="s">
        <v>13</v>
      </c>
      <c r="G1511" t="s">
        <v>21</v>
      </c>
      <c r="H1511" t="s">
        <v>17</v>
      </c>
      <c r="I1511" t="s">
        <v>16</v>
      </c>
      <c r="J1511">
        <v>10738.51</v>
      </c>
      <c r="K1511">
        <v>12599.58</v>
      </c>
      <c r="L1511" s="20">
        <f>tbl_Budget[[#This Row],[Actual]]-tbl_Budget[[#This Row],[Budget]]</f>
        <v>1861.0699999999997</v>
      </c>
      <c r="M1511" s="3">
        <f>tbl_Budget[[#This Row],[Variance]]/tbl_Budget[[#This Row],[Budget]]</f>
        <v>0.17330802876749193</v>
      </c>
      <c r="N1511" t="str">
        <f>IF(tbl_Budget[[#This Row],[Variance_%]]&gt;0.05,"Overspend",IF(tbl_Budget[[#This Row],[Variance_%]]&lt;-0.05,"Underspend","On Budget"))</f>
        <v>Overspend</v>
      </c>
    </row>
    <row r="1512" spans="1:14">
      <c r="A1512" s="1">
        <v>45383</v>
      </c>
      <c r="B1512">
        <v>4</v>
      </c>
      <c r="C1512" t="s">
        <v>36</v>
      </c>
      <c r="D1512" t="s">
        <v>57</v>
      </c>
      <c r="E1512">
        <v>2024</v>
      </c>
      <c r="F1512" t="s">
        <v>13</v>
      </c>
      <c r="G1512" t="s">
        <v>21</v>
      </c>
      <c r="H1512" t="s">
        <v>18</v>
      </c>
      <c r="I1512" t="s">
        <v>16</v>
      </c>
      <c r="J1512">
        <v>10523.14</v>
      </c>
      <c r="K1512">
        <v>12153.79</v>
      </c>
      <c r="L1512" s="20">
        <f>tbl_Budget[[#This Row],[Actual]]-tbl_Budget[[#This Row],[Budget]]</f>
        <v>1630.6500000000015</v>
      </c>
      <c r="M1512" s="3">
        <f>tbl_Budget[[#This Row],[Variance]]/tbl_Budget[[#This Row],[Budget]]</f>
        <v>0.15495850097974573</v>
      </c>
      <c r="N1512" t="str">
        <f>IF(tbl_Budget[[#This Row],[Variance_%]]&gt;0.05,"Overspend",IF(tbl_Budget[[#This Row],[Variance_%]]&lt;-0.05,"Underspend","On Budget"))</f>
        <v>Overspend</v>
      </c>
    </row>
    <row r="1513" spans="1:14">
      <c r="A1513" s="1">
        <v>45383</v>
      </c>
      <c r="B1513">
        <v>4</v>
      </c>
      <c r="C1513" t="s">
        <v>36</v>
      </c>
      <c r="D1513" t="s">
        <v>57</v>
      </c>
      <c r="E1513">
        <v>2024</v>
      </c>
      <c r="F1513" t="s">
        <v>13</v>
      </c>
      <c r="G1513" t="s">
        <v>21</v>
      </c>
      <c r="H1513" t="s">
        <v>19</v>
      </c>
      <c r="I1513" t="s">
        <v>16</v>
      </c>
      <c r="J1513">
        <v>11237.29</v>
      </c>
      <c r="K1513">
        <v>12718.96</v>
      </c>
      <c r="L1513" s="20">
        <f>tbl_Budget[[#This Row],[Actual]]-tbl_Budget[[#This Row],[Budget]]</f>
        <v>1481.6699999999983</v>
      </c>
      <c r="M1513" s="3">
        <f>tbl_Budget[[#This Row],[Variance]]/tbl_Budget[[#This Row],[Budget]]</f>
        <v>0.13185296454928172</v>
      </c>
      <c r="N1513" t="str">
        <f>IF(tbl_Budget[[#This Row],[Variance_%]]&gt;0.05,"Overspend",IF(tbl_Budget[[#This Row],[Variance_%]]&lt;-0.05,"Underspend","On Budget"))</f>
        <v>Overspend</v>
      </c>
    </row>
    <row r="1514" spans="1:14" hidden="1">
      <c r="A1514" s="1">
        <v>45383</v>
      </c>
      <c r="B1514">
        <v>4</v>
      </c>
      <c r="C1514" t="s">
        <v>36</v>
      </c>
      <c r="D1514" t="s">
        <v>57</v>
      </c>
      <c r="E1514">
        <v>2024</v>
      </c>
      <c r="F1514" t="s">
        <v>13</v>
      </c>
      <c r="G1514" t="s">
        <v>22</v>
      </c>
      <c r="H1514" t="s">
        <v>15</v>
      </c>
      <c r="I1514" t="s">
        <v>16</v>
      </c>
      <c r="J1514">
        <v>8532.56</v>
      </c>
      <c r="K1514">
        <v>9508.7900000000009</v>
      </c>
      <c r="L1514" s="20">
        <f>tbl_Budget[[#This Row],[Actual]]-tbl_Budget[[#This Row],[Budget]]</f>
        <v>976.23000000000138</v>
      </c>
      <c r="M1514" s="3">
        <f>tbl_Budget[[#This Row],[Variance]]/tbl_Budget[[#This Row],[Budget]]</f>
        <v>0.11441232174165801</v>
      </c>
      <c r="N1514" t="str">
        <f>IF(tbl_Budget[[#This Row],[Variance_%]]&gt;0.05,"Overspend",IF(tbl_Budget[[#This Row],[Variance_%]]&lt;-0.05,"Underspend","On Budget"))</f>
        <v>Overspend</v>
      </c>
    </row>
    <row r="1515" spans="1:14" hidden="1">
      <c r="A1515" s="1">
        <v>45383</v>
      </c>
      <c r="B1515">
        <v>4</v>
      </c>
      <c r="C1515" t="s">
        <v>36</v>
      </c>
      <c r="D1515" t="s">
        <v>57</v>
      </c>
      <c r="E1515">
        <v>2024</v>
      </c>
      <c r="F1515" t="s">
        <v>13</v>
      </c>
      <c r="G1515" t="s">
        <v>22</v>
      </c>
      <c r="H1515" t="s">
        <v>17</v>
      </c>
      <c r="I1515" t="s">
        <v>16</v>
      </c>
      <c r="J1515">
        <v>8100.15</v>
      </c>
      <c r="K1515">
        <v>9494.5300000000007</v>
      </c>
      <c r="L1515" s="20">
        <f>tbl_Budget[[#This Row],[Actual]]-tbl_Budget[[#This Row],[Budget]]</f>
        <v>1394.380000000001</v>
      </c>
      <c r="M1515" s="3">
        <f>tbl_Budget[[#This Row],[Variance]]/tbl_Budget[[#This Row],[Budget]]</f>
        <v>0.17214249118843492</v>
      </c>
      <c r="N1515" t="str">
        <f>IF(tbl_Budget[[#This Row],[Variance_%]]&gt;0.05,"Overspend",IF(tbl_Budget[[#This Row],[Variance_%]]&lt;-0.05,"Underspend","On Budget"))</f>
        <v>Overspend</v>
      </c>
    </row>
    <row r="1516" spans="1:14" hidden="1">
      <c r="A1516" s="1">
        <v>45383</v>
      </c>
      <c r="B1516">
        <v>4</v>
      </c>
      <c r="C1516" t="s">
        <v>36</v>
      </c>
      <c r="D1516" t="s">
        <v>57</v>
      </c>
      <c r="E1516">
        <v>2024</v>
      </c>
      <c r="F1516" t="s">
        <v>13</v>
      </c>
      <c r="G1516" t="s">
        <v>22</v>
      </c>
      <c r="H1516" t="s">
        <v>18</v>
      </c>
      <c r="I1516" t="s">
        <v>16</v>
      </c>
      <c r="J1516">
        <v>8559.48</v>
      </c>
      <c r="K1516">
        <v>10013.129999999999</v>
      </c>
      <c r="L1516" s="20">
        <f>tbl_Budget[[#This Row],[Actual]]-tbl_Budget[[#This Row],[Budget]]</f>
        <v>1453.6499999999996</v>
      </c>
      <c r="M1516" s="3">
        <f>tbl_Budget[[#This Row],[Variance]]/tbl_Budget[[#This Row],[Budget]]</f>
        <v>0.1698292419632968</v>
      </c>
      <c r="N1516" t="str">
        <f>IF(tbl_Budget[[#This Row],[Variance_%]]&gt;0.05,"Overspend",IF(tbl_Budget[[#This Row],[Variance_%]]&lt;-0.05,"Underspend","On Budget"))</f>
        <v>Overspend</v>
      </c>
    </row>
    <row r="1517" spans="1:14" hidden="1">
      <c r="A1517" s="1">
        <v>45383</v>
      </c>
      <c r="B1517">
        <v>4</v>
      </c>
      <c r="C1517" t="s">
        <v>36</v>
      </c>
      <c r="D1517" t="s">
        <v>57</v>
      </c>
      <c r="E1517">
        <v>2024</v>
      </c>
      <c r="F1517" t="s">
        <v>13</v>
      </c>
      <c r="G1517" t="s">
        <v>22</v>
      </c>
      <c r="H1517" t="s">
        <v>19</v>
      </c>
      <c r="I1517" t="s">
        <v>16</v>
      </c>
      <c r="J1517">
        <v>8803.7099999999991</v>
      </c>
      <c r="K1517">
        <v>10379.780000000001</v>
      </c>
      <c r="L1517" s="20">
        <f>tbl_Budget[[#This Row],[Actual]]-tbl_Budget[[#This Row],[Budget]]</f>
        <v>1576.0700000000015</v>
      </c>
      <c r="M1517" s="3">
        <f>tbl_Budget[[#This Row],[Variance]]/tbl_Budget[[#This Row],[Budget]]</f>
        <v>0.17902338900304549</v>
      </c>
      <c r="N1517" t="str">
        <f>IF(tbl_Budget[[#This Row],[Variance_%]]&gt;0.05,"Overspend",IF(tbl_Budget[[#This Row],[Variance_%]]&lt;-0.05,"Underspend","On Budget"))</f>
        <v>Overspend</v>
      </c>
    </row>
    <row r="1518" spans="1:14" hidden="1">
      <c r="A1518" s="1">
        <v>45383</v>
      </c>
      <c r="B1518">
        <v>4</v>
      </c>
      <c r="C1518" t="s">
        <v>36</v>
      </c>
      <c r="D1518" t="s">
        <v>57</v>
      </c>
      <c r="E1518">
        <v>2024</v>
      </c>
      <c r="F1518" t="s">
        <v>13</v>
      </c>
      <c r="G1518" t="s">
        <v>23</v>
      </c>
      <c r="H1518" t="s">
        <v>15</v>
      </c>
      <c r="I1518" t="s">
        <v>16</v>
      </c>
      <c r="J1518">
        <v>8602.83</v>
      </c>
      <c r="K1518">
        <v>10375.4</v>
      </c>
      <c r="L1518" s="20">
        <f>tbl_Budget[[#This Row],[Actual]]-tbl_Budget[[#This Row],[Budget]]</f>
        <v>1772.5699999999997</v>
      </c>
      <c r="M1518" s="3">
        <f>tbl_Budget[[#This Row],[Variance]]/tbl_Budget[[#This Row],[Budget]]</f>
        <v>0.20604498752154812</v>
      </c>
      <c r="N1518" t="str">
        <f>IF(tbl_Budget[[#This Row],[Variance_%]]&gt;0.05,"Overspend",IF(tbl_Budget[[#This Row],[Variance_%]]&lt;-0.05,"Underspend","On Budget"))</f>
        <v>Overspend</v>
      </c>
    </row>
    <row r="1519" spans="1:14" hidden="1">
      <c r="A1519" s="1">
        <v>45383</v>
      </c>
      <c r="B1519">
        <v>4</v>
      </c>
      <c r="C1519" t="s">
        <v>36</v>
      </c>
      <c r="D1519" t="s">
        <v>57</v>
      </c>
      <c r="E1519">
        <v>2024</v>
      </c>
      <c r="F1519" t="s">
        <v>13</v>
      </c>
      <c r="G1519" t="s">
        <v>23</v>
      </c>
      <c r="H1519" t="s">
        <v>17</v>
      </c>
      <c r="I1519" t="s">
        <v>16</v>
      </c>
      <c r="J1519">
        <v>8284.44</v>
      </c>
      <c r="K1519">
        <v>9665.85</v>
      </c>
      <c r="L1519" s="20">
        <f>tbl_Budget[[#This Row],[Actual]]-tbl_Budget[[#This Row],[Budget]]</f>
        <v>1381.4099999999999</v>
      </c>
      <c r="M1519" s="3">
        <f>tbl_Budget[[#This Row],[Variance]]/tbl_Budget[[#This Row],[Budget]]</f>
        <v>0.16674754117357357</v>
      </c>
      <c r="N1519" t="str">
        <f>IF(tbl_Budget[[#This Row],[Variance_%]]&gt;0.05,"Overspend",IF(tbl_Budget[[#This Row],[Variance_%]]&lt;-0.05,"Underspend","On Budget"))</f>
        <v>Overspend</v>
      </c>
    </row>
    <row r="1520" spans="1:14" hidden="1">
      <c r="A1520" s="1">
        <v>45383</v>
      </c>
      <c r="B1520">
        <v>4</v>
      </c>
      <c r="C1520" t="s">
        <v>36</v>
      </c>
      <c r="D1520" t="s">
        <v>57</v>
      </c>
      <c r="E1520">
        <v>2024</v>
      </c>
      <c r="F1520" t="s">
        <v>13</v>
      </c>
      <c r="G1520" t="s">
        <v>23</v>
      </c>
      <c r="H1520" t="s">
        <v>18</v>
      </c>
      <c r="I1520" t="s">
        <v>16</v>
      </c>
      <c r="J1520">
        <v>8463.51</v>
      </c>
      <c r="K1520">
        <v>9483.0400000000009</v>
      </c>
      <c r="L1520" s="20">
        <f>tbl_Budget[[#This Row],[Actual]]-tbl_Budget[[#This Row],[Budget]]</f>
        <v>1019.5300000000007</v>
      </c>
      <c r="M1520" s="3">
        <f>tbl_Budget[[#This Row],[Variance]]/tbl_Budget[[#This Row],[Budget]]</f>
        <v>0.1204618414818439</v>
      </c>
      <c r="N1520" t="str">
        <f>IF(tbl_Budget[[#This Row],[Variance_%]]&gt;0.05,"Overspend",IF(tbl_Budget[[#This Row],[Variance_%]]&lt;-0.05,"Underspend","On Budget"))</f>
        <v>Overspend</v>
      </c>
    </row>
    <row r="1521" spans="1:14" hidden="1">
      <c r="A1521" s="1">
        <v>45383</v>
      </c>
      <c r="B1521">
        <v>4</v>
      </c>
      <c r="C1521" t="s">
        <v>36</v>
      </c>
      <c r="D1521" t="s">
        <v>57</v>
      </c>
      <c r="E1521">
        <v>2024</v>
      </c>
      <c r="F1521" t="s">
        <v>13</v>
      </c>
      <c r="G1521" t="s">
        <v>23</v>
      </c>
      <c r="H1521" t="s">
        <v>19</v>
      </c>
      <c r="I1521" t="s">
        <v>16</v>
      </c>
      <c r="J1521">
        <v>9180.18</v>
      </c>
      <c r="K1521">
        <v>10510.74</v>
      </c>
      <c r="L1521" s="20">
        <f>tbl_Budget[[#This Row],[Actual]]-tbl_Budget[[#This Row],[Budget]]</f>
        <v>1330.5599999999995</v>
      </c>
      <c r="M1521" s="3">
        <f>tbl_Budget[[#This Row],[Variance]]/tbl_Budget[[#This Row],[Budget]]</f>
        <v>0.14493833454245988</v>
      </c>
      <c r="N1521" t="str">
        <f>IF(tbl_Budget[[#This Row],[Variance_%]]&gt;0.05,"Overspend",IF(tbl_Budget[[#This Row],[Variance_%]]&lt;-0.05,"Underspend","On Budget"))</f>
        <v>Overspend</v>
      </c>
    </row>
    <row r="1522" spans="1:14" hidden="1">
      <c r="A1522" s="1">
        <v>45383</v>
      </c>
      <c r="B1522">
        <v>4</v>
      </c>
      <c r="C1522" t="s">
        <v>36</v>
      </c>
      <c r="D1522" t="s">
        <v>57</v>
      </c>
      <c r="E1522">
        <v>2024</v>
      </c>
      <c r="F1522" t="s">
        <v>24</v>
      </c>
      <c r="G1522" t="s">
        <v>14</v>
      </c>
      <c r="H1522" t="s">
        <v>15</v>
      </c>
      <c r="I1522" t="s">
        <v>25</v>
      </c>
      <c r="J1522">
        <v>53225.63</v>
      </c>
      <c r="K1522">
        <v>47872.02</v>
      </c>
      <c r="L1522" s="20">
        <f>tbl_Budget[[#This Row],[Actual]]-tbl_Budget[[#This Row],[Budget]]</f>
        <v>-5353.6100000000006</v>
      </c>
      <c r="M1522" s="3">
        <f>tbl_Budget[[#This Row],[Variance]]/tbl_Budget[[#This Row],[Budget]]</f>
        <v>-0.10058330920648569</v>
      </c>
      <c r="N1522" t="str">
        <f>IF(tbl_Budget[[#This Row],[Variance_%]]&gt;0.05,"Overspend",IF(tbl_Budget[[#This Row],[Variance_%]]&lt;-0.05,"Underspend","On Budget"))</f>
        <v>Underspend</v>
      </c>
    </row>
    <row r="1523" spans="1:14" hidden="1">
      <c r="A1523" s="1">
        <v>45383</v>
      </c>
      <c r="B1523">
        <v>4</v>
      </c>
      <c r="C1523" t="s">
        <v>36</v>
      </c>
      <c r="D1523" t="s">
        <v>57</v>
      </c>
      <c r="E1523">
        <v>2024</v>
      </c>
      <c r="F1523" t="s">
        <v>24</v>
      </c>
      <c r="G1523" t="s">
        <v>14</v>
      </c>
      <c r="H1523" t="s">
        <v>17</v>
      </c>
      <c r="I1523" t="s">
        <v>25</v>
      </c>
      <c r="J1523">
        <v>52757.07</v>
      </c>
      <c r="K1523">
        <v>45242.64</v>
      </c>
      <c r="L1523" s="20">
        <f>tbl_Budget[[#This Row],[Actual]]-tbl_Budget[[#This Row],[Budget]]</f>
        <v>-7514.43</v>
      </c>
      <c r="M1523" s="3">
        <f>tbl_Budget[[#This Row],[Variance]]/tbl_Budget[[#This Row],[Budget]]</f>
        <v>-0.14243455900792065</v>
      </c>
      <c r="N1523" t="str">
        <f>IF(tbl_Budget[[#This Row],[Variance_%]]&gt;0.05,"Overspend",IF(tbl_Budget[[#This Row],[Variance_%]]&lt;-0.05,"Underspend","On Budget"))</f>
        <v>Underspend</v>
      </c>
    </row>
    <row r="1524" spans="1:14" hidden="1">
      <c r="A1524" s="1">
        <v>45383</v>
      </c>
      <c r="B1524">
        <v>4</v>
      </c>
      <c r="C1524" t="s">
        <v>36</v>
      </c>
      <c r="D1524" t="s">
        <v>57</v>
      </c>
      <c r="E1524">
        <v>2024</v>
      </c>
      <c r="F1524" t="s">
        <v>24</v>
      </c>
      <c r="G1524" t="s">
        <v>14</v>
      </c>
      <c r="H1524" t="s">
        <v>18</v>
      </c>
      <c r="I1524" t="s">
        <v>25</v>
      </c>
      <c r="J1524">
        <v>53675.59</v>
      </c>
      <c r="K1524">
        <v>46228.78</v>
      </c>
      <c r="L1524" s="20">
        <f>tbl_Budget[[#This Row],[Actual]]-tbl_Budget[[#This Row],[Budget]]</f>
        <v>-7446.8099999999977</v>
      </c>
      <c r="M1524" s="3">
        <f>tbl_Budget[[#This Row],[Variance]]/tbl_Budget[[#This Row],[Budget]]</f>
        <v>-0.13873736646397364</v>
      </c>
      <c r="N1524" t="str">
        <f>IF(tbl_Budget[[#This Row],[Variance_%]]&gt;0.05,"Overspend",IF(tbl_Budget[[#This Row],[Variance_%]]&lt;-0.05,"Underspend","On Budget"))</f>
        <v>Underspend</v>
      </c>
    </row>
    <row r="1525" spans="1:14" hidden="1">
      <c r="A1525" s="1">
        <v>45383</v>
      </c>
      <c r="B1525">
        <v>4</v>
      </c>
      <c r="C1525" t="s">
        <v>36</v>
      </c>
      <c r="D1525" t="s">
        <v>57</v>
      </c>
      <c r="E1525">
        <v>2024</v>
      </c>
      <c r="F1525" t="s">
        <v>24</v>
      </c>
      <c r="G1525" t="s">
        <v>14</v>
      </c>
      <c r="H1525" t="s">
        <v>19</v>
      </c>
      <c r="I1525" t="s">
        <v>25</v>
      </c>
      <c r="J1525">
        <v>55460.27</v>
      </c>
      <c r="K1525">
        <v>47847.5</v>
      </c>
      <c r="L1525" s="20">
        <f>tbl_Budget[[#This Row],[Actual]]-tbl_Budget[[#This Row],[Budget]]</f>
        <v>-7612.7699999999968</v>
      </c>
      <c r="M1525" s="3">
        <f>tbl_Budget[[#This Row],[Variance]]/tbl_Budget[[#This Row],[Budget]]</f>
        <v>-0.13726528918809802</v>
      </c>
      <c r="N1525" t="str">
        <f>IF(tbl_Budget[[#This Row],[Variance_%]]&gt;0.05,"Overspend",IF(tbl_Budget[[#This Row],[Variance_%]]&lt;-0.05,"Underspend","On Budget"))</f>
        <v>Underspend</v>
      </c>
    </row>
    <row r="1526" spans="1:14" hidden="1">
      <c r="A1526" s="1">
        <v>45383</v>
      </c>
      <c r="B1526">
        <v>4</v>
      </c>
      <c r="C1526" t="s">
        <v>36</v>
      </c>
      <c r="D1526" t="s">
        <v>57</v>
      </c>
      <c r="E1526">
        <v>2024</v>
      </c>
      <c r="F1526" t="s">
        <v>24</v>
      </c>
      <c r="G1526" t="s">
        <v>20</v>
      </c>
      <c r="H1526" t="s">
        <v>15</v>
      </c>
      <c r="I1526" t="s">
        <v>25</v>
      </c>
      <c r="J1526">
        <v>29599.33</v>
      </c>
      <c r="K1526">
        <v>25636.83</v>
      </c>
      <c r="L1526" s="20">
        <f>tbl_Budget[[#This Row],[Actual]]-tbl_Budget[[#This Row],[Budget]]</f>
        <v>-3962.5</v>
      </c>
      <c r="M1526" s="3">
        <f>tbl_Budget[[#This Row],[Variance]]/tbl_Budget[[#This Row],[Budget]]</f>
        <v>-0.13387127343760821</v>
      </c>
      <c r="N1526" t="str">
        <f>IF(tbl_Budget[[#This Row],[Variance_%]]&gt;0.05,"Overspend",IF(tbl_Budget[[#This Row],[Variance_%]]&lt;-0.05,"Underspend","On Budget"))</f>
        <v>Underspend</v>
      </c>
    </row>
    <row r="1527" spans="1:14" hidden="1">
      <c r="A1527" s="1">
        <v>45383</v>
      </c>
      <c r="B1527">
        <v>4</v>
      </c>
      <c r="C1527" t="s">
        <v>36</v>
      </c>
      <c r="D1527" t="s">
        <v>57</v>
      </c>
      <c r="E1527">
        <v>2024</v>
      </c>
      <c r="F1527" t="s">
        <v>24</v>
      </c>
      <c r="G1527" t="s">
        <v>20</v>
      </c>
      <c r="H1527" t="s">
        <v>17</v>
      </c>
      <c r="I1527" t="s">
        <v>25</v>
      </c>
      <c r="J1527">
        <v>27696.42</v>
      </c>
      <c r="K1527">
        <v>24104.43</v>
      </c>
      <c r="L1527" s="20">
        <f>tbl_Budget[[#This Row],[Actual]]-tbl_Budget[[#This Row],[Budget]]</f>
        <v>-3591.989999999998</v>
      </c>
      <c r="M1527" s="3">
        <f>tbl_Budget[[#This Row],[Variance]]/tbl_Budget[[#This Row],[Budget]]</f>
        <v>-0.12969149081361411</v>
      </c>
      <c r="N1527" t="str">
        <f>IF(tbl_Budget[[#This Row],[Variance_%]]&gt;0.05,"Overspend",IF(tbl_Budget[[#This Row],[Variance_%]]&lt;-0.05,"Underspend","On Budget"))</f>
        <v>Underspend</v>
      </c>
    </row>
    <row r="1528" spans="1:14" hidden="1">
      <c r="A1528" s="1">
        <v>45383</v>
      </c>
      <c r="B1528">
        <v>4</v>
      </c>
      <c r="C1528" t="s">
        <v>36</v>
      </c>
      <c r="D1528" t="s">
        <v>57</v>
      </c>
      <c r="E1528">
        <v>2024</v>
      </c>
      <c r="F1528" t="s">
        <v>24</v>
      </c>
      <c r="G1528" t="s">
        <v>20</v>
      </c>
      <c r="H1528" t="s">
        <v>18</v>
      </c>
      <c r="I1528" t="s">
        <v>25</v>
      </c>
      <c r="J1528">
        <v>28475.65</v>
      </c>
      <c r="K1528">
        <v>24372.07</v>
      </c>
      <c r="L1528" s="20">
        <f>tbl_Budget[[#This Row],[Actual]]-tbl_Budget[[#This Row],[Budget]]</f>
        <v>-4103.5800000000017</v>
      </c>
      <c r="M1528" s="3">
        <f>tbl_Budget[[#This Row],[Variance]]/tbl_Budget[[#This Row],[Budget]]</f>
        <v>-0.14410838734146547</v>
      </c>
      <c r="N1528" t="str">
        <f>IF(tbl_Budget[[#This Row],[Variance_%]]&gt;0.05,"Overspend",IF(tbl_Budget[[#This Row],[Variance_%]]&lt;-0.05,"Underspend","On Budget"))</f>
        <v>Underspend</v>
      </c>
    </row>
    <row r="1529" spans="1:14" hidden="1">
      <c r="A1529" s="1">
        <v>45383</v>
      </c>
      <c r="B1529">
        <v>4</v>
      </c>
      <c r="C1529" t="s">
        <v>36</v>
      </c>
      <c r="D1529" t="s">
        <v>57</v>
      </c>
      <c r="E1529">
        <v>2024</v>
      </c>
      <c r="F1529" t="s">
        <v>24</v>
      </c>
      <c r="G1529" t="s">
        <v>20</v>
      </c>
      <c r="H1529" t="s">
        <v>19</v>
      </c>
      <c r="I1529" t="s">
        <v>25</v>
      </c>
      <c r="J1529">
        <v>30142.82</v>
      </c>
      <c r="K1529">
        <v>26092.6</v>
      </c>
      <c r="L1529" s="20">
        <f>tbl_Budget[[#This Row],[Actual]]-tbl_Budget[[#This Row],[Budget]]</f>
        <v>-4050.2200000000012</v>
      </c>
      <c r="M1529" s="3">
        <f>tbl_Budget[[#This Row],[Variance]]/tbl_Budget[[#This Row],[Budget]]</f>
        <v>-0.13436765372317525</v>
      </c>
      <c r="N1529" t="str">
        <f>IF(tbl_Budget[[#This Row],[Variance_%]]&gt;0.05,"Overspend",IF(tbl_Budget[[#This Row],[Variance_%]]&lt;-0.05,"Underspend","On Budget"))</f>
        <v>Underspend</v>
      </c>
    </row>
    <row r="1530" spans="1:14">
      <c r="A1530" s="1">
        <v>45383</v>
      </c>
      <c r="B1530">
        <v>4</v>
      </c>
      <c r="C1530" t="s">
        <v>36</v>
      </c>
      <c r="D1530" t="s">
        <v>57</v>
      </c>
      <c r="E1530">
        <v>2024</v>
      </c>
      <c r="F1530" t="s">
        <v>24</v>
      </c>
      <c r="G1530" t="s">
        <v>21</v>
      </c>
      <c r="H1530" t="s">
        <v>15</v>
      </c>
      <c r="I1530" t="s">
        <v>25</v>
      </c>
      <c r="J1530">
        <v>11445.58</v>
      </c>
      <c r="K1530">
        <v>10384.219999999999</v>
      </c>
      <c r="L1530" s="20">
        <f>tbl_Budget[[#This Row],[Actual]]-tbl_Budget[[#This Row],[Budget]]</f>
        <v>-1061.3600000000006</v>
      </c>
      <c r="M1530" s="3">
        <f>tbl_Budget[[#This Row],[Variance]]/tbl_Budget[[#This Row],[Budget]]</f>
        <v>-9.2730993099519696E-2</v>
      </c>
      <c r="N1530" t="str">
        <f>IF(tbl_Budget[[#This Row],[Variance_%]]&gt;0.05,"Overspend",IF(tbl_Budget[[#This Row],[Variance_%]]&lt;-0.05,"Underspend","On Budget"))</f>
        <v>Underspend</v>
      </c>
    </row>
    <row r="1531" spans="1:14">
      <c r="A1531" s="1">
        <v>45383</v>
      </c>
      <c r="B1531">
        <v>4</v>
      </c>
      <c r="C1531" t="s">
        <v>36</v>
      </c>
      <c r="D1531" t="s">
        <v>57</v>
      </c>
      <c r="E1531">
        <v>2024</v>
      </c>
      <c r="F1531" t="s">
        <v>24</v>
      </c>
      <c r="G1531" t="s">
        <v>21</v>
      </c>
      <c r="H1531" t="s">
        <v>17</v>
      </c>
      <c r="I1531" t="s">
        <v>25</v>
      </c>
      <c r="J1531">
        <v>10851.64</v>
      </c>
      <c r="K1531">
        <v>9385.2800000000007</v>
      </c>
      <c r="L1531" s="20">
        <f>tbl_Budget[[#This Row],[Actual]]-tbl_Budget[[#This Row],[Budget]]</f>
        <v>-1466.3599999999988</v>
      </c>
      <c r="M1531" s="3">
        <f>tbl_Budget[[#This Row],[Variance]]/tbl_Budget[[#This Row],[Budget]]</f>
        <v>-0.13512796222506449</v>
      </c>
      <c r="N1531" t="str">
        <f>IF(tbl_Budget[[#This Row],[Variance_%]]&gt;0.05,"Overspend",IF(tbl_Budget[[#This Row],[Variance_%]]&lt;-0.05,"Underspend","On Budget"))</f>
        <v>Underspend</v>
      </c>
    </row>
    <row r="1532" spans="1:14">
      <c r="A1532" s="1">
        <v>45383</v>
      </c>
      <c r="B1532">
        <v>4</v>
      </c>
      <c r="C1532" t="s">
        <v>36</v>
      </c>
      <c r="D1532" t="s">
        <v>57</v>
      </c>
      <c r="E1532">
        <v>2024</v>
      </c>
      <c r="F1532" t="s">
        <v>24</v>
      </c>
      <c r="G1532" t="s">
        <v>21</v>
      </c>
      <c r="H1532" t="s">
        <v>18</v>
      </c>
      <c r="I1532" t="s">
        <v>25</v>
      </c>
      <c r="J1532">
        <v>11498.5</v>
      </c>
      <c r="K1532">
        <v>10158.68</v>
      </c>
      <c r="L1532" s="20">
        <f>tbl_Budget[[#This Row],[Actual]]-tbl_Budget[[#This Row],[Budget]]</f>
        <v>-1339.8199999999997</v>
      </c>
      <c r="M1532" s="3">
        <f>tbl_Budget[[#This Row],[Variance]]/tbl_Budget[[#This Row],[Budget]]</f>
        <v>-0.1165212853850502</v>
      </c>
      <c r="N1532" t="str">
        <f>IF(tbl_Budget[[#This Row],[Variance_%]]&gt;0.05,"Overspend",IF(tbl_Budget[[#This Row],[Variance_%]]&lt;-0.05,"Underspend","On Budget"))</f>
        <v>Underspend</v>
      </c>
    </row>
    <row r="1533" spans="1:14">
      <c r="A1533" s="1">
        <v>45383</v>
      </c>
      <c r="B1533">
        <v>4</v>
      </c>
      <c r="C1533" t="s">
        <v>36</v>
      </c>
      <c r="D1533" t="s">
        <v>57</v>
      </c>
      <c r="E1533">
        <v>2024</v>
      </c>
      <c r="F1533" t="s">
        <v>24</v>
      </c>
      <c r="G1533" t="s">
        <v>21</v>
      </c>
      <c r="H1533" t="s">
        <v>19</v>
      </c>
      <c r="I1533" t="s">
        <v>25</v>
      </c>
      <c r="J1533">
        <v>11782.67</v>
      </c>
      <c r="K1533">
        <v>10336.73</v>
      </c>
      <c r="L1533" s="20">
        <f>tbl_Budget[[#This Row],[Actual]]-tbl_Budget[[#This Row],[Budget]]</f>
        <v>-1445.9400000000005</v>
      </c>
      <c r="M1533" s="3">
        <f>tbl_Budget[[#This Row],[Variance]]/tbl_Budget[[#This Row],[Budget]]</f>
        <v>-0.12271751648819838</v>
      </c>
      <c r="N1533" t="str">
        <f>IF(tbl_Budget[[#This Row],[Variance_%]]&gt;0.05,"Overspend",IF(tbl_Budget[[#This Row],[Variance_%]]&lt;-0.05,"Underspend","On Budget"))</f>
        <v>Underspend</v>
      </c>
    </row>
    <row r="1534" spans="1:14" hidden="1">
      <c r="A1534" s="1">
        <v>45383</v>
      </c>
      <c r="B1534">
        <v>4</v>
      </c>
      <c r="C1534" t="s">
        <v>36</v>
      </c>
      <c r="D1534" t="s">
        <v>57</v>
      </c>
      <c r="E1534">
        <v>2024</v>
      </c>
      <c r="F1534" t="s">
        <v>24</v>
      </c>
      <c r="G1534" t="s">
        <v>22</v>
      </c>
      <c r="H1534" t="s">
        <v>15</v>
      </c>
      <c r="I1534" t="s">
        <v>25</v>
      </c>
      <c r="J1534">
        <v>9231.9699999999993</v>
      </c>
      <c r="K1534">
        <v>7908.47</v>
      </c>
      <c r="L1534" s="20">
        <f>tbl_Budget[[#This Row],[Actual]]-tbl_Budget[[#This Row],[Budget]]</f>
        <v>-1323.4999999999991</v>
      </c>
      <c r="M1534" s="3">
        <f>tbl_Budget[[#This Row],[Variance]]/tbl_Budget[[#This Row],[Budget]]</f>
        <v>-0.14336051785263593</v>
      </c>
      <c r="N1534" t="str">
        <f>IF(tbl_Budget[[#This Row],[Variance_%]]&gt;0.05,"Overspend",IF(tbl_Budget[[#This Row],[Variance_%]]&lt;-0.05,"Underspend","On Budget"))</f>
        <v>Underspend</v>
      </c>
    </row>
    <row r="1535" spans="1:14" hidden="1">
      <c r="A1535" s="1">
        <v>45383</v>
      </c>
      <c r="B1535">
        <v>4</v>
      </c>
      <c r="C1535" t="s">
        <v>36</v>
      </c>
      <c r="D1535" t="s">
        <v>57</v>
      </c>
      <c r="E1535">
        <v>2024</v>
      </c>
      <c r="F1535" t="s">
        <v>24</v>
      </c>
      <c r="G1535" t="s">
        <v>22</v>
      </c>
      <c r="H1535" t="s">
        <v>17</v>
      </c>
      <c r="I1535" t="s">
        <v>25</v>
      </c>
      <c r="J1535">
        <v>8409.56</v>
      </c>
      <c r="K1535">
        <v>7498.57</v>
      </c>
      <c r="L1535" s="20">
        <f>tbl_Budget[[#This Row],[Actual]]-tbl_Budget[[#This Row],[Budget]]</f>
        <v>-910.98999999999978</v>
      </c>
      <c r="M1535" s="3">
        <f>tbl_Budget[[#This Row],[Variance]]/tbl_Budget[[#This Row],[Budget]]</f>
        <v>-0.1083279030056269</v>
      </c>
      <c r="N1535" t="str">
        <f>IF(tbl_Budget[[#This Row],[Variance_%]]&gt;0.05,"Overspend",IF(tbl_Budget[[#This Row],[Variance_%]]&lt;-0.05,"Underspend","On Budget"))</f>
        <v>Underspend</v>
      </c>
    </row>
    <row r="1536" spans="1:14" hidden="1">
      <c r="A1536" s="1">
        <v>45383</v>
      </c>
      <c r="B1536">
        <v>4</v>
      </c>
      <c r="C1536" t="s">
        <v>36</v>
      </c>
      <c r="D1536" t="s">
        <v>57</v>
      </c>
      <c r="E1536">
        <v>2024</v>
      </c>
      <c r="F1536" t="s">
        <v>24</v>
      </c>
      <c r="G1536" t="s">
        <v>22</v>
      </c>
      <c r="H1536" t="s">
        <v>18</v>
      </c>
      <c r="I1536" t="s">
        <v>25</v>
      </c>
      <c r="J1536">
        <v>8738.43</v>
      </c>
      <c r="K1536">
        <v>7475.8</v>
      </c>
      <c r="L1536" s="20">
        <f>tbl_Budget[[#This Row],[Actual]]-tbl_Budget[[#This Row],[Budget]]</f>
        <v>-1262.6300000000001</v>
      </c>
      <c r="M1536" s="3">
        <f>tbl_Budget[[#This Row],[Variance]]/tbl_Budget[[#This Row],[Budget]]</f>
        <v>-0.14449163064761061</v>
      </c>
      <c r="N1536" t="str">
        <f>IF(tbl_Budget[[#This Row],[Variance_%]]&gt;0.05,"Overspend",IF(tbl_Budget[[#This Row],[Variance_%]]&lt;-0.05,"Underspend","On Budget"))</f>
        <v>Underspend</v>
      </c>
    </row>
    <row r="1537" spans="1:14" hidden="1">
      <c r="A1537" s="1">
        <v>45383</v>
      </c>
      <c r="B1537">
        <v>4</v>
      </c>
      <c r="C1537" t="s">
        <v>36</v>
      </c>
      <c r="D1537" t="s">
        <v>57</v>
      </c>
      <c r="E1537">
        <v>2024</v>
      </c>
      <c r="F1537" t="s">
        <v>24</v>
      </c>
      <c r="G1537" t="s">
        <v>22</v>
      </c>
      <c r="H1537" t="s">
        <v>19</v>
      </c>
      <c r="I1537" t="s">
        <v>25</v>
      </c>
      <c r="J1537">
        <v>9324.1</v>
      </c>
      <c r="K1537">
        <v>8277.02</v>
      </c>
      <c r="L1537" s="20">
        <f>tbl_Budget[[#This Row],[Actual]]-tbl_Budget[[#This Row],[Budget]]</f>
        <v>-1047.08</v>
      </c>
      <c r="M1537" s="3">
        <f>tbl_Budget[[#This Row],[Variance]]/tbl_Budget[[#This Row],[Budget]]</f>
        <v>-0.11229823789963642</v>
      </c>
      <c r="N1537" t="str">
        <f>IF(tbl_Budget[[#This Row],[Variance_%]]&gt;0.05,"Overspend",IF(tbl_Budget[[#This Row],[Variance_%]]&lt;-0.05,"Underspend","On Budget"))</f>
        <v>Underspend</v>
      </c>
    </row>
    <row r="1538" spans="1:14" hidden="1">
      <c r="A1538" s="1">
        <v>45383</v>
      </c>
      <c r="B1538">
        <v>4</v>
      </c>
      <c r="C1538" t="s">
        <v>36</v>
      </c>
      <c r="D1538" t="s">
        <v>57</v>
      </c>
      <c r="E1538">
        <v>2024</v>
      </c>
      <c r="F1538" t="s">
        <v>24</v>
      </c>
      <c r="G1538" t="s">
        <v>23</v>
      </c>
      <c r="H1538" t="s">
        <v>15</v>
      </c>
      <c r="I1538" t="s">
        <v>25</v>
      </c>
      <c r="J1538">
        <v>7909.79</v>
      </c>
      <c r="K1538">
        <v>6784.77</v>
      </c>
      <c r="L1538" s="20">
        <f>tbl_Budget[[#This Row],[Actual]]-tbl_Budget[[#This Row],[Budget]]</f>
        <v>-1125.0199999999995</v>
      </c>
      <c r="M1538" s="3">
        <f>tbl_Budget[[#This Row],[Variance]]/tbl_Budget[[#This Row],[Budget]]</f>
        <v>-0.14223133610373973</v>
      </c>
      <c r="N1538" t="str">
        <f>IF(tbl_Budget[[#This Row],[Variance_%]]&gt;0.05,"Overspend",IF(tbl_Budget[[#This Row],[Variance_%]]&lt;-0.05,"Underspend","On Budget"))</f>
        <v>Underspend</v>
      </c>
    </row>
    <row r="1539" spans="1:14" hidden="1">
      <c r="A1539" s="1">
        <v>45383</v>
      </c>
      <c r="B1539">
        <v>4</v>
      </c>
      <c r="C1539" t="s">
        <v>36</v>
      </c>
      <c r="D1539" t="s">
        <v>57</v>
      </c>
      <c r="E1539">
        <v>2024</v>
      </c>
      <c r="F1539" t="s">
        <v>24</v>
      </c>
      <c r="G1539" t="s">
        <v>23</v>
      </c>
      <c r="H1539" t="s">
        <v>17</v>
      </c>
      <c r="I1539" t="s">
        <v>25</v>
      </c>
      <c r="J1539">
        <v>7274.79</v>
      </c>
      <c r="K1539">
        <v>6169.16</v>
      </c>
      <c r="L1539" s="20">
        <f>tbl_Budget[[#This Row],[Actual]]-tbl_Budget[[#This Row],[Budget]]</f>
        <v>-1105.6300000000001</v>
      </c>
      <c r="M1539" s="3">
        <f>tbl_Budget[[#This Row],[Variance]]/tbl_Budget[[#This Row],[Budget]]</f>
        <v>-0.15198101938337741</v>
      </c>
      <c r="N1539" t="str">
        <f>IF(tbl_Budget[[#This Row],[Variance_%]]&gt;0.05,"Overspend",IF(tbl_Budget[[#This Row],[Variance_%]]&lt;-0.05,"Underspend","On Budget"))</f>
        <v>Underspend</v>
      </c>
    </row>
    <row r="1540" spans="1:14" hidden="1">
      <c r="A1540" s="1">
        <v>45383</v>
      </c>
      <c r="B1540">
        <v>4</v>
      </c>
      <c r="C1540" t="s">
        <v>36</v>
      </c>
      <c r="D1540" t="s">
        <v>57</v>
      </c>
      <c r="E1540">
        <v>2024</v>
      </c>
      <c r="F1540" t="s">
        <v>24</v>
      </c>
      <c r="G1540" t="s">
        <v>23</v>
      </c>
      <c r="H1540" t="s">
        <v>18</v>
      </c>
      <c r="I1540" t="s">
        <v>25</v>
      </c>
      <c r="J1540">
        <v>7582.62</v>
      </c>
      <c r="K1540">
        <v>6448.65</v>
      </c>
      <c r="L1540" s="20">
        <f>tbl_Budget[[#This Row],[Actual]]-tbl_Budget[[#This Row],[Budget]]</f>
        <v>-1133.9700000000003</v>
      </c>
      <c r="M1540" s="3">
        <f>tbl_Budget[[#This Row],[Variance]]/tbl_Budget[[#This Row],[Budget]]</f>
        <v>-0.14954857292070553</v>
      </c>
      <c r="N1540" t="str">
        <f>IF(tbl_Budget[[#This Row],[Variance_%]]&gt;0.05,"Overspend",IF(tbl_Budget[[#This Row],[Variance_%]]&lt;-0.05,"Underspend","On Budget"))</f>
        <v>Underspend</v>
      </c>
    </row>
    <row r="1541" spans="1:14" hidden="1">
      <c r="A1541" s="1">
        <v>45383</v>
      </c>
      <c r="B1541">
        <v>4</v>
      </c>
      <c r="C1541" t="s">
        <v>36</v>
      </c>
      <c r="D1541" t="s">
        <v>57</v>
      </c>
      <c r="E1541">
        <v>2024</v>
      </c>
      <c r="F1541" t="s">
        <v>24</v>
      </c>
      <c r="G1541" t="s">
        <v>23</v>
      </c>
      <c r="H1541" t="s">
        <v>19</v>
      </c>
      <c r="I1541" t="s">
        <v>25</v>
      </c>
      <c r="J1541">
        <v>7858.94</v>
      </c>
      <c r="K1541">
        <v>6760.85</v>
      </c>
      <c r="L1541" s="20">
        <f>tbl_Budget[[#This Row],[Actual]]-tbl_Budget[[#This Row],[Budget]]</f>
        <v>-1098.0899999999992</v>
      </c>
      <c r="M1541" s="3">
        <f>tbl_Budget[[#This Row],[Variance]]/tbl_Budget[[#This Row],[Budget]]</f>
        <v>-0.13972495018412143</v>
      </c>
      <c r="N1541" t="str">
        <f>IF(tbl_Budget[[#This Row],[Variance_%]]&gt;0.05,"Overspend",IF(tbl_Budget[[#This Row],[Variance_%]]&lt;-0.05,"Underspend","On Budget"))</f>
        <v>Underspend</v>
      </c>
    </row>
    <row r="1542" spans="1:14" hidden="1">
      <c r="A1542" s="1">
        <v>45383</v>
      </c>
      <c r="B1542">
        <v>4</v>
      </c>
      <c r="C1542" t="s">
        <v>36</v>
      </c>
      <c r="D1542" t="s">
        <v>57</v>
      </c>
      <c r="E1542">
        <v>2024</v>
      </c>
      <c r="F1542" t="s">
        <v>26</v>
      </c>
      <c r="G1542" t="s">
        <v>14</v>
      </c>
      <c r="H1542" t="s">
        <v>15</v>
      </c>
      <c r="I1542" t="s">
        <v>27</v>
      </c>
      <c r="J1542">
        <v>48545.279999999999</v>
      </c>
      <c r="K1542">
        <v>47470.18</v>
      </c>
      <c r="L1542" s="20">
        <f>tbl_Budget[[#This Row],[Actual]]-tbl_Budget[[#This Row],[Budget]]</f>
        <v>-1075.0999999999985</v>
      </c>
      <c r="M1542" s="3">
        <f>tbl_Budget[[#This Row],[Variance]]/tbl_Budget[[#This Row],[Budget]]</f>
        <v>-2.2146334308917336E-2</v>
      </c>
      <c r="N1542" t="str">
        <f>IF(tbl_Budget[[#This Row],[Variance_%]]&gt;0.05,"Overspend",IF(tbl_Budget[[#This Row],[Variance_%]]&lt;-0.05,"Underspend","On Budget"))</f>
        <v>On Budget</v>
      </c>
    </row>
    <row r="1543" spans="1:14" hidden="1">
      <c r="A1543" s="1">
        <v>45383</v>
      </c>
      <c r="B1543">
        <v>4</v>
      </c>
      <c r="C1543" t="s">
        <v>36</v>
      </c>
      <c r="D1543" t="s">
        <v>57</v>
      </c>
      <c r="E1543">
        <v>2024</v>
      </c>
      <c r="F1543" t="s">
        <v>26</v>
      </c>
      <c r="G1543" t="s">
        <v>14</v>
      </c>
      <c r="H1543" t="s">
        <v>17</v>
      </c>
      <c r="I1543" t="s">
        <v>27</v>
      </c>
      <c r="J1543">
        <v>45630.03</v>
      </c>
      <c r="K1543">
        <v>46847.5</v>
      </c>
      <c r="L1543" s="20">
        <f>tbl_Budget[[#This Row],[Actual]]-tbl_Budget[[#This Row],[Budget]]</f>
        <v>1217.4700000000012</v>
      </c>
      <c r="M1543" s="3">
        <f>tbl_Budget[[#This Row],[Variance]]/tbl_Budget[[#This Row],[Budget]]</f>
        <v>2.6681332447074903E-2</v>
      </c>
      <c r="N1543" t="str">
        <f>IF(tbl_Budget[[#This Row],[Variance_%]]&gt;0.05,"Overspend",IF(tbl_Budget[[#This Row],[Variance_%]]&lt;-0.05,"Underspend","On Budget"))</f>
        <v>On Budget</v>
      </c>
    </row>
    <row r="1544" spans="1:14" hidden="1">
      <c r="A1544" s="1">
        <v>45383</v>
      </c>
      <c r="B1544">
        <v>4</v>
      </c>
      <c r="C1544" t="s">
        <v>36</v>
      </c>
      <c r="D1544" t="s">
        <v>57</v>
      </c>
      <c r="E1544">
        <v>2024</v>
      </c>
      <c r="F1544" t="s">
        <v>26</v>
      </c>
      <c r="G1544" t="s">
        <v>14</v>
      </c>
      <c r="H1544" t="s">
        <v>18</v>
      </c>
      <c r="I1544" t="s">
        <v>27</v>
      </c>
      <c r="J1544">
        <v>45317.22</v>
      </c>
      <c r="K1544">
        <v>45511.92</v>
      </c>
      <c r="L1544" s="20">
        <f>tbl_Budget[[#This Row],[Actual]]-tbl_Budget[[#This Row],[Budget]]</f>
        <v>194.69999999999709</v>
      </c>
      <c r="M1544" s="3">
        <f>tbl_Budget[[#This Row],[Variance]]/tbl_Budget[[#This Row],[Budget]]</f>
        <v>4.2963800515564959E-3</v>
      </c>
      <c r="N1544" t="str">
        <f>IF(tbl_Budget[[#This Row],[Variance_%]]&gt;0.05,"Overspend",IF(tbl_Budget[[#This Row],[Variance_%]]&lt;-0.05,"Underspend","On Budget"))</f>
        <v>On Budget</v>
      </c>
    </row>
    <row r="1545" spans="1:14" hidden="1">
      <c r="A1545" s="1">
        <v>45383</v>
      </c>
      <c r="B1545">
        <v>4</v>
      </c>
      <c r="C1545" t="s">
        <v>36</v>
      </c>
      <c r="D1545" t="s">
        <v>57</v>
      </c>
      <c r="E1545">
        <v>2024</v>
      </c>
      <c r="F1545" t="s">
        <v>26</v>
      </c>
      <c r="G1545" t="s">
        <v>14</v>
      </c>
      <c r="H1545" t="s">
        <v>19</v>
      </c>
      <c r="I1545" t="s">
        <v>27</v>
      </c>
      <c r="J1545">
        <v>49795.32</v>
      </c>
      <c r="K1545">
        <v>49456.58</v>
      </c>
      <c r="L1545" s="20">
        <f>tbl_Budget[[#This Row],[Actual]]-tbl_Budget[[#This Row],[Budget]]</f>
        <v>-338.73999999999796</v>
      </c>
      <c r="M1545" s="3">
        <f>tbl_Budget[[#This Row],[Variance]]/tbl_Budget[[#This Row],[Budget]]</f>
        <v>-6.802647317057064E-3</v>
      </c>
      <c r="N1545" t="str">
        <f>IF(tbl_Budget[[#This Row],[Variance_%]]&gt;0.05,"Overspend",IF(tbl_Budget[[#This Row],[Variance_%]]&lt;-0.05,"Underspend","On Budget"))</f>
        <v>On Budget</v>
      </c>
    </row>
    <row r="1546" spans="1:14" hidden="1">
      <c r="A1546" s="1">
        <v>45383</v>
      </c>
      <c r="B1546">
        <v>4</v>
      </c>
      <c r="C1546" t="s">
        <v>36</v>
      </c>
      <c r="D1546" t="s">
        <v>57</v>
      </c>
      <c r="E1546">
        <v>2024</v>
      </c>
      <c r="F1546" t="s">
        <v>26</v>
      </c>
      <c r="G1546" t="s">
        <v>20</v>
      </c>
      <c r="H1546" t="s">
        <v>15</v>
      </c>
      <c r="I1546" t="s">
        <v>27</v>
      </c>
      <c r="J1546">
        <v>16302.5</v>
      </c>
      <c r="K1546">
        <v>16615.97</v>
      </c>
      <c r="L1546" s="20">
        <f>tbl_Budget[[#This Row],[Actual]]-tbl_Budget[[#This Row],[Budget]]</f>
        <v>313.47000000000116</v>
      </c>
      <c r="M1546" s="3">
        <f>tbl_Budget[[#This Row],[Variance]]/tbl_Budget[[#This Row],[Budget]]</f>
        <v>1.9228339211777405E-2</v>
      </c>
      <c r="N1546" t="str">
        <f>IF(tbl_Budget[[#This Row],[Variance_%]]&gt;0.05,"Overspend",IF(tbl_Budget[[#This Row],[Variance_%]]&lt;-0.05,"Underspend","On Budget"))</f>
        <v>On Budget</v>
      </c>
    </row>
    <row r="1547" spans="1:14" hidden="1">
      <c r="A1547" s="1">
        <v>45383</v>
      </c>
      <c r="B1547">
        <v>4</v>
      </c>
      <c r="C1547" t="s">
        <v>36</v>
      </c>
      <c r="D1547" t="s">
        <v>57</v>
      </c>
      <c r="E1547">
        <v>2024</v>
      </c>
      <c r="F1547" t="s">
        <v>26</v>
      </c>
      <c r="G1547" t="s">
        <v>20</v>
      </c>
      <c r="H1547" t="s">
        <v>17</v>
      </c>
      <c r="I1547" t="s">
        <v>27</v>
      </c>
      <c r="J1547">
        <v>15457.46</v>
      </c>
      <c r="K1547">
        <v>15358.3</v>
      </c>
      <c r="L1547" s="20">
        <f>tbl_Budget[[#This Row],[Actual]]-tbl_Budget[[#This Row],[Budget]]</f>
        <v>-99.159999999999854</v>
      </c>
      <c r="M1547" s="3">
        <f>tbl_Budget[[#This Row],[Variance]]/tbl_Budget[[#This Row],[Budget]]</f>
        <v>-6.4150254957800225E-3</v>
      </c>
      <c r="N1547" t="str">
        <f>IF(tbl_Budget[[#This Row],[Variance_%]]&gt;0.05,"Overspend",IF(tbl_Budget[[#This Row],[Variance_%]]&lt;-0.05,"Underspend","On Budget"))</f>
        <v>On Budget</v>
      </c>
    </row>
    <row r="1548" spans="1:14" hidden="1">
      <c r="A1548" s="1">
        <v>45383</v>
      </c>
      <c r="B1548">
        <v>4</v>
      </c>
      <c r="C1548" t="s">
        <v>36</v>
      </c>
      <c r="D1548" t="s">
        <v>57</v>
      </c>
      <c r="E1548">
        <v>2024</v>
      </c>
      <c r="F1548" t="s">
        <v>26</v>
      </c>
      <c r="G1548" t="s">
        <v>20</v>
      </c>
      <c r="H1548" t="s">
        <v>18</v>
      </c>
      <c r="I1548" t="s">
        <v>27</v>
      </c>
      <c r="J1548">
        <v>15638.31</v>
      </c>
      <c r="K1548">
        <v>16048.84</v>
      </c>
      <c r="L1548" s="20">
        <f>tbl_Budget[[#This Row],[Actual]]-tbl_Budget[[#This Row],[Budget]]</f>
        <v>410.53000000000065</v>
      </c>
      <c r="M1548" s="3">
        <f>tbl_Budget[[#This Row],[Variance]]/tbl_Budget[[#This Row],[Budget]]</f>
        <v>2.6251557872941558E-2</v>
      </c>
      <c r="N1548" t="str">
        <f>IF(tbl_Budget[[#This Row],[Variance_%]]&gt;0.05,"Overspend",IF(tbl_Budget[[#This Row],[Variance_%]]&lt;-0.05,"Underspend","On Budget"))</f>
        <v>On Budget</v>
      </c>
    </row>
    <row r="1549" spans="1:14" hidden="1">
      <c r="A1549" s="1">
        <v>45383</v>
      </c>
      <c r="B1549">
        <v>4</v>
      </c>
      <c r="C1549" t="s">
        <v>36</v>
      </c>
      <c r="D1549" t="s">
        <v>57</v>
      </c>
      <c r="E1549">
        <v>2024</v>
      </c>
      <c r="F1549" t="s">
        <v>26</v>
      </c>
      <c r="G1549" t="s">
        <v>20</v>
      </c>
      <c r="H1549" t="s">
        <v>19</v>
      </c>
      <c r="I1549" t="s">
        <v>27</v>
      </c>
      <c r="J1549">
        <v>16652.25</v>
      </c>
      <c r="K1549">
        <v>16453</v>
      </c>
      <c r="L1549" s="20">
        <f>tbl_Budget[[#This Row],[Actual]]-tbl_Budget[[#This Row],[Budget]]</f>
        <v>-199.25</v>
      </c>
      <c r="M1549" s="3">
        <f>tbl_Budget[[#This Row],[Variance]]/tbl_Budget[[#This Row],[Budget]]</f>
        <v>-1.1965350027774024E-2</v>
      </c>
      <c r="N1549" t="str">
        <f>IF(tbl_Budget[[#This Row],[Variance_%]]&gt;0.05,"Overspend",IF(tbl_Budget[[#This Row],[Variance_%]]&lt;-0.05,"Underspend","On Budget"))</f>
        <v>On Budget</v>
      </c>
    </row>
    <row r="1550" spans="1:14">
      <c r="A1550" s="1">
        <v>45383</v>
      </c>
      <c r="B1550">
        <v>4</v>
      </c>
      <c r="C1550" t="s">
        <v>36</v>
      </c>
      <c r="D1550" t="s">
        <v>57</v>
      </c>
      <c r="E1550">
        <v>2024</v>
      </c>
      <c r="F1550" t="s">
        <v>26</v>
      </c>
      <c r="G1550" t="s">
        <v>21</v>
      </c>
      <c r="H1550" t="s">
        <v>15</v>
      </c>
      <c r="I1550" t="s">
        <v>27</v>
      </c>
      <c r="J1550">
        <v>8848.2000000000007</v>
      </c>
      <c r="K1550">
        <v>8668.1</v>
      </c>
      <c r="L1550" s="20">
        <f>tbl_Budget[[#This Row],[Actual]]-tbl_Budget[[#This Row],[Budget]]</f>
        <v>-180.10000000000036</v>
      </c>
      <c r="M1550" s="3">
        <f>tbl_Budget[[#This Row],[Variance]]/tbl_Budget[[#This Row],[Budget]]</f>
        <v>-2.0354422368391349E-2</v>
      </c>
      <c r="N1550" t="str">
        <f>IF(tbl_Budget[[#This Row],[Variance_%]]&gt;0.05,"Overspend",IF(tbl_Budget[[#This Row],[Variance_%]]&lt;-0.05,"Underspend","On Budget"))</f>
        <v>On Budget</v>
      </c>
    </row>
    <row r="1551" spans="1:14">
      <c r="A1551" s="1">
        <v>45383</v>
      </c>
      <c r="B1551">
        <v>4</v>
      </c>
      <c r="C1551" t="s">
        <v>36</v>
      </c>
      <c r="D1551" t="s">
        <v>57</v>
      </c>
      <c r="E1551">
        <v>2024</v>
      </c>
      <c r="F1551" t="s">
        <v>26</v>
      </c>
      <c r="G1551" t="s">
        <v>21</v>
      </c>
      <c r="H1551" t="s">
        <v>17</v>
      </c>
      <c r="I1551" t="s">
        <v>27</v>
      </c>
      <c r="J1551">
        <v>8570.52</v>
      </c>
      <c r="K1551">
        <v>8373.66</v>
      </c>
      <c r="L1551" s="20">
        <f>tbl_Budget[[#This Row],[Actual]]-tbl_Budget[[#This Row],[Budget]]</f>
        <v>-196.86000000000058</v>
      </c>
      <c r="M1551" s="3">
        <f>tbl_Budget[[#This Row],[Variance]]/tbl_Budget[[#This Row],[Budget]]</f>
        <v>-2.2969434760084635E-2</v>
      </c>
      <c r="N1551" t="str">
        <f>IF(tbl_Budget[[#This Row],[Variance_%]]&gt;0.05,"Overspend",IF(tbl_Budget[[#This Row],[Variance_%]]&lt;-0.05,"Underspend","On Budget"))</f>
        <v>On Budget</v>
      </c>
    </row>
    <row r="1552" spans="1:14">
      <c r="A1552" s="1">
        <v>45383</v>
      </c>
      <c r="B1552">
        <v>4</v>
      </c>
      <c r="C1552" t="s">
        <v>36</v>
      </c>
      <c r="D1552" t="s">
        <v>57</v>
      </c>
      <c r="E1552">
        <v>2024</v>
      </c>
      <c r="F1552" t="s">
        <v>26</v>
      </c>
      <c r="G1552" t="s">
        <v>21</v>
      </c>
      <c r="H1552" t="s">
        <v>18</v>
      </c>
      <c r="I1552" t="s">
        <v>27</v>
      </c>
      <c r="J1552">
        <v>8938.14</v>
      </c>
      <c r="K1552">
        <v>8821.58</v>
      </c>
      <c r="L1552" s="20">
        <f>tbl_Budget[[#This Row],[Actual]]-tbl_Budget[[#This Row],[Budget]]</f>
        <v>-116.55999999999949</v>
      </c>
      <c r="M1552" s="3">
        <f>tbl_Budget[[#This Row],[Variance]]/tbl_Budget[[#This Row],[Budget]]</f>
        <v>-1.3040744494939607E-2</v>
      </c>
      <c r="N1552" t="str">
        <f>IF(tbl_Budget[[#This Row],[Variance_%]]&gt;0.05,"Overspend",IF(tbl_Budget[[#This Row],[Variance_%]]&lt;-0.05,"Underspend","On Budget"))</f>
        <v>On Budget</v>
      </c>
    </row>
    <row r="1553" spans="1:14">
      <c r="A1553" s="1">
        <v>45383</v>
      </c>
      <c r="B1553">
        <v>4</v>
      </c>
      <c r="C1553" t="s">
        <v>36</v>
      </c>
      <c r="D1553" t="s">
        <v>57</v>
      </c>
      <c r="E1553">
        <v>2024</v>
      </c>
      <c r="F1553" t="s">
        <v>26</v>
      </c>
      <c r="G1553" t="s">
        <v>21</v>
      </c>
      <c r="H1553" t="s">
        <v>19</v>
      </c>
      <c r="I1553" t="s">
        <v>27</v>
      </c>
      <c r="J1553">
        <v>9624.49</v>
      </c>
      <c r="K1553">
        <v>9603.9599999999991</v>
      </c>
      <c r="L1553" s="20">
        <f>tbl_Budget[[#This Row],[Actual]]-tbl_Budget[[#This Row],[Budget]]</f>
        <v>-20.530000000000655</v>
      </c>
      <c r="M1553" s="3">
        <f>tbl_Budget[[#This Row],[Variance]]/tbl_Budget[[#This Row],[Budget]]</f>
        <v>-2.1331000395865812E-3</v>
      </c>
      <c r="N1553" t="str">
        <f>IF(tbl_Budget[[#This Row],[Variance_%]]&gt;0.05,"Overspend",IF(tbl_Budget[[#This Row],[Variance_%]]&lt;-0.05,"Underspend","On Budget"))</f>
        <v>On Budget</v>
      </c>
    </row>
    <row r="1554" spans="1:14" hidden="1">
      <c r="A1554" s="1">
        <v>45383</v>
      </c>
      <c r="B1554">
        <v>4</v>
      </c>
      <c r="C1554" t="s">
        <v>36</v>
      </c>
      <c r="D1554" t="s">
        <v>57</v>
      </c>
      <c r="E1554">
        <v>2024</v>
      </c>
      <c r="F1554" t="s">
        <v>26</v>
      </c>
      <c r="G1554" t="s">
        <v>22</v>
      </c>
      <c r="H1554" t="s">
        <v>15</v>
      </c>
      <c r="I1554" t="s">
        <v>27</v>
      </c>
      <c r="J1554">
        <v>6970.96</v>
      </c>
      <c r="K1554">
        <v>7009.68</v>
      </c>
      <c r="L1554" s="20">
        <f>tbl_Budget[[#This Row],[Actual]]-tbl_Budget[[#This Row],[Budget]]</f>
        <v>38.720000000000255</v>
      </c>
      <c r="M1554" s="3">
        <f>tbl_Budget[[#This Row],[Variance]]/tbl_Budget[[#This Row],[Budget]]</f>
        <v>5.5544716939991412E-3</v>
      </c>
      <c r="N1554" t="str">
        <f>IF(tbl_Budget[[#This Row],[Variance_%]]&gt;0.05,"Overspend",IF(tbl_Budget[[#This Row],[Variance_%]]&lt;-0.05,"Underspend","On Budget"))</f>
        <v>On Budget</v>
      </c>
    </row>
    <row r="1555" spans="1:14" hidden="1">
      <c r="A1555" s="1">
        <v>45383</v>
      </c>
      <c r="B1555">
        <v>4</v>
      </c>
      <c r="C1555" t="s">
        <v>36</v>
      </c>
      <c r="D1555" t="s">
        <v>57</v>
      </c>
      <c r="E1555">
        <v>2024</v>
      </c>
      <c r="F1555" t="s">
        <v>26</v>
      </c>
      <c r="G1555" t="s">
        <v>22</v>
      </c>
      <c r="H1555" t="s">
        <v>17</v>
      </c>
      <c r="I1555" t="s">
        <v>27</v>
      </c>
      <c r="J1555">
        <v>6553.77</v>
      </c>
      <c r="K1555">
        <v>6538.48</v>
      </c>
      <c r="L1555" s="20">
        <f>tbl_Budget[[#This Row],[Actual]]-tbl_Budget[[#This Row],[Budget]]</f>
        <v>-15.290000000000873</v>
      </c>
      <c r="M1555" s="3">
        <f>tbl_Budget[[#This Row],[Variance]]/tbl_Budget[[#This Row],[Budget]]</f>
        <v>-2.3330083295570142E-3</v>
      </c>
      <c r="N1555" t="str">
        <f>IF(tbl_Budget[[#This Row],[Variance_%]]&gt;0.05,"Overspend",IF(tbl_Budget[[#This Row],[Variance_%]]&lt;-0.05,"Underspend","On Budget"))</f>
        <v>On Budget</v>
      </c>
    </row>
    <row r="1556" spans="1:14" hidden="1">
      <c r="A1556" s="1">
        <v>45383</v>
      </c>
      <c r="B1556">
        <v>4</v>
      </c>
      <c r="C1556" t="s">
        <v>36</v>
      </c>
      <c r="D1556" t="s">
        <v>57</v>
      </c>
      <c r="E1556">
        <v>2024</v>
      </c>
      <c r="F1556" t="s">
        <v>26</v>
      </c>
      <c r="G1556" t="s">
        <v>22</v>
      </c>
      <c r="H1556" t="s">
        <v>18</v>
      </c>
      <c r="I1556" t="s">
        <v>27</v>
      </c>
      <c r="J1556">
        <v>6736.18</v>
      </c>
      <c r="K1556">
        <v>6723.33</v>
      </c>
      <c r="L1556" s="20">
        <f>tbl_Budget[[#This Row],[Actual]]-tbl_Budget[[#This Row],[Budget]]</f>
        <v>-12.850000000000364</v>
      </c>
      <c r="M1556" s="3">
        <f>tbl_Budget[[#This Row],[Variance]]/tbl_Budget[[#This Row],[Budget]]</f>
        <v>-1.9076093572321943E-3</v>
      </c>
      <c r="N1556" t="str">
        <f>IF(tbl_Budget[[#This Row],[Variance_%]]&gt;0.05,"Overspend",IF(tbl_Budget[[#This Row],[Variance_%]]&lt;-0.05,"Underspend","On Budget"))</f>
        <v>On Budget</v>
      </c>
    </row>
    <row r="1557" spans="1:14" hidden="1">
      <c r="A1557" s="1">
        <v>45383</v>
      </c>
      <c r="B1557">
        <v>4</v>
      </c>
      <c r="C1557" t="s">
        <v>36</v>
      </c>
      <c r="D1557" t="s">
        <v>57</v>
      </c>
      <c r="E1557">
        <v>2024</v>
      </c>
      <c r="F1557" t="s">
        <v>26</v>
      </c>
      <c r="G1557" t="s">
        <v>22</v>
      </c>
      <c r="H1557" t="s">
        <v>19</v>
      </c>
      <c r="I1557" t="s">
        <v>27</v>
      </c>
      <c r="J1557">
        <v>7238.1</v>
      </c>
      <c r="K1557">
        <v>7334.76</v>
      </c>
      <c r="L1557" s="20">
        <f>tbl_Budget[[#This Row],[Actual]]-tbl_Budget[[#This Row],[Budget]]</f>
        <v>96.659999999999854</v>
      </c>
      <c r="M1557" s="3">
        <f>tbl_Budget[[#This Row],[Variance]]/tbl_Budget[[#This Row],[Budget]]</f>
        <v>1.3354333319517532E-2</v>
      </c>
      <c r="N1557" t="str">
        <f>IF(tbl_Budget[[#This Row],[Variance_%]]&gt;0.05,"Overspend",IF(tbl_Budget[[#This Row],[Variance_%]]&lt;-0.05,"Underspend","On Budget"))</f>
        <v>On Budget</v>
      </c>
    </row>
    <row r="1558" spans="1:14" hidden="1">
      <c r="A1558" s="1">
        <v>45383</v>
      </c>
      <c r="B1558">
        <v>4</v>
      </c>
      <c r="C1558" t="s">
        <v>36</v>
      </c>
      <c r="D1558" t="s">
        <v>57</v>
      </c>
      <c r="E1558">
        <v>2024</v>
      </c>
      <c r="F1558" t="s">
        <v>26</v>
      </c>
      <c r="G1558" t="s">
        <v>23</v>
      </c>
      <c r="H1558" t="s">
        <v>15</v>
      </c>
      <c r="I1558" t="s">
        <v>27</v>
      </c>
      <c r="J1558">
        <v>6069.35</v>
      </c>
      <c r="K1558">
        <v>6014.43</v>
      </c>
      <c r="L1558" s="20">
        <f>tbl_Budget[[#This Row],[Actual]]-tbl_Budget[[#This Row],[Budget]]</f>
        <v>-54.920000000000073</v>
      </c>
      <c r="M1558" s="3">
        <f>tbl_Budget[[#This Row],[Variance]]/tbl_Budget[[#This Row],[Budget]]</f>
        <v>-9.0487449232619747E-3</v>
      </c>
      <c r="N1558" t="str">
        <f>IF(tbl_Budget[[#This Row],[Variance_%]]&gt;0.05,"Overspend",IF(tbl_Budget[[#This Row],[Variance_%]]&lt;-0.05,"Underspend","On Budget"))</f>
        <v>On Budget</v>
      </c>
    </row>
    <row r="1559" spans="1:14" hidden="1">
      <c r="A1559" s="1">
        <v>45383</v>
      </c>
      <c r="B1559">
        <v>4</v>
      </c>
      <c r="C1559" t="s">
        <v>36</v>
      </c>
      <c r="D1559" t="s">
        <v>57</v>
      </c>
      <c r="E1559">
        <v>2024</v>
      </c>
      <c r="F1559" t="s">
        <v>26</v>
      </c>
      <c r="G1559" t="s">
        <v>23</v>
      </c>
      <c r="H1559" t="s">
        <v>17</v>
      </c>
      <c r="I1559" t="s">
        <v>27</v>
      </c>
      <c r="J1559">
        <v>5881.78</v>
      </c>
      <c r="K1559">
        <v>5795.78</v>
      </c>
      <c r="L1559" s="20">
        <f>tbl_Budget[[#This Row],[Actual]]-tbl_Budget[[#This Row],[Budget]]</f>
        <v>-86</v>
      </c>
      <c r="M1559" s="3">
        <f>tbl_Budget[[#This Row],[Variance]]/tbl_Budget[[#This Row],[Budget]]</f>
        <v>-1.4621424126709942E-2</v>
      </c>
      <c r="N1559" t="str">
        <f>IF(tbl_Budget[[#This Row],[Variance_%]]&gt;0.05,"Overspend",IF(tbl_Budget[[#This Row],[Variance_%]]&lt;-0.05,"Underspend","On Budget"))</f>
        <v>On Budget</v>
      </c>
    </row>
    <row r="1560" spans="1:14" hidden="1">
      <c r="A1560" s="1">
        <v>45383</v>
      </c>
      <c r="B1560">
        <v>4</v>
      </c>
      <c r="C1560" t="s">
        <v>36</v>
      </c>
      <c r="D1560" t="s">
        <v>57</v>
      </c>
      <c r="E1560">
        <v>2024</v>
      </c>
      <c r="F1560" t="s">
        <v>26</v>
      </c>
      <c r="G1560" t="s">
        <v>23</v>
      </c>
      <c r="H1560" t="s">
        <v>18</v>
      </c>
      <c r="I1560" t="s">
        <v>27</v>
      </c>
      <c r="J1560">
        <v>5999.42</v>
      </c>
      <c r="K1560">
        <v>6110.09</v>
      </c>
      <c r="L1560" s="20">
        <f>tbl_Budget[[#This Row],[Actual]]-tbl_Budget[[#This Row],[Budget]]</f>
        <v>110.67000000000007</v>
      </c>
      <c r="M1560" s="3">
        <f>tbl_Budget[[#This Row],[Variance]]/tbl_Budget[[#This Row],[Budget]]</f>
        <v>1.844678318904162E-2</v>
      </c>
      <c r="N1560" t="str">
        <f>IF(tbl_Budget[[#This Row],[Variance_%]]&gt;0.05,"Overspend",IF(tbl_Budget[[#This Row],[Variance_%]]&lt;-0.05,"Underspend","On Budget"))</f>
        <v>On Budget</v>
      </c>
    </row>
    <row r="1561" spans="1:14" hidden="1">
      <c r="A1561" s="1">
        <v>45383</v>
      </c>
      <c r="B1561">
        <v>4</v>
      </c>
      <c r="C1561" t="s">
        <v>36</v>
      </c>
      <c r="D1561" t="s">
        <v>57</v>
      </c>
      <c r="E1561">
        <v>2024</v>
      </c>
      <c r="F1561" t="s">
        <v>26</v>
      </c>
      <c r="G1561" t="s">
        <v>23</v>
      </c>
      <c r="H1561" t="s">
        <v>19</v>
      </c>
      <c r="I1561" t="s">
        <v>27</v>
      </c>
      <c r="J1561">
        <v>6096.17</v>
      </c>
      <c r="K1561">
        <v>5977.77</v>
      </c>
      <c r="L1561" s="20">
        <f>tbl_Budget[[#This Row],[Actual]]-tbl_Budget[[#This Row],[Budget]]</f>
        <v>-118.39999999999964</v>
      </c>
      <c r="M1561" s="3">
        <f>tbl_Budget[[#This Row],[Variance]]/tbl_Budget[[#This Row],[Budget]]</f>
        <v>-1.9422030553609828E-2</v>
      </c>
      <c r="N1561" t="str">
        <f>IF(tbl_Budget[[#This Row],[Variance_%]]&gt;0.05,"Overspend",IF(tbl_Budget[[#This Row],[Variance_%]]&lt;-0.05,"Underspend","On Budget"))</f>
        <v>On Budget</v>
      </c>
    </row>
    <row r="1562" spans="1:14" hidden="1">
      <c r="A1562" s="1">
        <v>45383</v>
      </c>
      <c r="B1562">
        <v>4</v>
      </c>
      <c r="C1562" t="s">
        <v>36</v>
      </c>
      <c r="D1562" t="s">
        <v>57</v>
      </c>
      <c r="E1562">
        <v>2024</v>
      </c>
      <c r="F1562" t="s">
        <v>28</v>
      </c>
      <c r="G1562" t="s">
        <v>14</v>
      </c>
      <c r="H1562" t="s">
        <v>15</v>
      </c>
      <c r="I1562" t="s">
        <v>29</v>
      </c>
      <c r="J1562">
        <v>56362.7</v>
      </c>
      <c r="K1562">
        <v>52834.87</v>
      </c>
      <c r="L1562" s="20">
        <f>tbl_Budget[[#This Row],[Actual]]-tbl_Budget[[#This Row],[Budget]]</f>
        <v>-3527.8299999999945</v>
      </c>
      <c r="M1562" s="3">
        <f>tbl_Budget[[#This Row],[Variance]]/tbl_Budget[[#This Row],[Budget]]</f>
        <v>-6.2591572085794231E-2</v>
      </c>
      <c r="N1562" t="str">
        <f>IF(tbl_Budget[[#This Row],[Variance_%]]&gt;0.05,"Overspend",IF(tbl_Budget[[#This Row],[Variance_%]]&lt;-0.05,"Underspend","On Budget"))</f>
        <v>Underspend</v>
      </c>
    </row>
    <row r="1563" spans="1:14" hidden="1">
      <c r="A1563" s="1">
        <v>45383</v>
      </c>
      <c r="B1563">
        <v>4</v>
      </c>
      <c r="C1563" t="s">
        <v>36</v>
      </c>
      <c r="D1563" t="s">
        <v>57</v>
      </c>
      <c r="E1563">
        <v>2024</v>
      </c>
      <c r="F1563" t="s">
        <v>28</v>
      </c>
      <c r="G1563" t="s">
        <v>14</v>
      </c>
      <c r="H1563" t="s">
        <v>17</v>
      </c>
      <c r="I1563" t="s">
        <v>29</v>
      </c>
      <c r="J1563">
        <v>53877.13</v>
      </c>
      <c r="K1563">
        <v>47127.519999999997</v>
      </c>
      <c r="L1563" s="20">
        <f>tbl_Budget[[#This Row],[Actual]]-tbl_Budget[[#This Row],[Budget]]</f>
        <v>-6749.6100000000006</v>
      </c>
      <c r="M1563" s="3">
        <f>tbl_Budget[[#This Row],[Variance]]/tbl_Budget[[#This Row],[Budget]]</f>
        <v>-0.1252778312430525</v>
      </c>
      <c r="N1563" t="str">
        <f>IF(tbl_Budget[[#This Row],[Variance_%]]&gt;0.05,"Overspend",IF(tbl_Budget[[#This Row],[Variance_%]]&lt;-0.05,"Underspend","On Budget"))</f>
        <v>Underspend</v>
      </c>
    </row>
    <row r="1564" spans="1:14" hidden="1">
      <c r="A1564" s="1">
        <v>45383</v>
      </c>
      <c r="B1564">
        <v>4</v>
      </c>
      <c r="C1564" t="s">
        <v>36</v>
      </c>
      <c r="D1564" t="s">
        <v>57</v>
      </c>
      <c r="E1564">
        <v>2024</v>
      </c>
      <c r="F1564" t="s">
        <v>28</v>
      </c>
      <c r="G1564" t="s">
        <v>14</v>
      </c>
      <c r="H1564" t="s">
        <v>18</v>
      </c>
      <c r="I1564" t="s">
        <v>29</v>
      </c>
      <c r="J1564">
        <v>55502.13</v>
      </c>
      <c r="K1564">
        <v>59125.47</v>
      </c>
      <c r="L1564" s="20">
        <f>tbl_Budget[[#This Row],[Actual]]-tbl_Budget[[#This Row],[Budget]]</f>
        <v>3623.3400000000038</v>
      </c>
      <c r="M1564" s="3">
        <f>tbl_Budget[[#This Row],[Variance]]/tbl_Budget[[#This Row],[Budget]]</f>
        <v>6.5282899953569423E-2</v>
      </c>
      <c r="N1564" t="str">
        <f>IF(tbl_Budget[[#This Row],[Variance_%]]&gt;0.05,"Overspend",IF(tbl_Budget[[#This Row],[Variance_%]]&lt;-0.05,"Underspend","On Budget"))</f>
        <v>Overspend</v>
      </c>
    </row>
    <row r="1565" spans="1:14" hidden="1">
      <c r="A1565" s="1">
        <v>45383</v>
      </c>
      <c r="B1565">
        <v>4</v>
      </c>
      <c r="C1565" t="s">
        <v>36</v>
      </c>
      <c r="D1565" t="s">
        <v>57</v>
      </c>
      <c r="E1565">
        <v>2024</v>
      </c>
      <c r="F1565" t="s">
        <v>28</v>
      </c>
      <c r="G1565" t="s">
        <v>14</v>
      </c>
      <c r="H1565" t="s">
        <v>19</v>
      </c>
      <c r="I1565" t="s">
        <v>29</v>
      </c>
      <c r="J1565">
        <v>58198.9</v>
      </c>
      <c r="K1565">
        <v>53745.83</v>
      </c>
      <c r="L1565" s="20">
        <f>tbl_Budget[[#This Row],[Actual]]-tbl_Budget[[#This Row],[Budget]]</f>
        <v>-4453.07</v>
      </c>
      <c r="M1565" s="3">
        <f>tbl_Budget[[#This Row],[Variance]]/tbl_Budget[[#This Row],[Budget]]</f>
        <v>-7.6514676394227377E-2</v>
      </c>
      <c r="N1565" t="str">
        <f>IF(tbl_Budget[[#This Row],[Variance_%]]&gt;0.05,"Overspend",IF(tbl_Budget[[#This Row],[Variance_%]]&lt;-0.05,"Underspend","On Budget"))</f>
        <v>Underspend</v>
      </c>
    </row>
    <row r="1566" spans="1:14" hidden="1">
      <c r="A1566" s="1">
        <v>45383</v>
      </c>
      <c r="B1566">
        <v>4</v>
      </c>
      <c r="C1566" t="s">
        <v>36</v>
      </c>
      <c r="D1566" t="s">
        <v>57</v>
      </c>
      <c r="E1566">
        <v>2024</v>
      </c>
      <c r="F1566" t="s">
        <v>28</v>
      </c>
      <c r="G1566" t="s">
        <v>20</v>
      </c>
      <c r="H1566" t="s">
        <v>15</v>
      </c>
      <c r="I1566" t="s">
        <v>29</v>
      </c>
      <c r="J1566">
        <v>21674.31</v>
      </c>
      <c r="K1566">
        <v>22173.18</v>
      </c>
      <c r="L1566" s="20">
        <f>tbl_Budget[[#This Row],[Actual]]-tbl_Budget[[#This Row],[Budget]]</f>
        <v>498.86999999999898</v>
      </c>
      <c r="M1566" s="3">
        <f>tbl_Budget[[#This Row],[Variance]]/tbl_Budget[[#This Row],[Budget]]</f>
        <v>2.3016649664971984E-2</v>
      </c>
      <c r="N1566" t="str">
        <f>IF(tbl_Budget[[#This Row],[Variance_%]]&gt;0.05,"Overspend",IF(tbl_Budget[[#This Row],[Variance_%]]&lt;-0.05,"Underspend","On Budget"))</f>
        <v>On Budget</v>
      </c>
    </row>
    <row r="1567" spans="1:14" hidden="1">
      <c r="A1567" s="1">
        <v>45383</v>
      </c>
      <c r="B1567">
        <v>4</v>
      </c>
      <c r="C1567" t="s">
        <v>36</v>
      </c>
      <c r="D1567" t="s">
        <v>57</v>
      </c>
      <c r="E1567">
        <v>2024</v>
      </c>
      <c r="F1567" t="s">
        <v>28</v>
      </c>
      <c r="G1567" t="s">
        <v>20</v>
      </c>
      <c r="H1567" t="s">
        <v>17</v>
      </c>
      <c r="I1567" t="s">
        <v>29</v>
      </c>
      <c r="J1567">
        <v>20847.68</v>
      </c>
      <c r="K1567">
        <v>20900.990000000002</v>
      </c>
      <c r="L1567" s="20">
        <f>tbl_Budget[[#This Row],[Actual]]-tbl_Budget[[#This Row],[Budget]]</f>
        <v>53.31000000000131</v>
      </c>
      <c r="M1567" s="3">
        <f>tbl_Budget[[#This Row],[Variance]]/tbl_Budget[[#This Row],[Budget]]</f>
        <v>2.5571190655267785E-3</v>
      </c>
      <c r="N1567" t="str">
        <f>IF(tbl_Budget[[#This Row],[Variance_%]]&gt;0.05,"Overspend",IF(tbl_Budget[[#This Row],[Variance_%]]&lt;-0.05,"Underspend","On Budget"))</f>
        <v>On Budget</v>
      </c>
    </row>
    <row r="1568" spans="1:14" hidden="1">
      <c r="A1568" s="1">
        <v>45383</v>
      </c>
      <c r="B1568">
        <v>4</v>
      </c>
      <c r="C1568" t="s">
        <v>36</v>
      </c>
      <c r="D1568" t="s">
        <v>57</v>
      </c>
      <c r="E1568">
        <v>2024</v>
      </c>
      <c r="F1568" t="s">
        <v>28</v>
      </c>
      <c r="G1568" t="s">
        <v>20</v>
      </c>
      <c r="H1568" t="s">
        <v>18</v>
      </c>
      <c r="I1568" t="s">
        <v>29</v>
      </c>
      <c r="J1568">
        <v>20662.54</v>
      </c>
      <c r="K1568">
        <v>23933.73</v>
      </c>
      <c r="L1568" s="20">
        <f>tbl_Budget[[#This Row],[Actual]]-tbl_Budget[[#This Row],[Budget]]</f>
        <v>3271.1899999999987</v>
      </c>
      <c r="M1568" s="3">
        <f>tbl_Budget[[#This Row],[Variance]]/tbl_Budget[[#This Row],[Budget]]</f>
        <v>0.15831499902722504</v>
      </c>
      <c r="N1568" t="str">
        <f>IF(tbl_Budget[[#This Row],[Variance_%]]&gt;0.05,"Overspend",IF(tbl_Budget[[#This Row],[Variance_%]]&lt;-0.05,"Underspend","On Budget"))</f>
        <v>Overspend</v>
      </c>
    </row>
    <row r="1569" spans="1:14" hidden="1">
      <c r="A1569" s="1">
        <v>45383</v>
      </c>
      <c r="B1569">
        <v>4</v>
      </c>
      <c r="C1569" t="s">
        <v>36</v>
      </c>
      <c r="D1569" t="s">
        <v>57</v>
      </c>
      <c r="E1569">
        <v>2024</v>
      </c>
      <c r="F1569" t="s">
        <v>28</v>
      </c>
      <c r="G1569" t="s">
        <v>20</v>
      </c>
      <c r="H1569" t="s">
        <v>19</v>
      </c>
      <c r="I1569" t="s">
        <v>29</v>
      </c>
      <c r="J1569">
        <v>22706.240000000002</v>
      </c>
      <c r="K1569">
        <v>26230.2</v>
      </c>
      <c r="L1569" s="20">
        <f>tbl_Budget[[#This Row],[Actual]]-tbl_Budget[[#This Row],[Budget]]</f>
        <v>3523.9599999999991</v>
      </c>
      <c r="M1569" s="3">
        <f>tbl_Budget[[#This Row],[Variance]]/tbl_Budget[[#This Row],[Budget]]</f>
        <v>0.15519786631340102</v>
      </c>
      <c r="N1569" t="str">
        <f>IF(tbl_Budget[[#This Row],[Variance_%]]&gt;0.05,"Overspend",IF(tbl_Budget[[#This Row],[Variance_%]]&lt;-0.05,"Underspend","On Budget"))</f>
        <v>Overspend</v>
      </c>
    </row>
    <row r="1570" spans="1:14">
      <c r="A1570" s="1">
        <v>45383</v>
      </c>
      <c r="B1570">
        <v>4</v>
      </c>
      <c r="C1570" t="s">
        <v>36</v>
      </c>
      <c r="D1570" t="s">
        <v>57</v>
      </c>
      <c r="E1570">
        <v>2024</v>
      </c>
      <c r="F1570" t="s">
        <v>28</v>
      </c>
      <c r="G1570" t="s">
        <v>21</v>
      </c>
      <c r="H1570" t="s">
        <v>15</v>
      </c>
      <c r="I1570" t="s">
        <v>29</v>
      </c>
      <c r="J1570">
        <v>12246.59</v>
      </c>
      <c r="K1570">
        <v>11636.77</v>
      </c>
      <c r="L1570" s="20">
        <f>tbl_Budget[[#This Row],[Actual]]-tbl_Budget[[#This Row],[Budget]]</f>
        <v>-609.81999999999971</v>
      </c>
      <c r="M1570" s="3">
        <f>tbl_Budget[[#This Row],[Variance]]/tbl_Budget[[#This Row],[Budget]]</f>
        <v>-4.9795085815725004E-2</v>
      </c>
      <c r="N1570" t="str">
        <f>IF(tbl_Budget[[#This Row],[Variance_%]]&gt;0.05,"Overspend",IF(tbl_Budget[[#This Row],[Variance_%]]&lt;-0.05,"Underspend","On Budget"))</f>
        <v>On Budget</v>
      </c>
    </row>
    <row r="1571" spans="1:14">
      <c r="A1571" s="1">
        <v>45383</v>
      </c>
      <c r="B1571">
        <v>4</v>
      </c>
      <c r="C1571" t="s">
        <v>36</v>
      </c>
      <c r="D1571" t="s">
        <v>57</v>
      </c>
      <c r="E1571">
        <v>2024</v>
      </c>
      <c r="F1571" t="s">
        <v>28</v>
      </c>
      <c r="G1571" t="s">
        <v>21</v>
      </c>
      <c r="H1571" t="s">
        <v>17</v>
      </c>
      <c r="I1571" t="s">
        <v>29</v>
      </c>
      <c r="J1571">
        <v>11744.19</v>
      </c>
      <c r="K1571">
        <v>10951.22</v>
      </c>
      <c r="L1571" s="20">
        <f>tbl_Budget[[#This Row],[Actual]]-tbl_Budget[[#This Row],[Budget]]</f>
        <v>-792.97000000000116</v>
      </c>
      <c r="M1571" s="3">
        <f>tbl_Budget[[#This Row],[Variance]]/tbl_Budget[[#This Row],[Budget]]</f>
        <v>-6.7520195092211646E-2</v>
      </c>
      <c r="N1571" t="str">
        <f>IF(tbl_Budget[[#This Row],[Variance_%]]&gt;0.05,"Overspend",IF(tbl_Budget[[#This Row],[Variance_%]]&lt;-0.05,"Underspend","On Budget"))</f>
        <v>Underspend</v>
      </c>
    </row>
    <row r="1572" spans="1:14">
      <c r="A1572" s="1">
        <v>45383</v>
      </c>
      <c r="B1572">
        <v>4</v>
      </c>
      <c r="C1572" t="s">
        <v>36</v>
      </c>
      <c r="D1572" t="s">
        <v>57</v>
      </c>
      <c r="E1572">
        <v>2024</v>
      </c>
      <c r="F1572" t="s">
        <v>28</v>
      </c>
      <c r="G1572" t="s">
        <v>21</v>
      </c>
      <c r="H1572" t="s">
        <v>18</v>
      </c>
      <c r="I1572" t="s">
        <v>29</v>
      </c>
      <c r="J1572">
        <v>12037.17</v>
      </c>
      <c r="K1572">
        <v>11764.68</v>
      </c>
      <c r="L1572" s="20">
        <f>tbl_Budget[[#This Row],[Actual]]-tbl_Budget[[#This Row],[Budget]]</f>
        <v>-272.48999999999978</v>
      </c>
      <c r="M1572" s="3">
        <f>tbl_Budget[[#This Row],[Variance]]/tbl_Budget[[#This Row],[Budget]]</f>
        <v>-2.2637380713240719E-2</v>
      </c>
      <c r="N1572" t="str">
        <f>IF(tbl_Budget[[#This Row],[Variance_%]]&gt;0.05,"Overspend",IF(tbl_Budget[[#This Row],[Variance_%]]&lt;-0.05,"Underspend","On Budget"))</f>
        <v>On Budget</v>
      </c>
    </row>
    <row r="1573" spans="1:14">
      <c r="A1573" s="1">
        <v>45383</v>
      </c>
      <c r="B1573">
        <v>4</v>
      </c>
      <c r="C1573" t="s">
        <v>36</v>
      </c>
      <c r="D1573" t="s">
        <v>57</v>
      </c>
      <c r="E1573">
        <v>2024</v>
      </c>
      <c r="F1573" t="s">
        <v>28</v>
      </c>
      <c r="G1573" t="s">
        <v>21</v>
      </c>
      <c r="H1573" t="s">
        <v>19</v>
      </c>
      <c r="I1573" t="s">
        <v>29</v>
      </c>
      <c r="J1573">
        <v>12728.45</v>
      </c>
      <c r="K1573">
        <v>10877.89</v>
      </c>
      <c r="L1573" s="20">
        <f>tbl_Budget[[#This Row],[Actual]]-tbl_Budget[[#This Row],[Budget]]</f>
        <v>-1850.5600000000013</v>
      </c>
      <c r="M1573" s="3">
        <f>tbl_Budget[[#This Row],[Variance]]/tbl_Budget[[#This Row],[Budget]]</f>
        <v>-0.14538769449540212</v>
      </c>
      <c r="N1573" t="str">
        <f>IF(tbl_Budget[[#This Row],[Variance_%]]&gt;0.05,"Overspend",IF(tbl_Budget[[#This Row],[Variance_%]]&lt;-0.05,"Underspend","On Budget"))</f>
        <v>Underspend</v>
      </c>
    </row>
    <row r="1574" spans="1:14" hidden="1">
      <c r="A1574" s="1">
        <v>45383</v>
      </c>
      <c r="B1574">
        <v>4</v>
      </c>
      <c r="C1574" t="s">
        <v>36</v>
      </c>
      <c r="D1574" t="s">
        <v>57</v>
      </c>
      <c r="E1574">
        <v>2024</v>
      </c>
      <c r="F1574" t="s">
        <v>28</v>
      </c>
      <c r="G1574" t="s">
        <v>22</v>
      </c>
      <c r="H1574" t="s">
        <v>15</v>
      </c>
      <c r="I1574" t="s">
        <v>29</v>
      </c>
      <c r="J1574">
        <v>12852.89</v>
      </c>
      <c r="K1574">
        <v>11339.31</v>
      </c>
      <c r="L1574" s="20">
        <f>tbl_Budget[[#This Row],[Actual]]-tbl_Budget[[#This Row],[Budget]]</f>
        <v>-1513.58</v>
      </c>
      <c r="M1574" s="3">
        <f>tbl_Budget[[#This Row],[Variance]]/tbl_Budget[[#This Row],[Budget]]</f>
        <v>-0.11776184188925604</v>
      </c>
      <c r="N1574" t="str">
        <f>IF(tbl_Budget[[#This Row],[Variance_%]]&gt;0.05,"Overspend",IF(tbl_Budget[[#This Row],[Variance_%]]&lt;-0.05,"Underspend","On Budget"))</f>
        <v>Underspend</v>
      </c>
    </row>
    <row r="1575" spans="1:14" hidden="1">
      <c r="A1575" s="1">
        <v>45383</v>
      </c>
      <c r="B1575">
        <v>4</v>
      </c>
      <c r="C1575" t="s">
        <v>36</v>
      </c>
      <c r="D1575" t="s">
        <v>57</v>
      </c>
      <c r="E1575">
        <v>2024</v>
      </c>
      <c r="F1575" t="s">
        <v>28</v>
      </c>
      <c r="G1575" t="s">
        <v>22</v>
      </c>
      <c r="H1575" t="s">
        <v>17</v>
      </c>
      <c r="I1575" t="s">
        <v>29</v>
      </c>
      <c r="J1575">
        <v>12394.65</v>
      </c>
      <c r="K1575">
        <v>12001.73</v>
      </c>
      <c r="L1575" s="20">
        <f>tbl_Budget[[#This Row],[Actual]]-tbl_Budget[[#This Row],[Budget]]</f>
        <v>-392.92000000000007</v>
      </c>
      <c r="M1575" s="3">
        <f>tbl_Budget[[#This Row],[Variance]]/tbl_Budget[[#This Row],[Budget]]</f>
        <v>-3.1700774124319771E-2</v>
      </c>
      <c r="N1575" t="str">
        <f>IF(tbl_Budget[[#This Row],[Variance_%]]&gt;0.05,"Overspend",IF(tbl_Budget[[#This Row],[Variance_%]]&lt;-0.05,"Underspend","On Budget"))</f>
        <v>On Budget</v>
      </c>
    </row>
    <row r="1576" spans="1:14" hidden="1">
      <c r="A1576" s="1">
        <v>45383</v>
      </c>
      <c r="B1576">
        <v>4</v>
      </c>
      <c r="C1576" t="s">
        <v>36</v>
      </c>
      <c r="D1576" t="s">
        <v>57</v>
      </c>
      <c r="E1576">
        <v>2024</v>
      </c>
      <c r="F1576" t="s">
        <v>28</v>
      </c>
      <c r="G1576" t="s">
        <v>22</v>
      </c>
      <c r="H1576" t="s">
        <v>18</v>
      </c>
      <c r="I1576" t="s">
        <v>29</v>
      </c>
      <c r="J1576">
        <v>12843.69</v>
      </c>
      <c r="K1576">
        <v>13576.81</v>
      </c>
      <c r="L1576" s="20">
        <f>tbl_Budget[[#This Row],[Actual]]-tbl_Budget[[#This Row],[Budget]]</f>
        <v>733.11999999999898</v>
      </c>
      <c r="M1576" s="3">
        <f>tbl_Budget[[#This Row],[Variance]]/tbl_Budget[[#This Row],[Budget]]</f>
        <v>5.7080169328284858E-2</v>
      </c>
      <c r="N1576" t="str">
        <f>IF(tbl_Budget[[#This Row],[Variance_%]]&gt;0.05,"Overspend",IF(tbl_Budget[[#This Row],[Variance_%]]&lt;-0.05,"Underspend","On Budget"))</f>
        <v>Overspend</v>
      </c>
    </row>
    <row r="1577" spans="1:14" hidden="1">
      <c r="A1577" s="1">
        <v>45383</v>
      </c>
      <c r="B1577">
        <v>4</v>
      </c>
      <c r="C1577" t="s">
        <v>36</v>
      </c>
      <c r="D1577" t="s">
        <v>57</v>
      </c>
      <c r="E1577">
        <v>2024</v>
      </c>
      <c r="F1577" t="s">
        <v>28</v>
      </c>
      <c r="G1577" t="s">
        <v>22</v>
      </c>
      <c r="H1577" t="s">
        <v>19</v>
      </c>
      <c r="I1577" t="s">
        <v>29</v>
      </c>
      <c r="J1577">
        <v>13703.91</v>
      </c>
      <c r="K1577">
        <v>13249.63</v>
      </c>
      <c r="L1577" s="20">
        <f>tbl_Budget[[#This Row],[Actual]]-tbl_Budget[[#This Row],[Budget]]</f>
        <v>-454.28000000000065</v>
      </c>
      <c r="M1577" s="3">
        <f>tbl_Budget[[#This Row],[Variance]]/tbl_Budget[[#This Row],[Budget]]</f>
        <v>-3.314966312534165E-2</v>
      </c>
      <c r="N1577" t="str">
        <f>IF(tbl_Budget[[#This Row],[Variance_%]]&gt;0.05,"Overspend",IF(tbl_Budget[[#This Row],[Variance_%]]&lt;-0.05,"Underspend","On Budget"))</f>
        <v>On Budget</v>
      </c>
    </row>
    <row r="1578" spans="1:14" hidden="1">
      <c r="A1578" s="1">
        <v>45383</v>
      </c>
      <c r="B1578">
        <v>4</v>
      </c>
      <c r="C1578" t="s">
        <v>36</v>
      </c>
      <c r="D1578" t="s">
        <v>57</v>
      </c>
      <c r="E1578">
        <v>2024</v>
      </c>
      <c r="F1578" t="s">
        <v>28</v>
      </c>
      <c r="G1578" t="s">
        <v>23</v>
      </c>
      <c r="H1578" t="s">
        <v>15</v>
      </c>
      <c r="I1578" t="s">
        <v>29</v>
      </c>
      <c r="J1578">
        <v>8016.12</v>
      </c>
      <c r="K1578">
        <v>8648.2999999999993</v>
      </c>
      <c r="L1578" s="20">
        <f>tbl_Budget[[#This Row],[Actual]]-tbl_Budget[[#This Row],[Budget]]</f>
        <v>632.17999999999938</v>
      </c>
      <c r="M1578" s="3">
        <f>tbl_Budget[[#This Row],[Variance]]/tbl_Budget[[#This Row],[Budget]]</f>
        <v>7.8863589866419087E-2</v>
      </c>
      <c r="N1578" t="str">
        <f>IF(tbl_Budget[[#This Row],[Variance_%]]&gt;0.05,"Overspend",IF(tbl_Budget[[#This Row],[Variance_%]]&lt;-0.05,"Underspend","On Budget"))</f>
        <v>Overspend</v>
      </c>
    </row>
    <row r="1579" spans="1:14" hidden="1">
      <c r="A1579" s="1">
        <v>45383</v>
      </c>
      <c r="B1579">
        <v>4</v>
      </c>
      <c r="C1579" t="s">
        <v>36</v>
      </c>
      <c r="D1579" t="s">
        <v>57</v>
      </c>
      <c r="E1579">
        <v>2024</v>
      </c>
      <c r="F1579" t="s">
        <v>28</v>
      </c>
      <c r="G1579" t="s">
        <v>23</v>
      </c>
      <c r="H1579" t="s">
        <v>17</v>
      </c>
      <c r="I1579" t="s">
        <v>29</v>
      </c>
      <c r="J1579">
        <v>7570.84</v>
      </c>
      <c r="K1579">
        <v>7240.64</v>
      </c>
      <c r="L1579" s="20">
        <f>tbl_Budget[[#This Row],[Actual]]-tbl_Budget[[#This Row],[Budget]]</f>
        <v>-330.19999999999982</v>
      </c>
      <c r="M1579" s="3">
        <f>tbl_Budget[[#This Row],[Variance]]/tbl_Budget[[#This Row],[Budget]]</f>
        <v>-4.3614711181321993E-2</v>
      </c>
      <c r="N1579" t="str">
        <f>IF(tbl_Budget[[#This Row],[Variance_%]]&gt;0.05,"Overspend",IF(tbl_Budget[[#This Row],[Variance_%]]&lt;-0.05,"Underspend","On Budget"))</f>
        <v>On Budget</v>
      </c>
    </row>
    <row r="1580" spans="1:14" hidden="1">
      <c r="A1580" s="1">
        <v>45383</v>
      </c>
      <c r="B1580">
        <v>4</v>
      </c>
      <c r="C1580" t="s">
        <v>36</v>
      </c>
      <c r="D1580" t="s">
        <v>57</v>
      </c>
      <c r="E1580">
        <v>2024</v>
      </c>
      <c r="F1580" t="s">
        <v>28</v>
      </c>
      <c r="G1580" t="s">
        <v>23</v>
      </c>
      <c r="H1580" t="s">
        <v>18</v>
      </c>
      <c r="I1580" t="s">
        <v>29</v>
      </c>
      <c r="J1580">
        <v>7868.09</v>
      </c>
      <c r="K1580">
        <v>7178.28</v>
      </c>
      <c r="L1580" s="20">
        <f>tbl_Budget[[#This Row],[Actual]]-tbl_Budget[[#This Row],[Budget]]</f>
        <v>-689.8100000000004</v>
      </c>
      <c r="M1580" s="3">
        <f>tbl_Budget[[#This Row],[Variance]]/tbl_Budget[[#This Row],[Budget]]</f>
        <v>-8.7671849203555169E-2</v>
      </c>
      <c r="N1580" t="str">
        <f>IF(tbl_Budget[[#This Row],[Variance_%]]&gt;0.05,"Overspend",IF(tbl_Budget[[#This Row],[Variance_%]]&lt;-0.05,"Underspend","On Budget"))</f>
        <v>Underspend</v>
      </c>
    </row>
    <row r="1581" spans="1:14" hidden="1">
      <c r="A1581" s="1">
        <v>45383</v>
      </c>
      <c r="B1581">
        <v>4</v>
      </c>
      <c r="C1581" t="s">
        <v>36</v>
      </c>
      <c r="D1581" t="s">
        <v>57</v>
      </c>
      <c r="E1581">
        <v>2024</v>
      </c>
      <c r="F1581" t="s">
        <v>28</v>
      </c>
      <c r="G1581" t="s">
        <v>23</v>
      </c>
      <c r="H1581" t="s">
        <v>19</v>
      </c>
      <c r="I1581" t="s">
        <v>29</v>
      </c>
      <c r="J1581">
        <v>8502.2999999999993</v>
      </c>
      <c r="K1581">
        <v>9654.16</v>
      </c>
      <c r="L1581" s="20">
        <f>tbl_Budget[[#This Row],[Actual]]-tbl_Budget[[#This Row],[Budget]]</f>
        <v>1151.8600000000006</v>
      </c>
      <c r="M1581" s="3">
        <f>tbl_Budget[[#This Row],[Variance]]/tbl_Budget[[#This Row],[Budget]]</f>
        <v>0.13547628288815974</v>
      </c>
      <c r="N1581" t="str">
        <f>IF(tbl_Budget[[#This Row],[Variance_%]]&gt;0.05,"Overspend",IF(tbl_Budget[[#This Row],[Variance_%]]&lt;-0.05,"Underspend","On Budget"))</f>
        <v>Overspend</v>
      </c>
    </row>
    <row r="1582" spans="1:14" hidden="1">
      <c r="A1582" s="1">
        <v>45383</v>
      </c>
      <c r="B1582">
        <v>4</v>
      </c>
      <c r="C1582" t="s">
        <v>36</v>
      </c>
      <c r="D1582" t="s">
        <v>57</v>
      </c>
      <c r="E1582">
        <v>2024</v>
      </c>
      <c r="F1582" t="s">
        <v>30</v>
      </c>
      <c r="G1582" t="s">
        <v>14</v>
      </c>
      <c r="H1582" t="s">
        <v>15</v>
      </c>
      <c r="I1582" t="s">
        <v>31</v>
      </c>
      <c r="J1582">
        <v>45716.34</v>
      </c>
      <c r="K1582">
        <v>43981.79</v>
      </c>
      <c r="L1582" s="20">
        <f>tbl_Budget[[#This Row],[Actual]]-tbl_Budget[[#This Row],[Budget]]</f>
        <v>-1734.5499999999956</v>
      </c>
      <c r="M1582" s="3">
        <f>tbl_Budget[[#This Row],[Variance]]/tbl_Budget[[#This Row],[Budget]]</f>
        <v>-3.7941576250417157E-2</v>
      </c>
      <c r="N1582" t="str">
        <f>IF(tbl_Budget[[#This Row],[Variance_%]]&gt;0.05,"Overspend",IF(tbl_Budget[[#This Row],[Variance_%]]&lt;-0.05,"Underspend","On Budget"))</f>
        <v>On Budget</v>
      </c>
    </row>
    <row r="1583" spans="1:14" hidden="1">
      <c r="A1583" s="1">
        <v>45383</v>
      </c>
      <c r="B1583">
        <v>4</v>
      </c>
      <c r="C1583" t="s">
        <v>36</v>
      </c>
      <c r="D1583" t="s">
        <v>57</v>
      </c>
      <c r="E1583">
        <v>2024</v>
      </c>
      <c r="F1583" t="s">
        <v>30</v>
      </c>
      <c r="G1583" t="s">
        <v>14</v>
      </c>
      <c r="H1583" t="s">
        <v>17</v>
      </c>
      <c r="I1583" t="s">
        <v>31</v>
      </c>
      <c r="J1583">
        <v>43564.63</v>
      </c>
      <c r="K1583">
        <v>45142.36</v>
      </c>
      <c r="L1583" s="20">
        <f>tbl_Budget[[#This Row],[Actual]]-tbl_Budget[[#This Row],[Budget]]</f>
        <v>1577.7300000000032</v>
      </c>
      <c r="M1583" s="3">
        <f>tbl_Budget[[#This Row],[Variance]]/tbl_Budget[[#This Row],[Budget]]</f>
        <v>3.6215847580939015E-2</v>
      </c>
      <c r="N1583" t="str">
        <f>IF(tbl_Budget[[#This Row],[Variance_%]]&gt;0.05,"Overspend",IF(tbl_Budget[[#This Row],[Variance_%]]&lt;-0.05,"Underspend","On Budget"))</f>
        <v>On Budget</v>
      </c>
    </row>
    <row r="1584" spans="1:14" hidden="1">
      <c r="A1584" s="1">
        <v>45383</v>
      </c>
      <c r="B1584">
        <v>4</v>
      </c>
      <c r="C1584" t="s">
        <v>36</v>
      </c>
      <c r="D1584" t="s">
        <v>57</v>
      </c>
      <c r="E1584">
        <v>2024</v>
      </c>
      <c r="F1584" t="s">
        <v>30</v>
      </c>
      <c r="G1584" t="s">
        <v>14</v>
      </c>
      <c r="H1584" t="s">
        <v>18</v>
      </c>
      <c r="I1584" t="s">
        <v>31</v>
      </c>
      <c r="J1584">
        <v>44309.27</v>
      </c>
      <c r="K1584">
        <v>44671.86</v>
      </c>
      <c r="L1584" s="20">
        <f>tbl_Budget[[#This Row],[Actual]]-tbl_Budget[[#This Row],[Budget]]</f>
        <v>362.59000000000378</v>
      </c>
      <c r="M1584" s="3">
        <f>tbl_Budget[[#This Row],[Variance]]/tbl_Budget[[#This Row],[Budget]]</f>
        <v>8.1831634779811046E-3</v>
      </c>
      <c r="N1584" t="str">
        <f>IF(tbl_Budget[[#This Row],[Variance_%]]&gt;0.05,"Overspend",IF(tbl_Budget[[#This Row],[Variance_%]]&lt;-0.05,"Underspend","On Budget"))</f>
        <v>On Budget</v>
      </c>
    </row>
    <row r="1585" spans="1:14" hidden="1">
      <c r="A1585" s="1">
        <v>45383</v>
      </c>
      <c r="B1585">
        <v>4</v>
      </c>
      <c r="C1585" t="s">
        <v>36</v>
      </c>
      <c r="D1585" t="s">
        <v>57</v>
      </c>
      <c r="E1585">
        <v>2024</v>
      </c>
      <c r="F1585" t="s">
        <v>30</v>
      </c>
      <c r="G1585" t="s">
        <v>14</v>
      </c>
      <c r="H1585" t="s">
        <v>19</v>
      </c>
      <c r="I1585" t="s">
        <v>31</v>
      </c>
      <c r="J1585">
        <v>47898.37</v>
      </c>
      <c r="K1585">
        <v>48155.88</v>
      </c>
      <c r="L1585" s="20">
        <f>tbl_Budget[[#This Row],[Actual]]-tbl_Budget[[#This Row],[Budget]]</f>
        <v>257.50999999999476</v>
      </c>
      <c r="M1585" s="3">
        <f>tbl_Budget[[#This Row],[Variance]]/tbl_Budget[[#This Row],[Budget]]</f>
        <v>5.3761745963379287E-3</v>
      </c>
      <c r="N1585" t="str">
        <f>IF(tbl_Budget[[#This Row],[Variance_%]]&gt;0.05,"Overspend",IF(tbl_Budget[[#This Row],[Variance_%]]&lt;-0.05,"Underspend","On Budget"))</f>
        <v>On Budget</v>
      </c>
    </row>
    <row r="1586" spans="1:14" hidden="1">
      <c r="A1586" s="1">
        <v>45383</v>
      </c>
      <c r="B1586">
        <v>4</v>
      </c>
      <c r="C1586" t="s">
        <v>36</v>
      </c>
      <c r="D1586" t="s">
        <v>57</v>
      </c>
      <c r="E1586">
        <v>2024</v>
      </c>
      <c r="F1586" t="s">
        <v>30</v>
      </c>
      <c r="G1586" t="s">
        <v>20</v>
      </c>
      <c r="H1586" t="s">
        <v>15</v>
      </c>
      <c r="I1586" t="s">
        <v>31</v>
      </c>
      <c r="J1586">
        <v>17490.07</v>
      </c>
      <c r="K1586">
        <v>18234.419999999998</v>
      </c>
      <c r="L1586" s="20">
        <f>tbl_Budget[[#This Row],[Actual]]-tbl_Budget[[#This Row],[Budget]]</f>
        <v>744.34999999999854</v>
      </c>
      <c r="M1586" s="3">
        <f>tbl_Budget[[#This Row],[Variance]]/tbl_Budget[[#This Row],[Budget]]</f>
        <v>4.2558434586025019E-2</v>
      </c>
      <c r="N1586" t="str">
        <f>IF(tbl_Budget[[#This Row],[Variance_%]]&gt;0.05,"Overspend",IF(tbl_Budget[[#This Row],[Variance_%]]&lt;-0.05,"Underspend","On Budget"))</f>
        <v>On Budget</v>
      </c>
    </row>
    <row r="1587" spans="1:14" hidden="1">
      <c r="A1587" s="1">
        <v>45383</v>
      </c>
      <c r="B1587">
        <v>4</v>
      </c>
      <c r="C1587" t="s">
        <v>36</v>
      </c>
      <c r="D1587" t="s">
        <v>57</v>
      </c>
      <c r="E1587">
        <v>2024</v>
      </c>
      <c r="F1587" t="s">
        <v>30</v>
      </c>
      <c r="G1587" t="s">
        <v>20</v>
      </c>
      <c r="H1587" t="s">
        <v>17</v>
      </c>
      <c r="I1587" t="s">
        <v>31</v>
      </c>
      <c r="J1587">
        <v>16150.23</v>
      </c>
      <c r="K1587">
        <v>15724.66</v>
      </c>
      <c r="L1587" s="20">
        <f>tbl_Budget[[#This Row],[Actual]]-tbl_Budget[[#This Row],[Budget]]</f>
        <v>-425.56999999999971</v>
      </c>
      <c r="M1587" s="3">
        <f>tbl_Budget[[#This Row],[Variance]]/tbl_Budget[[#This Row],[Budget]]</f>
        <v>-2.6350708318085857E-2</v>
      </c>
      <c r="N1587" t="str">
        <f>IF(tbl_Budget[[#This Row],[Variance_%]]&gt;0.05,"Overspend",IF(tbl_Budget[[#This Row],[Variance_%]]&lt;-0.05,"Underspend","On Budget"))</f>
        <v>On Budget</v>
      </c>
    </row>
    <row r="1588" spans="1:14" hidden="1">
      <c r="A1588" s="1">
        <v>45383</v>
      </c>
      <c r="B1588">
        <v>4</v>
      </c>
      <c r="C1588" t="s">
        <v>36</v>
      </c>
      <c r="D1588" t="s">
        <v>57</v>
      </c>
      <c r="E1588">
        <v>2024</v>
      </c>
      <c r="F1588" t="s">
        <v>30</v>
      </c>
      <c r="G1588" t="s">
        <v>20</v>
      </c>
      <c r="H1588" t="s">
        <v>18</v>
      </c>
      <c r="I1588" t="s">
        <v>31</v>
      </c>
      <c r="J1588">
        <v>17014.12</v>
      </c>
      <c r="K1588">
        <v>17176.64</v>
      </c>
      <c r="L1588" s="20">
        <f>tbl_Budget[[#This Row],[Actual]]-tbl_Budget[[#This Row],[Budget]]</f>
        <v>162.52000000000044</v>
      </c>
      <c r="M1588" s="3">
        <f>tbl_Budget[[#This Row],[Variance]]/tbl_Budget[[#This Row],[Budget]]</f>
        <v>9.5520661662196124E-3</v>
      </c>
      <c r="N1588" t="str">
        <f>IF(tbl_Budget[[#This Row],[Variance_%]]&gt;0.05,"Overspend",IF(tbl_Budget[[#This Row],[Variance_%]]&lt;-0.05,"Underspend","On Budget"))</f>
        <v>On Budget</v>
      </c>
    </row>
    <row r="1589" spans="1:14" hidden="1">
      <c r="A1589" s="1">
        <v>45383</v>
      </c>
      <c r="B1589">
        <v>4</v>
      </c>
      <c r="C1589" t="s">
        <v>36</v>
      </c>
      <c r="D1589" t="s">
        <v>57</v>
      </c>
      <c r="E1589">
        <v>2024</v>
      </c>
      <c r="F1589" t="s">
        <v>30</v>
      </c>
      <c r="G1589" t="s">
        <v>20</v>
      </c>
      <c r="H1589" t="s">
        <v>19</v>
      </c>
      <c r="I1589" t="s">
        <v>31</v>
      </c>
      <c r="J1589">
        <v>17915.34</v>
      </c>
      <c r="K1589">
        <v>18285.080000000002</v>
      </c>
      <c r="L1589" s="20">
        <f>tbl_Budget[[#This Row],[Actual]]-tbl_Budget[[#This Row],[Budget]]</f>
        <v>369.7400000000016</v>
      </c>
      <c r="M1589" s="3">
        <f>tbl_Budget[[#This Row],[Variance]]/tbl_Budget[[#This Row],[Budget]]</f>
        <v>2.0638179347977854E-2</v>
      </c>
      <c r="N1589" t="str">
        <f>IF(tbl_Budget[[#This Row],[Variance_%]]&gt;0.05,"Overspend",IF(tbl_Budget[[#This Row],[Variance_%]]&lt;-0.05,"Underspend","On Budget"))</f>
        <v>On Budget</v>
      </c>
    </row>
    <row r="1590" spans="1:14">
      <c r="A1590" s="1">
        <v>45383</v>
      </c>
      <c r="B1590">
        <v>4</v>
      </c>
      <c r="C1590" t="s">
        <v>36</v>
      </c>
      <c r="D1590" t="s">
        <v>57</v>
      </c>
      <c r="E1590">
        <v>2024</v>
      </c>
      <c r="F1590" t="s">
        <v>30</v>
      </c>
      <c r="G1590" t="s">
        <v>21</v>
      </c>
      <c r="H1590" t="s">
        <v>15</v>
      </c>
      <c r="I1590" t="s">
        <v>31</v>
      </c>
      <c r="J1590">
        <v>7335.95</v>
      </c>
      <c r="K1590">
        <v>7217.53</v>
      </c>
      <c r="L1590" s="20">
        <f>tbl_Budget[[#This Row],[Actual]]-tbl_Budget[[#This Row],[Budget]]</f>
        <v>-118.42000000000007</v>
      </c>
      <c r="M1590" s="3">
        <f>tbl_Budget[[#This Row],[Variance]]/tbl_Budget[[#This Row],[Budget]]</f>
        <v>-1.614242190854628E-2</v>
      </c>
      <c r="N1590" t="str">
        <f>IF(tbl_Budget[[#This Row],[Variance_%]]&gt;0.05,"Overspend",IF(tbl_Budget[[#This Row],[Variance_%]]&lt;-0.05,"Underspend","On Budget"))</f>
        <v>On Budget</v>
      </c>
    </row>
    <row r="1591" spans="1:14">
      <c r="A1591" s="1">
        <v>45383</v>
      </c>
      <c r="B1591">
        <v>4</v>
      </c>
      <c r="C1591" t="s">
        <v>36</v>
      </c>
      <c r="D1591" t="s">
        <v>57</v>
      </c>
      <c r="E1591">
        <v>2024</v>
      </c>
      <c r="F1591" t="s">
        <v>30</v>
      </c>
      <c r="G1591" t="s">
        <v>21</v>
      </c>
      <c r="H1591" t="s">
        <v>17</v>
      </c>
      <c r="I1591" t="s">
        <v>31</v>
      </c>
      <c r="J1591">
        <v>6980.98</v>
      </c>
      <c r="K1591">
        <v>7239.94</v>
      </c>
      <c r="L1591" s="20">
        <f>tbl_Budget[[#This Row],[Actual]]-tbl_Budget[[#This Row],[Budget]]</f>
        <v>258.96000000000004</v>
      </c>
      <c r="M1591" s="3">
        <f>tbl_Budget[[#This Row],[Variance]]/tbl_Budget[[#This Row],[Budget]]</f>
        <v>3.7095078341436313E-2</v>
      </c>
      <c r="N1591" t="str">
        <f>IF(tbl_Budget[[#This Row],[Variance_%]]&gt;0.05,"Overspend",IF(tbl_Budget[[#This Row],[Variance_%]]&lt;-0.05,"Underspend","On Budget"))</f>
        <v>On Budget</v>
      </c>
    </row>
    <row r="1592" spans="1:14">
      <c r="A1592" s="1">
        <v>45383</v>
      </c>
      <c r="B1592">
        <v>4</v>
      </c>
      <c r="C1592" t="s">
        <v>36</v>
      </c>
      <c r="D1592" t="s">
        <v>57</v>
      </c>
      <c r="E1592">
        <v>2024</v>
      </c>
      <c r="F1592" t="s">
        <v>30</v>
      </c>
      <c r="G1592" t="s">
        <v>21</v>
      </c>
      <c r="H1592" t="s">
        <v>18</v>
      </c>
      <c r="I1592" t="s">
        <v>31</v>
      </c>
      <c r="J1592">
        <v>7200.62</v>
      </c>
      <c r="K1592">
        <v>7081.88</v>
      </c>
      <c r="L1592" s="20">
        <f>tbl_Budget[[#This Row],[Actual]]-tbl_Budget[[#This Row],[Budget]]</f>
        <v>-118.73999999999978</v>
      </c>
      <c r="M1592" s="3">
        <f>tbl_Budget[[#This Row],[Variance]]/tbl_Budget[[#This Row],[Budget]]</f>
        <v>-1.6490246673203111E-2</v>
      </c>
      <c r="N1592" t="str">
        <f>IF(tbl_Budget[[#This Row],[Variance_%]]&gt;0.05,"Overspend",IF(tbl_Budget[[#This Row],[Variance_%]]&lt;-0.05,"Underspend","On Budget"))</f>
        <v>On Budget</v>
      </c>
    </row>
    <row r="1593" spans="1:14">
      <c r="A1593" s="1">
        <v>45383</v>
      </c>
      <c r="B1593">
        <v>4</v>
      </c>
      <c r="C1593" t="s">
        <v>36</v>
      </c>
      <c r="D1593" t="s">
        <v>57</v>
      </c>
      <c r="E1593">
        <v>2024</v>
      </c>
      <c r="F1593" t="s">
        <v>30</v>
      </c>
      <c r="G1593" t="s">
        <v>21</v>
      </c>
      <c r="H1593" t="s">
        <v>19</v>
      </c>
      <c r="I1593" t="s">
        <v>31</v>
      </c>
      <c r="J1593">
        <v>7772.02</v>
      </c>
      <c r="K1593">
        <v>7691.52</v>
      </c>
      <c r="L1593" s="20">
        <f>tbl_Budget[[#This Row],[Actual]]-tbl_Budget[[#This Row],[Budget]]</f>
        <v>-80.5</v>
      </c>
      <c r="M1593" s="3">
        <f>tbl_Budget[[#This Row],[Variance]]/tbl_Budget[[#This Row],[Budget]]</f>
        <v>-1.0357667633382311E-2</v>
      </c>
      <c r="N1593" t="str">
        <f>IF(tbl_Budget[[#This Row],[Variance_%]]&gt;0.05,"Overspend",IF(tbl_Budget[[#This Row],[Variance_%]]&lt;-0.05,"Underspend","On Budget"))</f>
        <v>On Budget</v>
      </c>
    </row>
    <row r="1594" spans="1:14" hidden="1">
      <c r="A1594" s="1">
        <v>45383</v>
      </c>
      <c r="B1594">
        <v>4</v>
      </c>
      <c r="C1594" t="s">
        <v>36</v>
      </c>
      <c r="D1594" t="s">
        <v>57</v>
      </c>
      <c r="E1594">
        <v>2024</v>
      </c>
      <c r="F1594" t="s">
        <v>30</v>
      </c>
      <c r="G1594" t="s">
        <v>22</v>
      </c>
      <c r="H1594" t="s">
        <v>15</v>
      </c>
      <c r="I1594" t="s">
        <v>31</v>
      </c>
      <c r="J1594">
        <v>7452.74</v>
      </c>
      <c r="K1594">
        <v>7034.67</v>
      </c>
      <c r="L1594" s="20">
        <f>tbl_Budget[[#This Row],[Actual]]-tbl_Budget[[#This Row],[Budget]]</f>
        <v>-418.06999999999971</v>
      </c>
      <c r="M1594" s="3">
        <f>tbl_Budget[[#This Row],[Variance]]/tbl_Budget[[#This Row],[Budget]]</f>
        <v>-5.6096147188819105E-2</v>
      </c>
      <c r="N1594" t="str">
        <f>IF(tbl_Budget[[#This Row],[Variance_%]]&gt;0.05,"Overspend",IF(tbl_Budget[[#This Row],[Variance_%]]&lt;-0.05,"Underspend","On Budget"))</f>
        <v>Underspend</v>
      </c>
    </row>
    <row r="1595" spans="1:14" hidden="1">
      <c r="A1595" s="1">
        <v>45383</v>
      </c>
      <c r="B1595">
        <v>4</v>
      </c>
      <c r="C1595" t="s">
        <v>36</v>
      </c>
      <c r="D1595" t="s">
        <v>57</v>
      </c>
      <c r="E1595">
        <v>2024</v>
      </c>
      <c r="F1595" t="s">
        <v>30</v>
      </c>
      <c r="G1595" t="s">
        <v>22</v>
      </c>
      <c r="H1595" t="s">
        <v>17</v>
      </c>
      <c r="I1595" t="s">
        <v>31</v>
      </c>
      <c r="J1595">
        <v>7126.89</v>
      </c>
      <c r="K1595">
        <v>7385.85</v>
      </c>
      <c r="L1595" s="20">
        <f>tbl_Budget[[#This Row],[Actual]]-tbl_Budget[[#This Row],[Budget]]</f>
        <v>258.96000000000004</v>
      </c>
      <c r="M1595" s="3">
        <f>tbl_Budget[[#This Row],[Variance]]/tbl_Budget[[#This Row],[Budget]]</f>
        <v>3.633562465535458E-2</v>
      </c>
      <c r="N1595" t="str">
        <f>IF(tbl_Budget[[#This Row],[Variance_%]]&gt;0.05,"Overspend",IF(tbl_Budget[[#This Row],[Variance_%]]&lt;-0.05,"Underspend","On Budget"))</f>
        <v>On Budget</v>
      </c>
    </row>
    <row r="1596" spans="1:14" hidden="1">
      <c r="A1596" s="1">
        <v>45383</v>
      </c>
      <c r="B1596">
        <v>4</v>
      </c>
      <c r="C1596" t="s">
        <v>36</v>
      </c>
      <c r="D1596" t="s">
        <v>57</v>
      </c>
      <c r="E1596">
        <v>2024</v>
      </c>
      <c r="F1596" t="s">
        <v>30</v>
      </c>
      <c r="G1596" t="s">
        <v>22</v>
      </c>
      <c r="H1596" t="s">
        <v>18</v>
      </c>
      <c r="I1596" t="s">
        <v>31</v>
      </c>
      <c r="J1596">
        <v>7325.32</v>
      </c>
      <c r="K1596">
        <v>7258.07</v>
      </c>
      <c r="L1596" s="20">
        <f>tbl_Budget[[#This Row],[Actual]]-tbl_Budget[[#This Row],[Budget]]</f>
        <v>-67.25</v>
      </c>
      <c r="M1596" s="3">
        <f>tbl_Budget[[#This Row],[Variance]]/tbl_Budget[[#This Row],[Budget]]</f>
        <v>-9.1804863132259069E-3</v>
      </c>
      <c r="N1596" t="str">
        <f>IF(tbl_Budget[[#This Row],[Variance_%]]&gt;0.05,"Overspend",IF(tbl_Budget[[#This Row],[Variance_%]]&lt;-0.05,"Underspend","On Budget"))</f>
        <v>On Budget</v>
      </c>
    </row>
    <row r="1597" spans="1:14" hidden="1">
      <c r="A1597" s="1">
        <v>45383</v>
      </c>
      <c r="B1597">
        <v>4</v>
      </c>
      <c r="C1597" t="s">
        <v>36</v>
      </c>
      <c r="D1597" t="s">
        <v>57</v>
      </c>
      <c r="E1597">
        <v>2024</v>
      </c>
      <c r="F1597" t="s">
        <v>30</v>
      </c>
      <c r="G1597" t="s">
        <v>22</v>
      </c>
      <c r="H1597" t="s">
        <v>19</v>
      </c>
      <c r="I1597" t="s">
        <v>31</v>
      </c>
      <c r="J1597">
        <v>7850.74</v>
      </c>
      <c r="K1597">
        <v>7590.06</v>
      </c>
      <c r="L1597" s="20">
        <f>tbl_Budget[[#This Row],[Actual]]-tbl_Budget[[#This Row],[Budget]]</f>
        <v>-260.67999999999938</v>
      </c>
      <c r="M1597" s="3">
        <f>tbl_Budget[[#This Row],[Variance]]/tbl_Budget[[#This Row],[Budget]]</f>
        <v>-3.3204513205124533E-2</v>
      </c>
      <c r="N1597" t="str">
        <f>IF(tbl_Budget[[#This Row],[Variance_%]]&gt;0.05,"Overspend",IF(tbl_Budget[[#This Row],[Variance_%]]&lt;-0.05,"Underspend","On Budget"))</f>
        <v>On Budget</v>
      </c>
    </row>
    <row r="1598" spans="1:14" hidden="1">
      <c r="A1598" s="1">
        <v>45383</v>
      </c>
      <c r="B1598">
        <v>4</v>
      </c>
      <c r="C1598" t="s">
        <v>36</v>
      </c>
      <c r="D1598" t="s">
        <v>57</v>
      </c>
      <c r="E1598">
        <v>2024</v>
      </c>
      <c r="F1598" t="s">
        <v>30</v>
      </c>
      <c r="G1598" t="s">
        <v>23</v>
      </c>
      <c r="H1598" t="s">
        <v>15</v>
      </c>
      <c r="I1598" t="s">
        <v>31</v>
      </c>
      <c r="J1598">
        <v>6412.8</v>
      </c>
      <c r="K1598">
        <v>6550.11</v>
      </c>
      <c r="L1598" s="20">
        <f>tbl_Budget[[#This Row],[Actual]]-tbl_Budget[[#This Row],[Budget]]</f>
        <v>137.30999999999949</v>
      </c>
      <c r="M1598" s="3">
        <f>tbl_Budget[[#This Row],[Variance]]/tbl_Budget[[#This Row],[Budget]]</f>
        <v>2.1411863772455009E-2</v>
      </c>
      <c r="N1598" t="str">
        <f>IF(tbl_Budget[[#This Row],[Variance_%]]&gt;0.05,"Overspend",IF(tbl_Budget[[#This Row],[Variance_%]]&lt;-0.05,"Underspend","On Budget"))</f>
        <v>On Budget</v>
      </c>
    </row>
    <row r="1599" spans="1:14" hidden="1">
      <c r="A1599" s="1">
        <v>45383</v>
      </c>
      <c r="B1599">
        <v>4</v>
      </c>
      <c r="C1599" t="s">
        <v>36</v>
      </c>
      <c r="D1599" t="s">
        <v>57</v>
      </c>
      <c r="E1599">
        <v>2024</v>
      </c>
      <c r="F1599" t="s">
        <v>30</v>
      </c>
      <c r="G1599" t="s">
        <v>23</v>
      </c>
      <c r="H1599" t="s">
        <v>17</v>
      </c>
      <c r="I1599" t="s">
        <v>31</v>
      </c>
      <c r="J1599">
        <v>6324.09</v>
      </c>
      <c r="K1599">
        <v>6468.51</v>
      </c>
      <c r="L1599" s="20">
        <f>tbl_Budget[[#This Row],[Actual]]-tbl_Budget[[#This Row],[Budget]]</f>
        <v>144.42000000000007</v>
      </c>
      <c r="M1599" s="3">
        <f>tbl_Budget[[#This Row],[Variance]]/tbl_Budget[[#This Row],[Budget]]</f>
        <v>2.2836487146767372E-2</v>
      </c>
      <c r="N1599" t="str">
        <f>IF(tbl_Budget[[#This Row],[Variance_%]]&gt;0.05,"Overspend",IF(tbl_Budget[[#This Row],[Variance_%]]&lt;-0.05,"Underspend","On Budget"))</f>
        <v>On Budget</v>
      </c>
    </row>
    <row r="1600" spans="1:14" hidden="1">
      <c r="A1600" s="1">
        <v>45383</v>
      </c>
      <c r="B1600">
        <v>4</v>
      </c>
      <c r="C1600" t="s">
        <v>36</v>
      </c>
      <c r="D1600" t="s">
        <v>57</v>
      </c>
      <c r="E1600">
        <v>2024</v>
      </c>
      <c r="F1600" t="s">
        <v>30</v>
      </c>
      <c r="G1600" t="s">
        <v>23</v>
      </c>
      <c r="H1600" t="s">
        <v>18</v>
      </c>
      <c r="I1600" t="s">
        <v>31</v>
      </c>
      <c r="J1600">
        <v>6206.98</v>
      </c>
      <c r="K1600">
        <v>6481.24</v>
      </c>
      <c r="L1600" s="20">
        <f>tbl_Budget[[#This Row],[Actual]]-tbl_Budget[[#This Row],[Budget]]</f>
        <v>274.26000000000022</v>
      </c>
      <c r="M1600" s="3">
        <f>tbl_Budget[[#This Row],[Variance]]/tbl_Budget[[#This Row],[Budget]]</f>
        <v>4.4185739280616379E-2</v>
      </c>
      <c r="N1600" t="str">
        <f>IF(tbl_Budget[[#This Row],[Variance_%]]&gt;0.05,"Overspend",IF(tbl_Budget[[#This Row],[Variance_%]]&lt;-0.05,"Underspend","On Budget"))</f>
        <v>On Budget</v>
      </c>
    </row>
    <row r="1601" spans="1:14" hidden="1">
      <c r="A1601" s="1">
        <v>45383</v>
      </c>
      <c r="B1601">
        <v>4</v>
      </c>
      <c r="C1601" t="s">
        <v>36</v>
      </c>
      <c r="D1601" t="s">
        <v>57</v>
      </c>
      <c r="E1601">
        <v>2024</v>
      </c>
      <c r="F1601" t="s">
        <v>30</v>
      </c>
      <c r="G1601" t="s">
        <v>23</v>
      </c>
      <c r="H1601" t="s">
        <v>19</v>
      </c>
      <c r="I1601" t="s">
        <v>31</v>
      </c>
      <c r="J1601">
        <v>6863.55</v>
      </c>
      <c r="K1601">
        <v>6507.41</v>
      </c>
      <c r="L1601" s="20">
        <f>tbl_Budget[[#This Row],[Actual]]-tbl_Budget[[#This Row],[Budget]]</f>
        <v>-356.14000000000033</v>
      </c>
      <c r="M1601" s="3">
        <f>tbl_Budget[[#This Row],[Variance]]/tbl_Budget[[#This Row],[Budget]]</f>
        <v>-5.1888599922780533E-2</v>
      </c>
      <c r="N1601" t="str">
        <f>IF(tbl_Budget[[#This Row],[Variance_%]]&gt;0.05,"Overspend",IF(tbl_Budget[[#This Row],[Variance_%]]&lt;-0.05,"Underspend","On Budget"))</f>
        <v>Underspend</v>
      </c>
    </row>
    <row r="1602" spans="1:14" hidden="1">
      <c r="A1602" s="1">
        <v>45413</v>
      </c>
      <c r="B1602">
        <v>5</v>
      </c>
      <c r="C1602" t="s">
        <v>38</v>
      </c>
      <c r="D1602" t="s">
        <v>58</v>
      </c>
      <c r="E1602">
        <v>2024</v>
      </c>
      <c r="F1602" t="s">
        <v>13</v>
      </c>
      <c r="G1602" t="s">
        <v>14</v>
      </c>
      <c r="H1602" t="s">
        <v>15</v>
      </c>
      <c r="I1602" t="s">
        <v>16</v>
      </c>
      <c r="J1602">
        <v>51278.62</v>
      </c>
      <c r="K1602">
        <v>60672.27</v>
      </c>
      <c r="L1602" s="20">
        <f>tbl_Budget[[#This Row],[Actual]]-tbl_Budget[[#This Row],[Budget]]</f>
        <v>9393.6499999999942</v>
      </c>
      <c r="M1602" s="3">
        <f>tbl_Budget[[#This Row],[Variance]]/tbl_Budget[[#This Row],[Budget]]</f>
        <v>0.18318843213799424</v>
      </c>
      <c r="N1602" t="str">
        <f>IF(tbl_Budget[[#This Row],[Variance_%]]&gt;0.05,"Overspend",IF(tbl_Budget[[#This Row],[Variance_%]]&lt;-0.05,"Underspend","On Budget"))</f>
        <v>Overspend</v>
      </c>
    </row>
    <row r="1603" spans="1:14" hidden="1">
      <c r="A1603" s="1">
        <v>45413</v>
      </c>
      <c r="B1603">
        <v>5</v>
      </c>
      <c r="C1603" t="s">
        <v>38</v>
      </c>
      <c r="D1603" t="s">
        <v>58</v>
      </c>
      <c r="E1603">
        <v>2024</v>
      </c>
      <c r="F1603" t="s">
        <v>13</v>
      </c>
      <c r="G1603" t="s">
        <v>14</v>
      </c>
      <c r="H1603" t="s">
        <v>17</v>
      </c>
      <c r="I1603" t="s">
        <v>16</v>
      </c>
      <c r="J1603">
        <v>49578.89</v>
      </c>
      <c r="K1603">
        <v>57375.06</v>
      </c>
      <c r="L1603" s="20">
        <f>tbl_Budget[[#This Row],[Actual]]-tbl_Budget[[#This Row],[Budget]]</f>
        <v>7796.1699999999983</v>
      </c>
      <c r="M1603" s="3">
        <f>tbl_Budget[[#This Row],[Variance]]/tbl_Budget[[#This Row],[Budget]]</f>
        <v>0.15724777218691258</v>
      </c>
      <c r="N1603" t="str">
        <f>IF(tbl_Budget[[#This Row],[Variance_%]]&gt;0.05,"Overspend",IF(tbl_Budget[[#This Row],[Variance_%]]&lt;-0.05,"Underspend","On Budget"))</f>
        <v>Overspend</v>
      </c>
    </row>
    <row r="1604" spans="1:14" hidden="1">
      <c r="A1604" s="1">
        <v>45413</v>
      </c>
      <c r="B1604">
        <v>5</v>
      </c>
      <c r="C1604" t="s">
        <v>38</v>
      </c>
      <c r="D1604" t="s">
        <v>58</v>
      </c>
      <c r="E1604">
        <v>2024</v>
      </c>
      <c r="F1604" t="s">
        <v>13</v>
      </c>
      <c r="G1604" t="s">
        <v>14</v>
      </c>
      <c r="H1604" t="s">
        <v>18</v>
      </c>
      <c r="I1604" t="s">
        <v>16</v>
      </c>
      <c r="J1604">
        <v>49151.94</v>
      </c>
      <c r="K1604">
        <v>55172.79</v>
      </c>
      <c r="L1604" s="20">
        <f>tbl_Budget[[#This Row],[Actual]]-tbl_Budget[[#This Row],[Budget]]</f>
        <v>6020.8499999999985</v>
      </c>
      <c r="M1604" s="3">
        <f>tbl_Budget[[#This Row],[Variance]]/tbl_Budget[[#This Row],[Budget]]</f>
        <v>0.12249465636554728</v>
      </c>
      <c r="N1604" t="str">
        <f>IF(tbl_Budget[[#This Row],[Variance_%]]&gt;0.05,"Overspend",IF(tbl_Budget[[#This Row],[Variance_%]]&lt;-0.05,"Underspend","On Budget"))</f>
        <v>Overspend</v>
      </c>
    </row>
    <row r="1605" spans="1:14" hidden="1">
      <c r="A1605" s="1">
        <v>45413</v>
      </c>
      <c r="B1605">
        <v>5</v>
      </c>
      <c r="C1605" t="s">
        <v>38</v>
      </c>
      <c r="D1605" t="s">
        <v>58</v>
      </c>
      <c r="E1605">
        <v>2024</v>
      </c>
      <c r="F1605" t="s">
        <v>13</v>
      </c>
      <c r="G1605" t="s">
        <v>14</v>
      </c>
      <c r="H1605" t="s">
        <v>19</v>
      </c>
      <c r="I1605" t="s">
        <v>16</v>
      </c>
      <c r="J1605">
        <v>53685.19</v>
      </c>
      <c r="K1605">
        <v>61066.92</v>
      </c>
      <c r="L1605" s="20">
        <f>tbl_Budget[[#This Row],[Actual]]-tbl_Budget[[#This Row],[Budget]]</f>
        <v>7381.7299999999959</v>
      </c>
      <c r="M1605" s="3">
        <f>tbl_Budget[[#This Row],[Variance]]/tbl_Budget[[#This Row],[Budget]]</f>
        <v>0.13750030501894461</v>
      </c>
      <c r="N1605" t="str">
        <f>IF(tbl_Budget[[#This Row],[Variance_%]]&gt;0.05,"Overspend",IF(tbl_Budget[[#This Row],[Variance_%]]&lt;-0.05,"Underspend","On Budget"))</f>
        <v>Overspend</v>
      </c>
    </row>
    <row r="1606" spans="1:14" hidden="1">
      <c r="A1606" s="1">
        <v>45413</v>
      </c>
      <c r="B1606">
        <v>5</v>
      </c>
      <c r="C1606" t="s">
        <v>38</v>
      </c>
      <c r="D1606" t="s">
        <v>58</v>
      </c>
      <c r="E1606">
        <v>2024</v>
      </c>
      <c r="F1606" t="s">
        <v>13</v>
      </c>
      <c r="G1606" t="s">
        <v>20</v>
      </c>
      <c r="H1606" t="s">
        <v>15</v>
      </c>
      <c r="I1606" t="s">
        <v>16</v>
      </c>
      <c r="J1606">
        <v>19757.900000000001</v>
      </c>
      <c r="K1606">
        <v>22897.32</v>
      </c>
      <c r="L1606" s="20">
        <f>tbl_Budget[[#This Row],[Actual]]-tbl_Budget[[#This Row],[Budget]]</f>
        <v>3139.4199999999983</v>
      </c>
      <c r="M1606" s="3">
        <f>tbl_Budget[[#This Row],[Variance]]/tbl_Budget[[#This Row],[Budget]]</f>
        <v>0.1588944169167775</v>
      </c>
      <c r="N1606" t="str">
        <f>IF(tbl_Budget[[#This Row],[Variance_%]]&gt;0.05,"Overspend",IF(tbl_Budget[[#This Row],[Variance_%]]&lt;-0.05,"Underspend","On Budget"))</f>
        <v>Overspend</v>
      </c>
    </row>
    <row r="1607" spans="1:14" hidden="1">
      <c r="A1607" s="1">
        <v>45413</v>
      </c>
      <c r="B1607">
        <v>5</v>
      </c>
      <c r="C1607" t="s">
        <v>38</v>
      </c>
      <c r="D1607" t="s">
        <v>58</v>
      </c>
      <c r="E1607">
        <v>2024</v>
      </c>
      <c r="F1607" t="s">
        <v>13</v>
      </c>
      <c r="G1607" t="s">
        <v>20</v>
      </c>
      <c r="H1607" t="s">
        <v>17</v>
      </c>
      <c r="I1607" t="s">
        <v>16</v>
      </c>
      <c r="J1607">
        <v>18641.080000000002</v>
      </c>
      <c r="K1607">
        <v>20994.32</v>
      </c>
      <c r="L1607" s="20">
        <f>tbl_Budget[[#This Row],[Actual]]-tbl_Budget[[#This Row],[Budget]]</f>
        <v>2353.239999999998</v>
      </c>
      <c r="M1607" s="3">
        <f>tbl_Budget[[#This Row],[Variance]]/tbl_Budget[[#This Row],[Budget]]</f>
        <v>0.12623946681200862</v>
      </c>
      <c r="N1607" t="str">
        <f>IF(tbl_Budget[[#This Row],[Variance_%]]&gt;0.05,"Overspend",IF(tbl_Budget[[#This Row],[Variance_%]]&lt;-0.05,"Underspend","On Budget"))</f>
        <v>Overspend</v>
      </c>
    </row>
    <row r="1608" spans="1:14" hidden="1">
      <c r="A1608" s="1">
        <v>45413</v>
      </c>
      <c r="B1608">
        <v>5</v>
      </c>
      <c r="C1608" t="s">
        <v>38</v>
      </c>
      <c r="D1608" t="s">
        <v>58</v>
      </c>
      <c r="E1608">
        <v>2024</v>
      </c>
      <c r="F1608" t="s">
        <v>13</v>
      </c>
      <c r="G1608" t="s">
        <v>20</v>
      </c>
      <c r="H1608" t="s">
        <v>18</v>
      </c>
      <c r="I1608" t="s">
        <v>16</v>
      </c>
      <c r="J1608">
        <v>18831.62</v>
      </c>
      <c r="K1608">
        <v>21249.34</v>
      </c>
      <c r="L1608" s="20">
        <f>tbl_Budget[[#This Row],[Actual]]-tbl_Budget[[#This Row],[Budget]]</f>
        <v>2417.7200000000012</v>
      </c>
      <c r="M1608" s="3">
        <f>tbl_Budget[[#This Row],[Variance]]/tbl_Budget[[#This Row],[Budget]]</f>
        <v>0.1283861930094172</v>
      </c>
      <c r="N1608" t="str">
        <f>IF(tbl_Budget[[#This Row],[Variance_%]]&gt;0.05,"Overspend",IF(tbl_Budget[[#This Row],[Variance_%]]&lt;-0.05,"Underspend","On Budget"))</f>
        <v>Overspend</v>
      </c>
    </row>
    <row r="1609" spans="1:14" hidden="1">
      <c r="A1609" s="1">
        <v>45413</v>
      </c>
      <c r="B1609">
        <v>5</v>
      </c>
      <c r="C1609" t="s">
        <v>38</v>
      </c>
      <c r="D1609" t="s">
        <v>58</v>
      </c>
      <c r="E1609">
        <v>2024</v>
      </c>
      <c r="F1609" t="s">
        <v>13</v>
      </c>
      <c r="G1609" t="s">
        <v>20</v>
      </c>
      <c r="H1609" t="s">
        <v>19</v>
      </c>
      <c r="I1609" t="s">
        <v>16</v>
      </c>
      <c r="J1609">
        <v>20404.64</v>
      </c>
      <c r="K1609">
        <v>23599.200000000001</v>
      </c>
      <c r="L1609" s="20">
        <f>tbl_Budget[[#This Row],[Actual]]-tbl_Budget[[#This Row],[Budget]]</f>
        <v>3194.5600000000013</v>
      </c>
      <c r="M1609" s="3">
        <f>tbl_Budget[[#This Row],[Variance]]/tbl_Budget[[#This Row],[Budget]]</f>
        <v>0.15656046859929906</v>
      </c>
      <c r="N1609" t="str">
        <f>IF(tbl_Budget[[#This Row],[Variance_%]]&gt;0.05,"Overspend",IF(tbl_Budget[[#This Row],[Variance_%]]&lt;-0.05,"Underspend","On Budget"))</f>
        <v>Overspend</v>
      </c>
    </row>
    <row r="1610" spans="1:14">
      <c r="A1610" s="1">
        <v>45413</v>
      </c>
      <c r="B1610">
        <v>5</v>
      </c>
      <c r="C1610" t="s">
        <v>38</v>
      </c>
      <c r="D1610" t="s">
        <v>58</v>
      </c>
      <c r="E1610">
        <v>2024</v>
      </c>
      <c r="F1610" t="s">
        <v>13</v>
      </c>
      <c r="G1610" t="s">
        <v>21</v>
      </c>
      <c r="H1610" t="s">
        <v>15</v>
      </c>
      <c r="I1610" t="s">
        <v>16</v>
      </c>
      <c r="J1610">
        <v>11221.89</v>
      </c>
      <c r="K1610">
        <v>13188.91</v>
      </c>
      <c r="L1610" s="20">
        <f>tbl_Budget[[#This Row],[Actual]]-tbl_Budget[[#This Row],[Budget]]</f>
        <v>1967.0200000000004</v>
      </c>
      <c r="M1610" s="3">
        <f>tbl_Budget[[#This Row],[Variance]]/tbl_Budget[[#This Row],[Budget]]</f>
        <v>0.17528419900747561</v>
      </c>
      <c r="N1610" t="str">
        <f>IF(tbl_Budget[[#This Row],[Variance_%]]&gt;0.05,"Overspend",IF(tbl_Budget[[#This Row],[Variance_%]]&lt;-0.05,"Underspend","On Budget"))</f>
        <v>Overspend</v>
      </c>
    </row>
    <row r="1611" spans="1:14">
      <c r="A1611" s="1">
        <v>45413</v>
      </c>
      <c r="B1611">
        <v>5</v>
      </c>
      <c r="C1611" t="s">
        <v>38</v>
      </c>
      <c r="D1611" t="s">
        <v>58</v>
      </c>
      <c r="E1611">
        <v>2024</v>
      </c>
      <c r="F1611" t="s">
        <v>13</v>
      </c>
      <c r="G1611" t="s">
        <v>21</v>
      </c>
      <c r="H1611" t="s">
        <v>17</v>
      </c>
      <c r="I1611" t="s">
        <v>16</v>
      </c>
      <c r="J1611">
        <v>10573.79</v>
      </c>
      <c r="K1611">
        <v>12168.01</v>
      </c>
      <c r="L1611" s="20">
        <f>tbl_Budget[[#This Row],[Actual]]-tbl_Budget[[#This Row],[Budget]]</f>
        <v>1594.2199999999993</v>
      </c>
      <c r="M1611" s="3">
        <f>tbl_Budget[[#This Row],[Variance]]/tbl_Budget[[#This Row],[Budget]]</f>
        <v>0.15077091563195402</v>
      </c>
      <c r="N1611" t="str">
        <f>IF(tbl_Budget[[#This Row],[Variance_%]]&gt;0.05,"Overspend",IF(tbl_Budget[[#This Row],[Variance_%]]&lt;-0.05,"Underspend","On Budget"))</f>
        <v>Overspend</v>
      </c>
    </row>
    <row r="1612" spans="1:14">
      <c r="A1612" s="1">
        <v>45413</v>
      </c>
      <c r="B1612">
        <v>5</v>
      </c>
      <c r="C1612" t="s">
        <v>38</v>
      </c>
      <c r="D1612" t="s">
        <v>58</v>
      </c>
      <c r="E1612">
        <v>2024</v>
      </c>
      <c r="F1612" t="s">
        <v>13</v>
      </c>
      <c r="G1612" t="s">
        <v>21</v>
      </c>
      <c r="H1612" t="s">
        <v>18</v>
      </c>
      <c r="I1612" t="s">
        <v>16</v>
      </c>
      <c r="J1612">
        <v>10488.82</v>
      </c>
      <c r="K1612">
        <v>11818.24</v>
      </c>
      <c r="L1612" s="20">
        <f>tbl_Budget[[#This Row],[Actual]]-tbl_Budget[[#This Row],[Budget]]</f>
        <v>1329.42</v>
      </c>
      <c r="M1612" s="3">
        <f>tbl_Budget[[#This Row],[Variance]]/tbl_Budget[[#This Row],[Budget]]</f>
        <v>0.12674638329192417</v>
      </c>
      <c r="N1612" t="str">
        <f>IF(tbl_Budget[[#This Row],[Variance_%]]&gt;0.05,"Overspend",IF(tbl_Budget[[#This Row],[Variance_%]]&lt;-0.05,"Underspend","On Budget"))</f>
        <v>Overspend</v>
      </c>
    </row>
    <row r="1613" spans="1:14">
      <c r="A1613" s="1">
        <v>45413</v>
      </c>
      <c r="B1613">
        <v>5</v>
      </c>
      <c r="C1613" t="s">
        <v>38</v>
      </c>
      <c r="D1613" t="s">
        <v>58</v>
      </c>
      <c r="E1613">
        <v>2024</v>
      </c>
      <c r="F1613" t="s">
        <v>13</v>
      </c>
      <c r="G1613" t="s">
        <v>21</v>
      </c>
      <c r="H1613" t="s">
        <v>19</v>
      </c>
      <c r="I1613" t="s">
        <v>16</v>
      </c>
      <c r="J1613">
        <v>11252.95</v>
      </c>
      <c r="K1613">
        <v>13151.92</v>
      </c>
      <c r="L1613" s="20">
        <f>tbl_Budget[[#This Row],[Actual]]-tbl_Budget[[#This Row],[Budget]]</f>
        <v>1898.9699999999993</v>
      </c>
      <c r="M1613" s="3">
        <f>tbl_Budget[[#This Row],[Variance]]/tbl_Budget[[#This Row],[Budget]]</f>
        <v>0.16875308252502672</v>
      </c>
      <c r="N1613" t="str">
        <f>IF(tbl_Budget[[#This Row],[Variance_%]]&gt;0.05,"Overspend",IF(tbl_Budget[[#This Row],[Variance_%]]&lt;-0.05,"Underspend","On Budget"))</f>
        <v>Overspend</v>
      </c>
    </row>
    <row r="1614" spans="1:14" hidden="1">
      <c r="A1614" s="1">
        <v>45413</v>
      </c>
      <c r="B1614">
        <v>5</v>
      </c>
      <c r="C1614" t="s">
        <v>38</v>
      </c>
      <c r="D1614" t="s">
        <v>58</v>
      </c>
      <c r="E1614">
        <v>2024</v>
      </c>
      <c r="F1614" t="s">
        <v>13</v>
      </c>
      <c r="G1614" t="s">
        <v>22</v>
      </c>
      <c r="H1614" t="s">
        <v>15</v>
      </c>
      <c r="I1614" t="s">
        <v>16</v>
      </c>
      <c r="J1614">
        <v>8400.59</v>
      </c>
      <c r="K1614">
        <v>9741.19</v>
      </c>
      <c r="L1614" s="20">
        <f>tbl_Budget[[#This Row],[Actual]]-tbl_Budget[[#This Row],[Budget]]</f>
        <v>1340.6000000000004</v>
      </c>
      <c r="M1614" s="3">
        <f>tbl_Budget[[#This Row],[Variance]]/tbl_Budget[[#This Row],[Budget]]</f>
        <v>0.15958402921699552</v>
      </c>
      <c r="N1614" t="str">
        <f>IF(tbl_Budget[[#This Row],[Variance_%]]&gt;0.05,"Overspend",IF(tbl_Budget[[#This Row],[Variance_%]]&lt;-0.05,"Underspend","On Budget"))</f>
        <v>Overspend</v>
      </c>
    </row>
    <row r="1615" spans="1:14" hidden="1">
      <c r="A1615" s="1">
        <v>45413</v>
      </c>
      <c r="B1615">
        <v>5</v>
      </c>
      <c r="C1615" t="s">
        <v>38</v>
      </c>
      <c r="D1615" t="s">
        <v>58</v>
      </c>
      <c r="E1615">
        <v>2024</v>
      </c>
      <c r="F1615" t="s">
        <v>13</v>
      </c>
      <c r="G1615" t="s">
        <v>22</v>
      </c>
      <c r="H1615" t="s">
        <v>17</v>
      </c>
      <c r="I1615" t="s">
        <v>16</v>
      </c>
      <c r="J1615">
        <v>8271.5400000000009</v>
      </c>
      <c r="K1615">
        <v>9471.07</v>
      </c>
      <c r="L1615" s="20">
        <f>tbl_Budget[[#This Row],[Actual]]-tbl_Budget[[#This Row],[Budget]]</f>
        <v>1199.5299999999988</v>
      </c>
      <c r="M1615" s="3">
        <f>tbl_Budget[[#This Row],[Variance]]/tbl_Budget[[#This Row],[Budget]]</f>
        <v>0.14501894447708633</v>
      </c>
      <c r="N1615" t="str">
        <f>IF(tbl_Budget[[#This Row],[Variance_%]]&gt;0.05,"Overspend",IF(tbl_Budget[[#This Row],[Variance_%]]&lt;-0.05,"Underspend","On Budget"))</f>
        <v>Overspend</v>
      </c>
    </row>
    <row r="1616" spans="1:14" hidden="1">
      <c r="A1616" s="1">
        <v>45413</v>
      </c>
      <c r="B1616">
        <v>5</v>
      </c>
      <c r="C1616" t="s">
        <v>38</v>
      </c>
      <c r="D1616" t="s">
        <v>58</v>
      </c>
      <c r="E1616">
        <v>2024</v>
      </c>
      <c r="F1616" t="s">
        <v>13</v>
      </c>
      <c r="G1616" t="s">
        <v>22</v>
      </c>
      <c r="H1616" t="s">
        <v>18</v>
      </c>
      <c r="I1616" t="s">
        <v>16</v>
      </c>
      <c r="J1616">
        <v>8135.51</v>
      </c>
      <c r="K1616">
        <v>9704.2900000000009</v>
      </c>
      <c r="L1616" s="20">
        <f>tbl_Budget[[#This Row],[Actual]]-tbl_Budget[[#This Row],[Budget]]</f>
        <v>1568.7800000000007</v>
      </c>
      <c r="M1616" s="3">
        <f>tbl_Budget[[#This Row],[Variance]]/tbl_Budget[[#This Row],[Budget]]</f>
        <v>0.1928311808356207</v>
      </c>
      <c r="N1616" t="str">
        <f>IF(tbl_Budget[[#This Row],[Variance_%]]&gt;0.05,"Overspend",IF(tbl_Budget[[#This Row],[Variance_%]]&lt;-0.05,"Underspend","On Budget"))</f>
        <v>Overspend</v>
      </c>
    </row>
    <row r="1617" spans="1:14" hidden="1">
      <c r="A1617" s="1">
        <v>45413</v>
      </c>
      <c r="B1617">
        <v>5</v>
      </c>
      <c r="C1617" t="s">
        <v>38</v>
      </c>
      <c r="D1617" t="s">
        <v>58</v>
      </c>
      <c r="E1617">
        <v>2024</v>
      </c>
      <c r="F1617" t="s">
        <v>13</v>
      </c>
      <c r="G1617" t="s">
        <v>22</v>
      </c>
      <c r="H1617" t="s">
        <v>19</v>
      </c>
      <c r="I1617" t="s">
        <v>16</v>
      </c>
      <c r="J1617">
        <v>8913.89</v>
      </c>
      <c r="K1617">
        <v>10509.08</v>
      </c>
      <c r="L1617" s="20">
        <f>tbl_Budget[[#This Row],[Actual]]-tbl_Budget[[#This Row],[Budget]]</f>
        <v>1595.1900000000005</v>
      </c>
      <c r="M1617" s="3">
        <f>tbl_Budget[[#This Row],[Variance]]/tbl_Budget[[#This Row],[Budget]]</f>
        <v>0.17895554017381868</v>
      </c>
      <c r="N1617" t="str">
        <f>IF(tbl_Budget[[#This Row],[Variance_%]]&gt;0.05,"Overspend",IF(tbl_Budget[[#This Row],[Variance_%]]&lt;-0.05,"Underspend","On Budget"))</f>
        <v>Overspend</v>
      </c>
    </row>
    <row r="1618" spans="1:14" hidden="1">
      <c r="A1618" s="1">
        <v>45413</v>
      </c>
      <c r="B1618">
        <v>5</v>
      </c>
      <c r="C1618" t="s">
        <v>38</v>
      </c>
      <c r="D1618" t="s">
        <v>58</v>
      </c>
      <c r="E1618">
        <v>2024</v>
      </c>
      <c r="F1618" t="s">
        <v>13</v>
      </c>
      <c r="G1618" t="s">
        <v>23</v>
      </c>
      <c r="H1618" t="s">
        <v>15</v>
      </c>
      <c r="I1618" t="s">
        <v>16</v>
      </c>
      <c r="J1618">
        <v>8883.99</v>
      </c>
      <c r="K1618">
        <v>9889.2999999999993</v>
      </c>
      <c r="L1618" s="20">
        <f>tbl_Budget[[#This Row],[Actual]]-tbl_Budget[[#This Row],[Budget]]</f>
        <v>1005.3099999999995</v>
      </c>
      <c r="M1618" s="3">
        <f>tbl_Budget[[#This Row],[Variance]]/tbl_Budget[[#This Row],[Budget]]</f>
        <v>0.11315974016179661</v>
      </c>
      <c r="N1618" t="str">
        <f>IF(tbl_Budget[[#This Row],[Variance_%]]&gt;0.05,"Overspend",IF(tbl_Budget[[#This Row],[Variance_%]]&lt;-0.05,"Underspend","On Budget"))</f>
        <v>Overspend</v>
      </c>
    </row>
    <row r="1619" spans="1:14" hidden="1">
      <c r="A1619" s="1">
        <v>45413</v>
      </c>
      <c r="B1619">
        <v>5</v>
      </c>
      <c r="C1619" t="s">
        <v>38</v>
      </c>
      <c r="D1619" t="s">
        <v>58</v>
      </c>
      <c r="E1619">
        <v>2024</v>
      </c>
      <c r="F1619" t="s">
        <v>13</v>
      </c>
      <c r="G1619" t="s">
        <v>23</v>
      </c>
      <c r="H1619" t="s">
        <v>17</v>
      </c>
      <c r="I1619" t="s">
        <v>16</v>
      </c>
      <c r="J1619">
        <v>8343.93</v>
      </c>
      <c r="K1619">
        <v>9585.4</v>
      </c>
      <c r="L1619" s="20">
        <f>tbl_Budget[[#This Row],[Actual]]-tbl_Budget[[#This Row],[Budget]]</f>
        <v>1241.4699999999993</v>
      </c>
      <c r="M1619" s="3">
        <f>tbl_Budget[[#This Row],[Variance]]/tbl_Budget[[#This Row],[Budget]]</f>
        <v>0.14878720219369043</v>
      </c>
      <c r="N1619" t="str">
        <f>IF(tbl_Budget[[#This Row],[Variance_%]]&gt;0.05,"Overspend",IF(tbl_Budget[[#This Row],[Variance_%]]&lt;-0.05,"Underspend","On Budget"))</f>
        <v>Overspend</v>
      </c>
    </row>
    <row r="1620" spans="1:14" hidden="1">
      <c r="A1620" s="1">
        <v>45413</v>
      </c>
      <c r="B1620">
        <v>5</v>
      </c>
      <c r="C1620" t="s">
        <v>38</v>
      </c>
      <c r="D1620" t="s">
        <v>58</v>
      </c>
      <c r="E1620">
        <v>2024</v>
      </c>
      <c r="F1620" t="s">
        <v>13</v>
      </c>
      <c r="G1620" t="s">
        <v>23</v>
      </c>
      <c r="H1620" t="s">
        <v>18</v>
      </c>
      <c r="I1620" t="s">
        <v>16</v>
      </c>
      <c r="J1620">
        <v>8441.7099999999991</v>
      </c>
      <c r="K1620">
        <v>10023.43</v>
      </c>
      <c r="L1620" s="20">
        <f>tbl_Budget[[#This Row],[Actual]]-tbl_Budget[[#This Row],[Budget]]</f>
        <v>1581.7200000000012</v>
      </c>
      <c r="M1620" s="3">
        <f>tbl_Budget[[#This Row],[Variance]]/tbl_Budget[[#This Row],[Budget]]</f>
        <v>0.18736962061004245</v>
      </c>
      <c r="N1620" t="str">
        <f>IF(tbl_Budget[[#This Row],[Variance_%]]&gt;0.05,"Overspend",IF(tbl_Budget[[#This Row],[Variance_%]]&lt;-0.05,"Underspend","On Budget"))</f>
        <v>Overspend</v>
      </c>
    </row>
    <row r="1621" spans="1:14" hidden="1">
      <c r="A1621" s="1">
        <v>45413</v>
      </c>
      <c r="B1621">
        <v>5</v>
      </c>
      <c r="C1621" t="s">
        <v>38</v>
      </c>
      <c r="D1621" t="s">
        <v>58</v>
      </c>
      <c r="E1621">
        <v>2024</v>
      </c>
      <c r="F1621" t="s">
        <v>13</v>
      </c>
      <c r="G1621" t="s">
        <v>23</v>
      </c>
      <c r="H1621" t="s">
        <v>19</v>
      </c>
      <c r="I1621" t="s">
        <v>16</v>
      </c>
      <c r="J1621">
        <v>9221.0300000000007</v>
      </c>
      <c r="K1621">
        <v>10971.6</v>
      </c>
      <c r="L1621" s="20">
        <f>tbl_Budget[[#This Row],[Actual]]-tbl_Budget[[#This Row],[Budget]]</f>
        <v>1750.5699999999997</v>
      </c>
      <c r="M1621" s="3">
        <f>tbl_Budget[[#This Row],[Variance]]/tbl_Budget[[#This Row],[Budget]]</f>
        <v>0.18984538603605017</v>
      </c>
      <c r="N1621" t="str">
        <f>IF(tbl_Budget[[#This Row],[Variance_%]]&gt;0.05,"Overspend",IF(tbl_Budget[[#This Row],[Variance_%]]&lt;-0.05,"Underspend","On Budget"))</f>
        <v>Overspend</v>
      </c>
    </row>
    <row r="1622" spans="1:14" hidden="1">
      <c r="A1622" s="1">
        <v>45413</v>
      </c>
      <c r="B1622">
        <v>5</v>
      </c>
      <c r="C1622" t="s">
        <v>38</v>
      </c>
      <c r="D1622" t="s">
        <v>58</v>
      </c>
      <c r="E1622">
        <v>2024</v>
      </c>
      <c r="F1622" t="s">
        <v>24</v>
      </c>
      <c r="G1622" t="s">
        <v>14</v>
      </c>
      <c r="H1622" t="s">
        <v>15</v>
      </c>
      <c r="I1622" t="s">
        <v>25</v>
      </c>
      <c r="J1622">
        <v>53650.68</v>
      </c>
      <c r="K1622">
        <v>45828.37</v>
      </c>
      <c r="L1622" s="20">
        <f>tbl_Budget[[#This Row],[Actual]]-tbl_Budget[[#This Row],[Budget]]</f>
        <v>-7822.3099999999977</v>
      </c>
      <c r="M1622" s="3">
        <f>tbl_Budget[[#This Row],[Variance]]/tbl_Budget[[#This Row],[Budget]]</f>
        <v>-0.14580076151877289</v>
      </c>
      <c r="N1622" t="str">
        <f>IF(tbl_Budget[[#This Row],[Variance_%]]&gt;0.05,"Overspend",IF(tbl_Budget[[#This Row],[Variance_%]]&lt;-0.05,"Underspend","On Budget"))</f>
        <v>Underspend</v>
      </c>
    </row>
    <row r="1623" spans="1:14" hidden="1">
      <c r="A1623" s="1">
        <v>45413</v>
      </c>
      <c r="B1623">
        <v>5</v>
      </c>
      <c r="C1623" t="s">
        <v>38</v>
      </c>
      <c r="D1623" t="s">
        <v>58</v>
      </c>
      <c r="E1623">
        <v>2024</v>
      </c>
      <c r="F1623" t="s">
        <v>24</v>
      </c>
      <c r="G1623" t="s">
        <v>14</v>
      </c>
      <c r="H1623" t="s">
        <v>17</v>
      </c>
      <c r="I1623" t="s">
        <v>25</v>
      </c>
      <c r="J1623">
        <v>52557.36</v>
      </c>
      <c r="K1623">
        <v>45774.67</v>
      </c>
      <c r="L1623" s="20">
        <f>tbl_Budget[[#This Row],[Actual]]-tbl_Budget[[#This Row],[Budget]]</f>
        <v>-6782.6900000000023</v>
      </c>
      <c r="M1623" s="3">
        <f>tbl_Budget[[#This Row],[Variance]]/tbl_Budget[[#This Row],[Budget]]</f>
        <v>-0.1290530955131689</v>
      </c>
      <c r="N1623" t="str">
        <f>IF(tbl_Budget[[#This Row],[Variance_%]]&gt;0.05,"Overspend",IF(tbl_Budget[[#This Row],[Variance_%]]&lt;-0.05,"Underspend","On Budget"))</f>
        <v>Underspend</v>
      </c>
    </row>
    <row r="1624" spans="1:14" hidden="1">
      <c r="A1624" s="1">
        <v>45413</v>
      </c>
      <c r="B1624">
        <v>5</v>
      </c>
      <c r="C1624" t="s">
        <v>38</v>
      </c>
      <c r="D1624" t="s">
        <v>58</v>
      </c>
      <c r="E1624">
        <v>2024</v>
      </c>
      <c r="F1624" t="s">
        <v>24</v>
      </c>
      <c r="G1624" t="s">
        <v>14</v>
      </c>
      <c r="H1624" t="s">
        <v>18</v>
      </c>
      <c r="I1624" t="s">
        <v>25</v>
      </c>
      <c r="J1624">
        <v>51542</v>
      </c>
      <c r="K1624">
        <v>45255.75</v>
      </c>
      <c r="L1624" s="20">
        <f>tbl_Budget[[#This Row],[Actual]]-tbl_Budget[[#This Row],[Budget]]</f>
        <v>-6286.25</v>
      </c>
      <c r="M1624" s="3">
        <f>tbl_Budget[[#This Row],[Variance]]/tbl_Budget[[#This Row],[Budget]]</f>
        <v>-0.12196364130223895</v>
      </c>
      <c r="N1624" t="str">
        <f>IF(tbl_Budget[[#This Row],[Variance_%]]&gt;0.05,"Overspend",IF(tbl_Budget[[#This Row],[Variance_%]]&lt;-0.05,"Underspend","On Budget"))</f>
        <v>Underspend</v>
      </c>
    </row>
    <row r="1625" spans="1:14" hidden="1">
      <c r="A1625" s="1">
        <v>45413</v>
      </c>
      <c r="B1625">
        <v>5</v>
      </c>
      <c r="C1625" t="s">
        <v>38</v>
      </c>
      <c r="D1625" t="s">
        <v>58</v>
      </c>
      <c r="E1625">
        <v>2024</v>
      </c>
      <c r="F1625" t="s">
        <v>24</v>
      </c>
      <c r="G1625" t="s">
        <v>14</v>
      </c>
      <c r="H1625" t="s">
        <v>19</v>
      </c>
      <c r="I1625" t="s">
        <v>25</v>
      </c>
      <c r="J1625">
        <v>55387.53</v>
      </c>
      <c r="K1625">
        <v>49305.46</v>
      </c>
      <c r="L1625" s="20">
        <f>tbl_Budget[[#This Row],[Actual]]-tbl_Budget[[#This Row],[Budget]]</f>
        <v>-6082.07</v>
      </c>
      <c r="M1625" s="3">
        <f>tbl_Budget[[#This Row],[Variance]]/tbl_Budget[[#This Row],[Budget]]</f>
        <v>-0.10980937405946789</v>
      </c>
      <c r="N1625" t="str">
        <f>IF(tbl_Budget[[#This Row],[Variance_%]]&gt;0.05,"Overspend",IF(tbl_Budget[[#This Row],[Variance_%]]&lt;-0.05,"Underspend","On Budget"))</f>
        <v>Underspend</v>
      </c>
    </row>
    <row r="1626" spans="1:14" hidden="1">
      <c r="A1626" s="1">
        <v>45413</v>
      </c>
      <c r="B1626">
        <v>5</v>
      </c>
      <c r="C1626" t="s">
        <v>38</v>
      </c>
      <c r="D1626" t="s">
        <v>58</v>
      </c>
      <c r="E1626">
        <v>2024</v>
      </c>
      <c r="F1626" t="s">
        <v>24</v>
      </c>
      <c r="G1626" t="s">
        <v>20</v>
      </c>
      <c r="H1626" t="s">
        <v>15</v>
      </c>
      <c r="I1626" t="s">
        <v>25</v>
      </c>
      <c r="J1626">
        <v>30347.83</v>
      </c>
      <c r="K1626">
        <v>26244.98</v>
      </c>
      <c r="L1626" s="20">
        <f>tbl_Budget[[#This Row],[Actual]]-tbl_Budget[[#This Row],[Budget]]</f>
        <v>-4102.8500000000022</v>
      </c>
      <c r="M1626" s="3">
        <f>tbl_Budget[[#This Row],[Variance]]/tbl_Budget[[#This Row],[Budget]]</f>
        <v>-0.13519418027582208</v>
      </c>
      <c r="N1626" t="str">
        <f>IF(tbl_Budget[[#This Row],[Variance_%]]&gt;0.05,"Overspend",IF(tbl_Budget[[#This Row],[Variance_%]]&lt;-0.05,"Underspend","On Budget"))</f>
        <v>Underspend</v>
      </c>
    </row>
    <row r="1627" spans="1:14" hidden="1">
      <c r="A1627" s="1">
        <v>45413</v>
      </c>
      <c r="B1627">
        <v>5</v>
      </c>
      <c r="C1627" t="s">
        <v>38</v>
      </c>
      <c r="D1627" t="s">
        <v>58</v>
      </c>
      <c r="E1627">
        <v>2024</v>
      </c>
      <c r="F1627" t="s">
        <v>24</v>
      </c>
      <c r="G1627" t="s">
        <v>20</v>
      </c>
      <c r="H1627" t="s">
        <v>17</v>
      </c>
      <c r="I1627" t="s">
        <v>25</v>
      </c>
      <c r="J1627">
        <v>27795.17</v>
      </c>
      <c r="K1627">
        <v>24239.77</v>
      </c>
      <c r="L1627" s="20">
        <f>tbl_Budget[[#This Row],[Actual]]-tbl_Budget[[#This Row],[Budget]]</f>
        <v>-3555.3999999999978</v>
      </c>
      <c r="M1627" s="3">
        <f>tbl_Budget[[#This Row],[Variance]]/tbl_Budget[[#This Row],[Budget]]</f>
        <v>-0.12791431029203987</v>
      </c>
      <c r="N1627" t="str">
        <f>IF(tbl_Budget[[#This Row],[Variance_%]]&gt;0.05,"Overspend",IF(tbl_Budget[[#This Row],[Variance_%]]&lt;-0.05,"Underspend","On Budget"))</f>
        <v>Underspend</v>
      </c>
    </row>
    <row r="1628" spans="1:14" hidden="1">
      <c r="A1628" s="1">
        <v>45413</v>
      </c>
      <c r="B1628">
        <v>5</v>
      </c>
      <c r="C1628" t="s">
        <v>38</v>
      </c>
      <c r="D1628" t="s">
        <v>58</v>
      </c>
      <c r="E1628">
        <v>2024</v>
      </c>
      <c r="F1628" t="s">
        <v>24</v>
      </c>
      <c r="G1628" t="s">
        <v>20</v>
      </c>
      <c r="H1628" t="s">
        <v>18</v>
      </c>
      <c r="I1628" t="s">
        <v>25</v>
      </c>
      <c r="J1628">
        <v>29192.99</v>
      </c>
      <c r="K1628">
        <v>25268.06</v>
      </c>
      <c r="L1628" s="20">
        <f>tbl_Budget[[#This Row],[Actual]]-tbl_Budget[[#This Row],[Budget]]</f>
        <v>-3924.9300000000003</v>
      </c>
      <c r="M1628" s="3">
        <f>tbl_Budget[[#This Row],[Variance]]/tbl_Budget[[#This Row],[Budget]]</f>
        <v>-0.13444768761267689</v>
      </c>
      <c r="N1628" t="str">
        <f>IF(tbl_Budget[[#This Row],[Variance_%]]&gt;0.05,"Overspend",IF(tbl_Budget[[#This Row],[Variance_%]]&lt;-0.05,"Underspend","On Budget"))</f>
        <v>Underspend</v>
      </c>
    </row>
    <row r="1629" spans="1:14" hidden="1">
      <c r="A1629" s="1">
        <v>45413</v>
      </c>
      <c r="B1629">
        <v>5</v>
      </c>
      <c r="C1629" t="s">
        <v>38</v>
      </c>
      <c r="D1629" t="s">
        <v>58</v>
      </c>
      <c r="E1629">
        <v>2024</v>
      </c>
      <c r="F1629" t="s">
        <v>24</v>
      </c>
      <c r="G1629" t="s">
        <v>20</v>
      </c>
      <c r="H1629" t="s">
        <v>19</v>
      </c>
      <c r="I1629" t="s">
        <v>25</v>
      </c>
      <c r="J1629">
        <v>30161.119999999999</v>
      </c>
      <c r="K1629">
        <v>26791.33</v>
      </c>
      <c r="L1629" s="20">
        <f>tbl_Budget[[#This Row],[Actual]]-tbl_Budget[[#This Row],[Budget]]</f>
        <v>-3369.7899999999972</v>
      </c>
      <c r="M1629" s="3">
        <f>tbl_Budget[[#This Row],[Variance]]/tbl_Budget[[#This Row],[Budget]]</f>
        <v>-0.11172628867893492</v>
      </c>
      <c r="N1629" t="str">
        <f>IF(tbl_Budget[[#This Row],[Variance_%]]&gt;0.05,"Overspend",IF(tbl_Budget[[#This Row],[Variance_%]]&lt;-0.05,"Underspend","On Budget"))</f>
        <v>Underspend</v>
      </c>
    </row>
    <row r="1630" spans="1:14">
      <c r="A1630" s="1">
        <v>45413</v>
      </c>
      <c r="B1630">
        <v>5</v>
      </c>
      <c r="C1630" t="s">
        <v>38</v>
      </c>
      <c r="D1630" t="s">
        <v>58</v>
      </c>
      <c r="E1630">
        <v>2024</v>
      </c>
      <c r="F1630" t="s">
        <v>24</v>
      </c>
      <c r="G1630" t="s">
        <v>21</v>
      </c>
      <c r="H1630" t="s">
        <v>15</v>
      </c>
      <c r="I1630" t="s">
        <v>25</v>
      </c>
      <c r="J1630">
        <v>11595.06</v>
      </c>
      <c r="K1630">
        <v>10339.64</v>
      </c>
      <c r="L1630" s="20">
        <f>tbl_Budget[[#This Row],[Actual]]-tbl_Budget[[#This Row],[Budget]]</f>
        <v>-1255.42</v>
      </c>
      <c r="M1630" s="3">
        <f>tbl_Budget[[#This Row],[Variance]]/tbl_Budget[[#This Row],[Budget]]</f>
        <v>-0.10827197099454423</v>
      </c>
      <c r="N1630" t="str">
        <f>IF(tbl_Budget[[#This Row],[Variance_%]]&gt;0.05,"Overspend",IF(tbl_Budget[[#This Row],[Variance_%]]&lt;-0.05,"Underspend","On Budget"))</f>
        <v>Underspend</v>
      </c>
    </row>
    <row r="1631" spans="1:14">
      <c r="A1631" s="1">
        <v>45413</v>
      </c>
      <c r="B1631">
        <v>5</v>
      </c>
      <c r="C1631" t="s">
        <v>38</v>
      </c>
      <c r="D1631" t="s">
        <v>58</v>
      </c>
      <c r="E1631">
        <v>2024</v>
      </c>
      <c r="F1631" t="s">
        <v>24</v>
      </c>
      <c r="G1631" t="s">
        <v>21</v>
      </c>
      <c r="H1631" t="s">
        <v>17</v>
      </c>
      <c r="I1631" t="s">
        <v>25</v>
      </c>
      <c r="J1631">
        <v>11198.41</v>
      </c>
      <c r="K1631">
        <v>9923.52</v>
      </c>
      <c r="L1631" s="20">
        <f>tbl_Budget[[#This Row],[Actual]]-tbl_Budget[[#This Row],[Budget]]</f>
        <v>-1274.8899999999994</v>
      </c>
      <c r="M1631" s="3">
        <f>tbl_Budget[[#This Row],[Variance]]/tbl_Budget[[#This Row],[Budget]]</f>
        <v>-0.11384562629873343</v>
      </c>
      <c r="N1631" t="str">
        <f>IF(tbl_Budget[[#This Row],[Variance_%]]&gt;0.05,"Overspend",IF(tbl_Budget[[#This Row],[Variance_%]]&lt;-0.05,"Underspend","On Budget"))</f>
        <v>Underspend</v>
      </c>
    </row>
    <row r="1632" spans="1:14">
      <c r="A1632" s="1">
        <v>45413</v>
      </c>
      <c r="B1632">
        <v>5</v>
      </c>
      <c r="C1632" t="s">
        <v>38</v>
      </c>
      <c r="D1632" t="s">
        <v>58</v>
      </c>
      <c r="E1632">
        <v>2024</v>
      </c>
      <c r="F1632" t="s">
        <v>24</v>
      </c>
      <c r="G1632" t="s">
        <v>21</v>
      </c>
      <c r="H1632" t="s">
        <v>18</v>
      </c>
      <c r="I1632" t="s">
        <v>25</v>
      </c>
      <c r="J1632">
        <v>11052.6</v>
      </c>
      <c r="K1632">
        <v>9753.27</v>
      </c>
      <c r="L1632" s="20">
        <f>tbl_Budget[[#This Row],[Actual]]-tbl_Budget[[#This Row],[Budget]]</f>
        <v>-1299.33</v>
      </c>
      <c r="M1632" s="3">
        <f>tbl_Budget[[#This Row],[Variance]]/tbl_Budget[[#This Row],[Budget]]</f>
        <v>-0.11755876445361271</v>
      </c>
      <c r="N1632" t="str">
        <f>IF(tbl_Budget[[#This Row],[Variance_%]]&gt;0.05,"Overspend",IF(tbl_Budget[[#This Row],[Variance_%]]&lt;-0.05,"Underspend","On Budget"))</f>
        <v>Underspend</v>
      </c>
    </row>
    <row r="1633" spans="1:14">
      <c r="A1633" s="1">
        <v>45413</v>
      </c>
      <c r="B1633">
        <v>5</v>
      </c>
      <c r="C1633" t="s">
        <v>38</v>
      </c>
      <c r="D1633" t="s">
        <v>58</v>
      </c>
      <c r="E1633">
        <v>2024</v>
      </c>
      <c r="F1633" t="s">
        <v>24</v>
      </c>
      <c r="G1633" t="s">
        <v>21</v>
      </c>
      <c r="H1633" t="s">
        <v>19</v>
      </c>
      <c r="I1633" t="s">
        <v>25</v>
      </c>
      <c r="J1633">
        <v>12369.34</v>
      </c>
      <c r="K1633">
        <v>10598.71</v>
      </c>
      <c r="L1633" s="20">
        <f>tbl_Budget[[#This Row],[Actual]]-tbl_Budget[[#This Row],[Budget]]</f>
        <v>-1770.630000000001</v>
      </c>
      <c r="M1633" s="3">
        <f>tbl_Budget[[#This Row],[Variance]]/tbl_Budget[[#This Row],[Budget]]</f>
        <v>-0.1431466836549081</v>
      </c>
      <c r="N1633" t="str">
        <f>IF(tbl_Budget[[#This Row],[Variance_%]]&gt;0.05,"Overspend",IF(tbl_Budget[[#This Row],[Variance_%]]&lt;-0.05,"Underspend","On Budget"))</f>
        <v>Underspend</v>
      </c>
    </row>
    <row r="1634" spans="1:14" hidden="1">
      <c r="A1634" s="1">
        <v>45413</v>
      </c>
      <c r="B1634">
        <v>5</v>
      </c>
      <c r="C1634" t="s">
        <v>38</v>
      </c>
      <c r="D1634" t="s">
        <v>58</v>
      </c>
      <c r="E1634">
        <v>2024</v>
      </c>
      <c r="F1634" t="s">
        <v>24</v>
      </c>
      <c r="G1634" t="s">
        <v>22</v>
      </c>
      <c r="H1634" t="s">
        <v>15</v>
      </c>
      <c r="I1634" t="s">
        <v>25</v>
      </c>
      <c r="J1634">
        <v>9195.08</v>
      </c>
      <c r="K1634">
        <v>7905.48</v>
      </c>
      <c r="L1634" s="20">
        <f>tbl_Budget[[#This Row],[Actual]]-tbl_Budget[[#This Row],[Budget]]</f>
        <v>-1289.6000000000004</v>
      </c>
      <c r="M1634" s="3">
        <f>tbl_Budget[[#This Row],[Variance]]/tbl_Budget[[#This Row],[Budget]]</f>
        <v>-0.14024891572449619</v>
      </c>
      <c r="N1634" t="str">
        <f>IF(tbl_Budget[[#This Row],[Variance_%]]&gt;0.05,"Overspend",IF(tbl_Budget[[#This Row],[Variance_%]]&lt;-0.05,"Underspend","On Budget"))</f>
        <v>Underspend</v>
      </c>
    </row>
    <row r="1635" spans="1:14" hidden="1">
      <c r="A1635" s="1">
        <v>45413</v>
      </c>
      <c r="B1635">
        <v>5</v>
      </c>
      <c r="C1635" t="s">
        <v>38</v>
      </c>
      <c r="D1635" t="s">
        <v>58</v>
      </c>
      <c r="E1635">
        <v>2024</v>
      </c>
      <c r="F1635" t="s">
        <v>24</v>
      </c>
      <c r="G1635" t="s">
        <v>22</v>
      </c>
      <c r="H1635" t="s">
        <v>17</v>
      </c>
      <c r="I1635" t="s">
        <v>25</v>
      </c>
      <c r="J1635">
        <v>8674.7000000000007</v>
      </c>
      <c r="K1635">
        <v>7391.6</v>
      </c>
      <c r="L1635" s="20">
        <f>tbl_Budget[[#This Row],[Actual]]-tbl_Budget[[#This Row],[Budget]]</f>
        <v>-1283.1000000000004</v>
      </c>
      <c r="M1635" s="3">
        <f>tbl_Budget[[#This Row],[Variance]]/tbl_Budget[[#This Row],[Budget]]</f>
        <v>-0.1479128961232089</v>
      </c>
      <c r="N1635" t="str">
        <f>IF(tbl_Budget[[#This Row],[Variance_%]]&gt;0.05,"Overspend",IF(tbl_Budget[[#This Row],[Variance_%]]&lt;-0.05,"Underspend","On Budget"))</f>
        <v>Underspend</v>
      </c>
    </row>
    <row r="1636" spans="1:14" hidden="1">
      <c r="A1636" s="1">
        <v>45413</v>
      </c>
      <c r="B1636">
        <v>5</v>
      </c>
      <c r="C1636" t="s">
        <v>38</v>
      </c>
      <c r="D1636" t="s">
        <v>58</v>
      </c>
      <c r="E1636">
        <v>2024</v>
      </c>
      <c r="F1636" t="s">
        <v>24</v>
      </c>
      <c r="G1636" t="s">
        <v>22</v>
      </c>
      <c r="H1636" t="s">
        <v>18</v>
      </c>
      <c r="I1636" t="s">
        <v>25</v>
      </c>
      <c r="J1636">
        <v>8732.0400000000009</v>
      </c>
      <c r="K1636">
        <v>7488.83</v>
      </c>
      <c r="L1636" s="20">
        <f>tbl_Budget[[#This Row],[Actual]]-tbl_Budget[[#This Row],[Budget]]</f>
        <v>-1243.2100000000009</v>
      </c>
      <c r="M1636" s="3">
        <f>tbl_Budget[[#This Row],[Variance]]/tbl_Budget[[#This Row],[Budget]]</f>
        <v>-0.14237337437757969</v>
      </c>
      <c r="N1636" t="str">
        <f>IF(tbl_Budget[[#This Row],[Variance_%]]&gt;0.05,"Overspend",IF(tbl_Budget[[#This Row],[Variance_%]]&lt;-0.05,"Underspend","On Budget"))</f>
        <v>Underspend</v>
      </c>
    </row>
    <row r="1637" spans="1:14" hidden="1">
      <c r="A1637" s="1">
        <v>45413</v>
      </c>
      <c r="B1637">
        <v>5</v>
      </c>
      <c r="C1637" t="s">
        <v>38</v>
      </c>
      <c r="D1637" t="s">
        <v>58</v>
      </c>
      <c r="E1637">
        <v>2024</v>
      </c>
      <c r="F1637" t="s">
        <v>24</v>
      </c>
      <c r="G1637" t="s">
        <v>22</v>
      </c>
      <c r="H1637" t="s">
        <v>19</v>
      </c>
      <c r="I1637" t="s">
        <v>25</v>
      </c>
      <c r="J1637">
        <v>9075.59</v>
      </c>
      <c r="K1637">
        <v>7853.7</v>
      </c>
      <c r="L1637" s="20">
        <f>tbl_Budget[[#This Row],[Actual]]-tbl_Budget[[#This Row],[Budget]]</f>
        <v>-1221.8900000000003</v>
      </c>
      <c r="M1637" s="3">
        <f>tbl_Budget[[#This Row],[Variance]]/tbl_Budget[[#This Row],[Budget]]</f>
        <v>-0.13463477305607682</v>
      </c>
      <c r="N1637" t="str">
        <f>IF(tbl_Budget[[#This Row],[Variance_%]]&gt;0.05,"Overspend",IF(tbl_Budget[[#This Row],[Variance_%]]&lt;-0.05,"Underspend","On Budget"))</f>
        <v>Underspend</v>
      </c>
    </row>
    <row r="1638" spans="1:14" hidden="1">
      <c r="A1638" s="1">
        <v>45413</v>
      </c>
      <c r="B1638">
        <v>5</v>
      </c>
      <c r="C1638" t="s">
        <v>38</v>
      </c>
      <c r="D1638" t="s">
        <v>58</v>
      </c>
      <c r="E1638">
        <v>2024</v>
      </c>
      <c r="F1638" t="s">
        <v>24</v>
      </c>
      <c r="G1638" t="s">
        <v>23</v>
      </c>
      <c r="H1638" t="s">
        <v>15</v>
      </c>
      <c r="I1638" t="s">
        <v>25</v>
      </c>
      <c r="J1638">
        <v>7498.42</v>
      </c>
      <c r="K1638">
        <v>6623.31</v>
      </c>
      <c r="L1638" s="20">
        <f>tbl_Budget[[#This Row],[Actual]]-tbl_Budget[[#This Row],[Budget]]</f>
        <v>-875.10999999999967</v>
      </c>
      <c r="M1638" s="3">
        <f>tbl_Budget[[#This Row],[Variance]]/tbl_Budget[[#This Row],[Budget]]</f>
        <v>-0.11670591938034941</v>
      </c>
      <c r="N1638" t="str">
        <f>IF(tbl_Budget[[#This Row],[Variance_%]]&gt;0.05,"Overspend",IF(tbl_Budget[[#This Row],[Variance_%]]&lt;-0.05,"Underspend","On Budget"))</f>
        <v>Underspend</v>
      </c>
    </row>
    <row r="1639" spans="1:14" hidden="1">
      <c r="A1639" s="1">
        <v>45413</v>
      </c>
      <c r="B1639">
        <v>5</v>
      </c>
      <c r="C1639" t="s">
        <v>38</v>
      </c>
      <c r="D1639" t="s">
        <v>58</v>
      </c>
      <c r="E1639">
        <v>2024</v>
      </c>
      <c r="F1639" t="s">
        <v>24</v>
      </c>
      <c r="G1639" t="s">
        <v>23</v>
      </c>
      <c r="H1639" t="s">
        <v>17</v>
      </c>
      <c r="I1639" t="s">
        <v>25</v>
      </c>
      <c r="J1639">
        <v>7151.88</v>
      </c>
      <c r="K1639">
        <v>6238.64</v>
      </c>
      <c r="L1639" s="20">
        <f>tbl_Budget[[#This Row],[Actual]]-tbl_Budget[[#This Row],[Budget]]</f>
        <v>-913.23999999999978</v>
      </c>
      <c r="M1639" s="3">
        <f>tbl_Budget[[#This Row],[Variance]]/tbl_Budget[[#This Row],[Budget]]</f>
        <v>-0.12769229908779225</v>
      </c>
      <c r="N1639" t="str">
        <f>IF(tbl_Budget[[#This Row],[Variance_%]]&gt;0.05,"Overspend",IF(tbl_Budget[[#This Row],[Variance_%]]&lt;-0.05,"Underspend","On Budget"))</f>
        <v>Underspend</v>
      </c>
    </row>
    <row r="1640" spans="1:14" hidden="1">
      <c r="A1640" s="1">
        <v>45413</v>
      </c>
      <c r="B1640">
        <v>5</v>
      </c>
      <c r="C1640" t="s">
        <v>38</v>
      </c>
      <c r="D1640" t="s">
        <v>58</v>
      </c>
      <c r="E1640">
        <v>2024</v>
      </c>
      <c r="F1640" t="s">
        <v>24</v>
      </c>
      <c r="G1640" t="s">
        <v>23</v>
      </c>
      <c r="H1640" t="s">
        <v>18</v>
      </c>
      <c r="I1640" t="s">
        <v>25</v>
      </c>
      <c r="J1640">
        <v>7527.66</v>
      </c>
      <c r="K1640">
        <v>6549</v>
      </c>
      <c r="L1640" s="20">
        <f>tbl_Budget[[#This Row],[Actual]]-tbl_Budget[[#This Row],[Budget]]</f>
        <v>-978.65999999999985</v>
      </c>
      <c r="M1640" s="3">
        <f>tbl_Budget[[#This Row],[Variance]]/tbl_Budget[[#This Row],[Budget]]</f>
        <v>-0.13000852854671968</v>
      </c>
      <c r="N1640" t="str">
        <f>IF(tbl_Budget[[#This Row],[Variance_%]]&gt;0.05,"Overspend",IF(tbl_Budget[[#This Row],[Variance_%]]&lt;-0.05,"Underspend","On Budget"))</f>
        <v>Underspend</v>
      </c>
    </row>
    <row r="1641" spans="1:14" hidden="1">
      <c r="A1641" s="1">
        <v>45413</v>
      </c>
      <c r="B1641">
        <v>5</v>
      </c>
      <c r="C1641" t="s">
        <v>38</v>
      </c>
      <c r="D1641" t="s">
        <v>58</v>
      </c>
      <c r="E1641">
        <v>2024</v>
      </c>
      <c r="F1641" t="s">
        <v>24</v>
      </c>
      <c r="G1641" t="s">
        <v>23</v>
      </c>
      <c r="H1641" t="s">
        <v>19</v>
      </c>
      <c r="I1641" t="s">
        <v>25</v>
      </c>
      <c r="J1641">
        <v>7874.8</v>
      </c>
      <c r="K1641">
        <v>7071.32</v>
      </c>
      <c r="L1641" s="20">
        <f>tbl_Budget[[#This Row],[Actual]]-tbl_Budget[[#This Row],[Budget]]</f>
        <v>-803.48000000000047</v>
      </c>
      <c r="M1641" s="3">
        <f>tbl_Budget[[#This Row],[Variance]]/tbl_Budget[[#This Row],[Budget]]</f>
        <v>-0.10203179763295582</v>
      </c>
      <c r="N1641" t="str">
        <f>IF(tbl_Budget[[#This Row],[Variance_%]]&gt;0.05,"Overspend",IF(tbl_Budget[[#This Row],[Variance_%]]&lt;-0.05,"Underspend","On Budget"))</f>
        <v>Underspend</v>
      </c>
    </row>
    <row r="1642" spans="1:14" hidden="1">
      <c r="A1642" s="1">
        <v>45413</v>
      </c>
      <c r="B1642">
        <v>5</v>
      </c>
      <c r="C1642" t="s">
        <v>38</v>
      </c>
      <c r="D1642" t="s">
        <v>58</v>
      </c>
      <c r="E1642">
        <v>2024</v>
      </c>
      <c r="F1642" t="s">
        <v>26</v>
      </c>
      <c r="G1642" t="s">
        <v>14</v>
      </c>
      <c r="H1642" t="s">
        <v>15</v>
      </c>
      <c r="I1642" t="s">
        <v>27</v>
      </c>
      <c r="J1642">
        <v>48323.1</v>
      </c>
      <c r="K1642">
        <v>47342.8</v>
      </c>
      <c r="L1642" s="20">
        <f>tbl_Budget[[#This Row],[Actual]]-tbl_Budget[[#This Row],[Budget]]</f>
        <v>-980.29999999999563</v>
      </c>
      <c r="M1642" s="3">
        <f>tbl_Budget[[#This Row],[Variance]]/tbl_Budget[[#This Row],[Budget]]</f>
        <v>-2.0286364078463421E-2</v>
      </c>
      <c r="N1642" t="str">
        <f>IF(tbl_Budget[[#This Row],[Variance_%]]&gt;0.05,"Overspend",IF(tbl_Budget[[#This Row],[Variance_%]]&lt;-0.05,"Underspend","On Budget"))</f>
        <v>On Budget</v>
      </c>
    </row>
    <row r="1643" spans="1:14" hidden="1">
      <c r="A1643" s="1">
        <v>45413</v>
      </c>
      <c r="B1643">
        <v>5</v>
      </c>
      <c r="C1643" t="s">
        <v>38</v>
      </c>
      <c r="D1643" t="s">
        <v>58</v>
      </c>
      <c r="E1643">
        <v>2024</v>
      </c>
      <c r="F1643" t="s">
        <v>26</v>
      </c>
      <c r="G1643" t="s">
        <v>14</v>
      </c>
      <c r="H1643" t="s">
        <v>17</v>
      </c>
      <c r="I1643" t="s">
        <v>27</v>
      </c>
      <c r="J1643">
        <v>43957.98</v>
      </c>
      <c r="K1643">
        <v>43304.19</v>
      </c>
      <c r="L1643" s="20">
        <f>tbl_Budget[[#This Row],[Actual]]-tbl_Budget[[#This Row],[Budget]]</f>
        <v>-653.79000000000087</v>
      </c>
      <c r="M1643" s="3">
        <f>tbl_Budget[[#This Row],[Variance]]/tbl_Budget[[#This Row],[Budget]]</f>
        <v>-1.4873067415745692E-2</v>
      </c>
      <c r="N1643" t="str">
        <f>IF(tbl_Budget[[#This Row],[Variance_%]]&gt;0.05,"Overspend",IF(tbl_Budget[[#This Row],[Variance_%]]&lt;-0.05,"Underspend","On Budget"))</f>
        <v>On Budget</v>
      </c>
    </row>
    <row r="1644" spans="1:14" hidden="1">
      <c r="A1644" s="1">
        <v>45413</v>
      </c>
      <c r="B1644">
        <v>5</v>
      </c>
      <c r="C1644" t="s">
        <v>38</v>
      </c>
      <c r="D1644" t="s">
        <v>58</v>
      </c>
      <c r="E1644">
        <v>2024</v>
      </c>
      <c r="F1644" t="s">
        <v>26</v>
      </c>
      <c r="G1644" t="s">
        <v>14</v>
      </c>
      <c r="H1644" t="s">
        <v>18</v>
      </c>
      <c r="I1644" t="s">
        <v>27</v>
      </c>
      <c r="J1644">
        <v>46153.11</v>
      </c>
      <c r="K1644">
        <v>45673.599999999999</v>
      </c>
      <c r="L1644" s="20">
        <f>tbl_Budget[[#This Row],[Actual]]-tbl_Budget[[#This Row],[Budget]]</f>
        <v>-479.51000000000204</v>
      </c>
      <c r="M1644" s="3">
        <f>tbl_Budget[[#This Row],[Variance]]/tbl_Budget[[#This Row],[Budget]]</f>
        <v>-1.0389549046640672E-2</v>
      </c>
      <c r="N1644" t="str">
        <f>IF(tbl_Budget[[#This Row],[Variance_%]]&gt;0.05,"Overspend",IF(tbl_Budget[[#This Row],[Variance_%]]&lt;-0.05,"Underspend","On Budget"))</f>
        <v>On Budget</v>
      </c>
    </row>
    <row r="1645" spans="1:14" hidden="1">
      <c r="A1645" s="1">
        <v>45413</v>
      </c>
      <c r="B1645">
        <v>5</v>
      </c>
      <c r="C1645" t="s">
        <v>38</v>
      </c>
      <c r="D1645" t="s">
        <v>58</v>
      </c>
      <c r="E1645">
        <v>2024</v>
      </c>
      <c r="F1645" t="s">
        <v>26</v>
      </c>
      <c r="G1645" t="s">
        <v>14</v>
      </c>
      <c r="H1645" t="s">
        <v>19</v>
      </c>
      <c r="I1645" t="s">
        <v>27</v>
      </c>
      <c r="J1645">
        <v>47825.84</v>
      </c>
      <c r="K1645">
        <v>46740.27</v>
      </c>
      <c r="L1645" s="20">
        <f>tbl_Budget[[#This Row],[Actual]]-tbl_Budget[[#This Row],[Budget]]</f>
        <v>-1085.5699999999997</v>
      </c>
      <c r="M1645" s="3">
        <f>tbl_Budget[[#This Row],[Variance]]/tbl_Budget[[#This Row],[Budget]]</f>
        <v>-2.2698399024460414E-2</v>
      </c>
      <c r="N1645" t="str">
        <f>IF(tbl_Budget[[#This Row],[Variance_%]]&gt;0.05,"Overspend",IF(tbl_Budget[[#This Row],[Variance_%]]&lt;-0.05,"Underspend","On Budget"))</f>
        <v>On Budget</v>
      </c>
    </row>
    <row r="1646" spans="1:14" hidden="1">
      <c r="A1646" s="1">
        <v>45413</v>
      </c>
      <c r="B1646">
        <v>5</v>
      </c>
      <c r="C1646" t="s">
        <v>38</v>
      </c>
      <c r="D1646" t="s">
        <v>58</v>
      </c>
      <c r="E1646">
        <v>2024</v>
      </c>
      <c r="F1646" t="s">
        <v>26</v>
      </c>
      <c r="G1646" t="s">
        <v>20</v>
      </c>
      <c r="H1646" t="s">
        <v>15</v>
      </c>
      <c r="I1646" t="s">
        <v>27</v>
      </c>
      <c r="J1646">
        <v>16237.3</v>
      </c>
      <c r="K1646">
        <v>16127.13</v>
      </c>
      <c r="L1646" s="20">
        <f>tbl_Budget[[#This Row],[Actual]]-tbl_Budget[[#This Row],[Budget]]</f>
        <v>-110.17000000000007</v>
      </c>
      <c r="M1646" s="3">
        <f>tbl_Budget[[#This Row],[Variance]]/tbl_Budget[[#This Row],[Budget]]</f>
        <v>-6.7849950422792012E-3</v>
      </c>
      <c r="N1646" t="str">
        <f>IF(tbl_Budget[[#This Row],[Variance_%]]&gt;0.05,"Overspend",IF(tbl_Budget[[#This Row],[Variance_%]]&lt;-0.05,"Underspend","On Budget"))</f>
        <v>On Budget</v>
      </c>
    </row>
    <row r="1647" spans="1:14" hidden="1">
      <c r="A1647" s="1">
        <v>45413</v>
      </c>
      <c r="B1647">
        <v>5</v>
      </c>
      <c r="C1647" t="s">
        <v>38</v>
      </c>
      <c r="D1647" t="s">
        <v>58</v>
      </c>
      <c r="E1647">
        <v>2024</v>
      </c>
      <c r="F1647" t="s">
        <v>26</v>
      </c>
      <c r="G1647" t="s">
        <v>20</v>
      </c>
      <c r="H1647" t="s">
        <v>17</v>
      </c>
      <c r="I1647" t="s">
        <v>27</v>
      </c>
      <c r="J1647">
        <v>15009.31</v>
      </c>
      <c r="K1647">
        <v>14702.19</v>
      </c>
      <c r="L1647" s="20">
        <f>tbl_Budget[[#This Row],[Actual]]-tbl_Budget[[#This Row],[Budget]]</f>
        <v>-307.11999999999898</v>
      </c>
      <c r="M1647" s="3">
        <f>tbl_Budget[[#This Row],[Variance]]/tbl_Budget[[#This Row],[Budget]]</f>
        <v>-2.0461966606059773E-2</v>
      </c>
      <c r="N1647" t="str">
        <f>IF(tbl_Budget[[#This Row],[Variance_%]]&gt;0.05,"Overspend",IF(tbl_Budget[[#This Row],[Variance_%]]&lt;-0.05,"Underspend","On Budget"))</f>
        <v>On Budget</v>
      </c>
    </row>
    <row r="1648" spans="1:14" hidden="1">
      <c r="A1648" s="1">
        <v>45413</v>
      </c>
      <c r="B1648">
        <v>5</v>
      </c>
      <c r="C1648" t="s">
        <v>38</v>
      </c>
      <c r="D1648" t="s">
        <v>58</v>
      </c>
      <c r="E1648">
        <v>2024</v>
      </c>
      <c r="F1648" t="s">
        <v>26</v>
      </c>
      <c r="G1648" t="s">
        <v>20</v>
      </c>
      <c r="H1648" t="s">
        <v>18</v>
      </c>
      <c r="I1648" t="s">
        <v>27</v>
      </c>
      <c r="J1648">
        <v>15436.77</v>
      </c>
      <c r="K1648">
        <v>15455.88</v>
      </c>
      <c r="L1648" s="20">
        <f>tbl_Budget[[#This Row],[Actual]]-tbl_Budget[[#This Row],[Budget]]</f>
        <v>19.109999999998763</v>
      </c>
      <c r="M1648" s="3">
        <f>tbl_Budget[[#This Row],[Variance]]/tbl_Budget[[#This Row],[Budget]]</f>
        <v>1.2379532764949378E-3</v>
      </c>
      <c r="N1648" t="str">
        <f>IF(tbl_Budget[[#This Row],[Variance_%]]&gt;0.05,"Overspend",IF(tbl_Budget[[#This Row],[Variance_%]]&lt;-0.05,"Underspend","On Budget"))</f>
        <v>On Budget</v>
      </c>
    </row>
    <row r="1649" spans="1:14" hidden="1">
      <c r="A1649" s="1">
        <v>45413</v>
      </c>
      <c r="B1649">
        <v>5</v>
      </c>
      <c r="C1649" t="s">
        <v>38</v>
      </c>
      <c r="D1649" t="s">
        <v>58</v>
      </c>
      <c r="E1649">
        <v>2024</v>
      </c>
      <c r="F1649" t="s">
        <v>26</v>
      </c>
      <c r="G1649" t="s">
        <v>20</v>
      </c>
      <c r="H1649" t="s">
        <v>19</v>
      </c>
      <c r="I1649" t="s">
        <v>27</v>
      </c>
      <c r="J1649">
        <v>16827.04</v>
      </c>
      <c r="K1649">
        <v>16982.48</v>
      </c>
      <c r="L1649" s="20">
        <f>tbl_Budget[[#This Row],[Actual]]-tbl_Budget[[#This Row],[Budget]]</f>
        <v>155.43999999999869</v>
      </c>
      <c r="M1649" s="3">
        <f>tbl_Budget[[#This Row],[Variance]]/tbl_Budget[[#This Row],[Budget]]</f>
        <v>9.2375129553384713E-3</v>
      </c>
      <c r="N1649" t="str">
        <f>IF(tbl_Budget[[#This Row],[Variance_%]]&gt;0.05,"Overspend",IF(tbl_Budget[[#This Row],[Variance_%]]&lt;-0.05,"Underspend","On Budget"))</f>
        <v>On Budget</v>
      </c>
    </row>
    <row r="1650" spans="1:14">
      <c r="A1650" s="1">
        <v>45413</v>
      </c>
      <c r="B1650">
        <v>5</v>
      </c>
      <c r="C1650" t="s">
        <v>38</v>
      </c>
      <c r="D1650" t="s">
        <v>58</v>
      </c>
      <c r="E1650">
        <v>2024</v>
      </c>
      <c r="F1650" t="s">
        <v>26</v>
      </c>
      <c r="G1650" t="s">
        <v>21</v>
      </c>
      <c r="H1650" t="s">
        <v>15</v>
      </c>
      <c r="I1650" t="s">
        <v>27</v>
      </c>
      <c r="J1650">
        <v>8776.2099999999991</v>
      </c>
      <c r="K1650">
        <v>8792.32</v>
      </c>
      <c r="L1650" s="20">
        <f>tbl_Budget[[#This Row],[Actual]]-tbl_Budget[[#This Row],[Budget]]</f>
        <v>16.110000000000582</v>
      </c>
      <c r="M1650" s="3">
        <f>tbl_Budget[[#This Row],[Variance]]/tbl_Budget[[#This Row],[Budget]]</f>
        <v>1.8356443157126576E-3</v>
      </c>
      <c r="N1650" t="str">
        <f>IF(tbl_Budget[[#This Row],[Variance_%]]&gt;0.05,"Overspend",IF(tbl_Budget[[#This Row],[Variance_%]]&lt;-0.05,"Underspend","On Budget"))</f>
        <v>On Budget</v>
      </c>
    </row>
    <row r="1651" spans="1:14">
      <c r="A1651" s="1">
        <v>45413</v>
      </c>
      <c r="B1651">
        <v>5</v>
      </c>
      <c r="C1651" t="s">
        <v>38</v>
      </c>
      <c r="D1651" t="s">
        <v>58</v>
      </c>
      <c r="E1651">
        <v>2024</v>
      </c>
      <c r="F1651" t="s">
        <v>26</v>
      </c>
      <c r="G1651" t="s">
        <v>21</v>
      </c>
      <c r="H1651" t="s">
        <v>17</v>
      </c>
      <c r="I1651" t="s">
        <v>27</v>
      </c>
      <c r="J1651">
        <v>8662.81</v>
      </c>
      <c r="K1651">
        <v>8750.7000000000007</v>
      </c>
      <c r="L1651" s="20">
        <f>tbl_Budget[[#This Row],[Actual]]-tbl_Budget[[#This Row],[Budget]]</f>
        <v>87.890000000001237</v>
      </c>
      <c r="M1651" s="3">
        <f>tbl_Budget[[#This Row],[Variance]]/tbl_Budget[[#This Row],[Budget]]</f>
        <v>1.0145668668711565E-2</v>
      </c>
      <c r="N1651" t="str">
        <f>IF(tbl_Budget[[#This Row],[Variance_%]]&gt;0.05,"Overspend",IF(tbl_Budget[[#This Row],[Variance_%]]&lt;-0.05,"Underspend","On Budget"))</f>
        <v>On Budget</v>
      </c>
    </row>
    <row r="1652" spans="1:14">
      <c r="A1652" s="1">
        <v>45413</v>
      </c>
      <c r="B1652">
        <v>5</v>
      </c>
      <c r="C1652" t="s">
        <v>38</v>
      </c>
      <c r="D1652" t="s">
        <v>58</v>
      </c>
      <c r="E1652">
        <v>2024</v>
      </c>
      <c r="F1652" t="s">
        <v>26</v>
      </c>
      <c r="G1652" t="s">
        <v>21</v>
      </c>
      <c r="H1652" t="s">
        <v>18</v>
      </c>
      <c r="I1652" t="s">
        <v>27</v>
      </c>
      <c r="J1652">
        <v>8621.0300000000007</v>
      </c>
      <c r="K1652">
        <v>8586.4</v>
      </c>
      <c r="L1652" s="20">
        <f>tbl_Budget[[#This Row],[Actual]]-tbl_Budget[[#This Row],[Budget]]</f>
        <v>-34.630000000001019</v>
      </c>
      <c r="M1652" s="3">
        <f>tbl_Budget[[#This Row],[Variance]]/tbl_Budget[[#This Row],[Budget]]</f>
        <v>-4.0169214119427747E-3</v>
      </c>
      <c r="N1652" t="str">
        <f>IF(tbl_Budget[[#This Row],[Variance_%]]&gt;0.05,"Overspend",IF(tbl_Budget[[#This Row],[Variance_%]]&lt;-0.05,"Underspend","On Budget"))</f>
        <v>On Budget</v>
      </c>
    </row>
    <row r="1653" spans="1:14">
      <c r="A1653" s="1">
        <v>45413</v>
      </c>
      <c r="B1653">
        <v>5</v>
      </c>
      <c r="C1653" t="s">
        <v>38</v>
      </c>
      <c r="D1653" t="s">
        <v>58</v>
      </c>
      <c r="E1653">
        <v>2024</v>
      </c>
      <c r="F1653" t="s">
        <v>26</v>
      </c>
      <c r="G1653" t="s">
        <v>21</v>
      </c>
      <c r="H1653" t="s">
        <v>19</v>
      </c>
      <c r="I1653" t="s">
        <v>27</v>
      </c>
      <c r="J1653">
        <v>9500.81</v>
      </c>
      <c r="K1653">
        <v>9289.1200000000008</v>
      </c>
      <c r="L1653" s="20">
        <f>tbl_Budget[[#This Row],[Actual]]-tbl_Budget[[#This Row],[Budget]]</f>
        <v>-211.68999999999869</v>
      </c>
      <c r="M1653" s="3">
        <f>tbl_Budget[[#This Row],[Variance]]/tbl_Budget[[#This Row],[Budget]]</f>
        <v>-2.228125812430716E-2</v>
      </c>
      <c r="N1653" t="str">
        <f>IF(tbl_Budget[[#This Row],[Variance_%]]&gt;0.05,"Overspend",IF(tbl_Budget[[#This Row],[Variance_%]]&lt;-0.05,"Underspend","On Budget"))</f>
        <v>On Budget</v>
      </c>
    </row>
    <row r="1654" spans="1:14" hidden="1">
      <c r="A1654" s="1">
        <v>45413</v>
      </c>
      <c r="B1654">
        <v>5</v>
      </c>
      <c r="C1654" t="s">
        <v>38</v>
      </c>
      <c r="D1654" t="s">
        <v>58</v>
      </c>
      <c r="E1654">
        <v>2024</v>
      </c>
      <c r="F1654" t="s">
        <v>26</v>
      </c>
      <c r="G1654" t="s">
        <v>22</v>
      </c>
      <c r="H1654" t="s">
        <v>15</v>
      </c>
      <c r="I1654" t="s">
        <v>27</v>
      </c>
      <c r="J1654">
        <v>7020.77</v>
      </c>
      <c r="K1654">
        <v>7029.32</v>
      </c>
      <c r="L1654" s="20">
        <f>tbl_Budget[[#This Row],[Actual]]-tbl_Budget[[#This Row],[Budget]]</f>
        <v>8.5499999999992724</v>
      </c>
      <c r="M1654" s="3">
        <f>tbl_Budget[[#This Row],[Variance]]/tbl_Budget[[#This Row],[Budget]]</f>
        <v>1.2178151399346898E-3</v>
      </c>
      <c r="N1654" t="str">
        <f>IF(tbl_Budget[[#This Row],[Variance_%]]&gt;0.05,"Overspend",IF(tbl_Budget[[#This Row],[Variance_%]]&lt;-0.05,"Underspend","On Budget"))</f>
        <v>On Budget</v>
      </c>
    </row>
    <row r="1655" spans="1:14" hidden="1">
      <c r="A1655" s="1">
        <v>45413</v>
      </c>
      <c r="B1655">
        <v>5</v>
      </c>
      <c r="C1655" t="s">
        <v>38</v>
      </c>
      <c r="D1655" t="s">
        <v>58</v>
      </c>
      <c r="E1655">
        <v>2024</v>
      </c>
      <c r="F1655" t="s">
        <v>26</v>
      </c>
      <c r="G1655" t="s">
        <v>22</v>
      </c>
      <c r="H1655" t="s">
        <v>17</v>
      </c>
      <c r="I1655" t="s">
        <v>27</v>
      </c>
      <c r="J1655">
        <v>6652.27</v>
      </c>
      <c r="K1655">
        <v>6866.06</v>
      </c>
      <c r="L1655" s="20">
        <f>tbl_Budget[[#This Row],[Actual]]-tbl_Budget[[#This Row],[Budget]]</f>
        <v>213.78999999999996</v>
      </c>
      <c r="M1655" s="3">
        <f>tbl_Budget[[#This Row],[Variance]]/tbl_Budget[[#This Row],[Budget]]</f>
        <v>3.213790179893479E-2</v>
      </c>
      <c r="N1655" t="str">
        <f>IF(tbl_Budget[[#This Row],[Variance_%]]&gt;0.05,"Overspend",IF(tbl_Budget[[#This Row],[Variance_%]]&lt;-0.05,"Underspend","On Budget"))</f>
        <v>On Budget</v>
      </c>
    </row>
    <row r="1656" spans="1:14" hidden="1">
      <c r="A1656" s="1">
        <v>45413</v>
      </c>
      <c r="B1656">
        <v>5</v>
      </c>
      <c r="C1656" t="s">
        <v>38</v>
      </c>
      <c r="D1656" t="s">
        <v>58</v>
      </c>
      <c r="E1656">
        <v>2024</v>
      </c>
      <c r="F1656" t="s">
        <v>26</v>
      </c>
      <c r="G1656" t="s">
        <v>22</v>
      </c>
      <c r="H1656" t="s">
        <v>18</v>
      </c>
      <c r="I1656" t="s">
        <v>27</v>
      </c>
      <c r="J1656">
        <v>6968.59</v>
      </c>
      <c r="K1656">
        <v>7041.71</v>
      </c>
      <c r="L1656" s="20">
        <f>tbl_Budget[[#This Row],[Actual]]-tbl_Budget[[#This Row],[Budget]]</f>
        <v>73.119999999999891</v>
      </c>
      <c r="M1656" s="3">
        <f>tbl_Budget[[#This Row],[Variance]]/tbl_Budget[[#This Row],[Budget]]</f>
        <v>1.0492796964665719E-2</v>
      </c>
      <c r="N1656" t="str">
        <f>IF(tbl_Budget[[#This Row],[Variance_%]]&gt;0.05,"Overspend",IF(tbl_Budget[[#This Row],[Variance_%]]&lt;-0.05,"Underspend","On Budget"))</f>
        <v>On Budget</v>
      </c>
    </row>
    <row r="1657" spans="1:14" hidden="1">
      <c r="A1657" s="1">
        <v>45413</v>
      </c>
      <c r="B1657">
        <v>5</v>
      </c>
      <c r="C1657" t="s">
        <v>38</v>
      </c>
      <c r="D1657" t="s">
        <v>58</v>
      </c>
      <c r="E1657">
        <v>2024</v>
      </c>
      <c r="F1657" t="s">
        <v>26</v>
      </c>
      <c r="G1657" t="s">
        <v>22</v>
      </c>
      <c r="H1657" t="s">
        <v>19</v>
      </c>
      <c r="I1657" t="s">
        <v>27</v>
      </c>
      <c r="J1657">
        <v>7338.33</v>
      </c>
      <c r="K1657">
        <v>7283.65</v>
      </c>
      <c r="L1657" s="20">
        <f>tbl_Budget[[#This Row],[Actual]]-tbl_Budget[[#This Row],[Budget]]</f>
        <v>-54.680000000000291</v>
      </c>
      <c r="M1657" s="3">
        <f>tbl_Budget[[#This Row],[Variance]]/tbl_Budget[[#This Row],[Budget]]</f>
        <v>-7.4512866006298832E-3</v>
      </c>
      <c r="N1657" t="str">
        <f>IF(tbl_Budget[[#This Row],[Variance_%]]&gt;0.05,"Overspend",IF(tbl_Budget[[#This Row],[Variance_%]]&lt;-0.05,"Underspend","On Budget"))</f>
        <v>On Budget</v>
      </c>
    </row>
    <row r="1658" spans="1:14" hidden="1">
      <c r="A1658" s="1">
        <v>45413</v>
      </c>
      <c r="B1658">
        <v>5</v>
      </c>
      <c r="C1658" t="s">
        <v>38</v>
      </c>
      <c r="D1658" t="s">
        <v>58</v>
      </c>
      <c r="E1658">
        <v>2024</v>
      </c>
      <c r="F1658" t="s">
        <v>26</v>
      </c>
      <c r="G1658" t="s">
        <v>23</v>
      </c>
      <c r="H1658" t="s">
        <v>15</v>
      </c>
      <c r="I1658" t="s">
        <v>27</v>
      </c>
      <c r="J1658">
        <v>6048.65</v>
      </c>
      <c r="K1658">
        <v>5818.57</v>
      </c>
      <c r="L1658" s="20">
        <f>tbl_Budget[[#This Row],[Actual]]-tbl_Budget[[#This Row],[Budget]]</f>
        <v>-230.07999999999993</v>
      </c>
      <c r="M1658" s="3">
        <f>tbl_Budget[[#This Row],[Variance]]/tbl_Budget[[#This Row],[Budget]]</f>
        <v>-3.8038239937837358E-2</v>
      </c>
      <c r="N1658" t="str">
        <f>IF(tbl_Budget[[#This Row],[Variance_%]]&gt;0.05,"Overspend",IF(tbl_Budget[[#This Row],[Variance_%]]&lt;-0.05,"Underspend","On Budget"))</f>
        <v>On Budget</v>
      </c>
    </row>
    <row r="1659" spans="1:14" hidden="1">
      <c r="A1659" s="1">
        <v>45413</v>
      </c>
      <c r="B1659">
        <v>5</v>
      </c>
      <c r="C1659" t="s">
        <v>38</v>
      </c>
      <c r="D1659" t="s">
        <v>58</v>
      </c>
      <c r="E1659">
        <v>2024</v>
      </c>
      <c r="F1659" t="s">
        <v>26</v>
      </c>
      <c r="G1659" t="s">
        <v>23</v>
      </c>
      <c r="H1659" t="s">
        <v>17</v>
      </c>
      <c r="I1659" t="s">
        <v>27</v>
      </c>
      <c r="J1659">
        <v>5844.18</v>
      </c>
      <c r="K1659">
        <v>5687.95</v>
      </c>
      <c r="L1659" s="20">
        <f>tbl_Budget[[#This Row],[Actual]]-tbl_Budget[[#This Row],[Budget]]</f>
        <v>-156.23000000000047</v>
      </c>
      <c r="M1659" s="3">
        <f>tbl_Budget[[#This Row],[Variance]]/tbl_Budget[[#This Row],[Budget]]</f>
        <v>-2.6732578394231606E-2</v>
      </c>
      <c r="N1659" t="str">
        <f>IF(tbl_Budget[[#This Row],[Variance_%]]&gt;0.05,"Overspend",IF(tbl_Budget[[#This Row],[Variance_%]]&lt;-0.05,"Underspend","On Budget"))</f>
        <v>On Budget</v>
      </c>
    </row>
    <row r="1660" spans="1:14" hidden="1">
      <c r="A1660" s="1">
        <v>45413</v>
      </c>
      <c r="B1660">
        <v>5</v>
      </c>
      <c r="C1660" t="s">
        <v>38</v>
      </c>
      <c r="D1660" t="s">
        <v>58</v>
      </c>
      <c r="E1660">
        <v>2024</v>
      </c>
      <c r="F1660" t="s">
        <v>26</v>
      </c>
      <c r="G1660" t="s">
        <v>23</v>
      </c>
      <c r="H1660" t="s">
        <v>18</v>
      </c>
      <c r="I1660" t="s">
        <v>27</v>
      </c>
      <c r="J1660">
        <v>5880.53</v>
      </c>
      <c r="K1660">
        <v>5819.73</v>
      </c>
      <c r="L1660" s="20">
        <f>tbl_Budget[[#This Row],[Actual]]-tbl_Budget[[#This Row],[Budget]]</f>
        <v>-60.800000000000182</v>
      </c>
      <c r="M1660" s="3">
        <f>tbl_Budget[[#This Row],[Variance]]/tbl_Budget[[#This Row],[Budget]]</f>
        <v>-1.0339204119356619E-2</v>
      </c>
      <c r="N1660" t="str">
        <f>IF(tbl_Budget[[#This Row],[Variance_%]]&gt;0.05,"Overspend",IF(tbl_Budget[[#This Row],[Variance_%]]&lt;-0.05,"Underspend","On Budget"))</f>
        <v>On Budget</v>
      </c>
    </row>
    <row r="1661" spans="1:14" hidden="1">
      <c r="A1661" s="1">
        <v>45413</v>
      </c>
      <c r="B1661">
        <v>5</v>
      </c>
      <c r="C1661" t="s">
        <v>38</v>
      </c>
      <c r="D1661" t="s">
        <v>58</v>
      </c>
      <c r="E1661">
        <v>2024</v>
      </c>
      <c r="F1661" t="s">
        <v>26</v>
      </c>
      <c r="G1661" t="s">
        <v>23</v>
      </c>
      <c r="H1661" t="s">
        <v>19</v>
      </c>
      <c r="I1661" t="s">
        <v>27</v>
      </c>
      <c r="J1661">
        <v>6132.85</v>
      </c>
      <c r="K1661">
        <v>6307.34</v>
      </c>
      <c r="L1661" s="20">
        <f>tbl_Budget[[#This Row],[Actual]]-tbl_Budget[[#This Row],[Budget]]</f>
        <v>174.48999999999978</v>
      </c>
      <c r="M1661" s="3">
        <f>tbl_Budget[[#This Row],[Variance]]/tbl_Budget[[#This Row],[Budget]]</f>
        <v>2.8451698639294906E-2</v>
      </c>
      <c r="N1661" t="str">
        <f>IF(tbl_Budget[[#This Row],[Variance_%]]&gt;0.05,"Overspend",IF(tbl_Budget[[#This Row],[Variance_%]]&lt;-0.05,"Underspend","On Budget"))</f>
        <v>On Budget</v>
      </c>
    </row>
    <row r="1662" spans="1:14" hidden="1">
      <c r="A1662" s="1">
        <v>45413</v>
      </c>
      <c r="B1662">
        <v>5</v>
      </c>
      <c r="C1662" t="s">
        <v>38</v>
      </c>
      <c r="D1662" t="s">
        <v>58</v>
      </c>
      <c r="E1662">
        <v>2024</v>
      </c>
      <c r="F1662" t="s">
        <v>28</v>
      </c>
      <c r="G1662" t="s">
        <v>14</v>
      </c>
      <c r="H1662" t="s">
        <v>15</v>
      </c>
      <c r="I1662" t="s">
        <v>29</v>
      </c>
      <c r="J1662">
        <v>56322.11</v>
      </c>
      <c r="K1662">
        <v>50965.88</v>
      </c>
      <c r="L1662" s="20">
        <f>tbl_Budget[[#This Row],[Actual]]-tbl_Budget[[#This Row],[Budget]]</f>
        <v>-5356.2300000000032</v>
      </c>
      <c r="M1662" s="3">
        <f>tbl_Budget[[#This Row],[Variance]]/tbl_Budget[[#This Row],[Budget]]</f>
        <v>-9.5099952753900791E-2</v>
      </c>
      <c r="N1662" t="str">
        <f>IF(tbl_Budget[[#This Row],[Variance_%]]&gt;0.05,"Overspend",IF(tbl_Budget[[#This Row],[Variance_%]]&lt;-0.05,"Underspend","On Budget"))</f>
        <v>Underspend</v>
      </c>
    </row>
    <row r="1663" spans="1:14" hidden="1">
      <c r="A1663" s="1">
        <v>45413</v>
      </c>
      <c r="B1663">
        <v>5</v>
      </c>
      <c r="C1663" t="s">
        <v>38</v>
      </c>
      <c r="D1663" t="s">
        <v>58</v>
      </c>
      <c r="E1663">
        <v>2024</v>
      </c>
      <c r="F1663" t="s">
        <v>28</v>
      </c>
      <c r="G1663" t="s">
        <v>14</v>
      </c>
      <c r="H1663" t="s">
        <v>17</v>
      </c>
      <c r="I1663" t="s">
        <v>29</v>
      </c>
      <c r="J1663">
        <v>54101.48</v>
      </c>
      <c r="K1663">
        <v>51289.11</v>
      </c>
      <c r="L1663" s="20">
        <f>tbl_Budget[[#This Row],[Actual]]-tbl_Budget[[#This Row],[Budget]]</f>
        <v>-2812.3700000000026</v>
      </c>
      <c r="M1663" s="3">
        <f>tbl_Budget[[#This Row],[Variance]]/tbl_Budget[[#This Row],[Budget]]</f>
        <v>-5.1983235948443597E-2</v>
      </c>
      <c r="N1663" t="str">
        <f>IF(tbl_Budget[[#This Row],[Variance_%]]&gt;0.05,"Overspend",IF(tbl_Budget[[#This Row],[Variance_%]]&lt;-0.05,"Underspend","On Budget"))</f>
        <v>Underspend</v>
      </c>
    </row>
    <row r="1664" spans="1:14" hidden="1">
      <c r="A1664" s="1">
        <v>45413</v>
      </c>
      <c r="B1664">
        <v>5</v>
      </c>
      <c r="C1664" t="s">
        <v>38</v>
      </c>
      <c r="D1664" t="s">
        <v>58</v>
      </c>
      <c r="E1664">
        <v>2024</v>
      </c>
      <c r="F1664" t="s">
        <v>28</v>
      </c>
      <c r="G1664" t="s">
        <v>14</v>
      </c>
      <c r="H1664" t="s">
        <v>18</v>
      </c>
      <c r="I1664" t="s">
        <v>29</v>
      </c>
      <c r="J1664">
        <v>54644.7</v>
      </c>
      <c r="K1664">
        <v>61099.76</v>
      </c>
      <c r="L1664" s="20">
        <f>tbl_Budget[[#This Row],[Actual]]-tbl_Budget[[#This Row],[Budget]]</f>
        <v>6455.0600000000049</v>
      </c>
      <c r="M1664" s="3">
        <f>tbl_Budget[[#This Row],[Variance]]/tbl_Budget[[#This Row],[Budget]]</f>
        <v>0.11812783307438791</v>
      </c>
      <c r="N1664" t="str">
        <f>IF(tbl_Budget[[#This Row],[Variance_%]]&gt;0.05,"Overspend",IF(tbl_Budget[[#This Row],[Variance_%]]&lt;-0.05,"Underspend","On Budget"))</f>
        <v>Overspend</v>
      </c>
    </row>
    <row r="1665" spans="1:14" hidden="1">
      <c r="A1665" s="1">
        <v>45413</v>
      </c>
      <c r="B1665">
        <v>5</v>
      </c>
      <c r="C1665" t="s">
        <v>38</v>
      </c>
      <c r="D1665" t="s">
        <v>58</v>
      </c>
      <c r="E1665">
        <v>2024</v>
      </c>
      <c r="F1665" t="s">
        <v>28</v>
      </c>
      <c r="G1665" t="s">
        <v>14</v>
      </c>
      <c r="H1665" t="s">
        <v>19</v>
      </c>
      <c r="I1665" t="s">
        <v>29</v>
      </c>
      <c r="J1665">
        <v>61146.47</v>
      </c>
      <c r="K1665">
        <v>56909.48</v>
      </c>
      <c r="L1665" s="20">
        <f>tbl_Budget[[#This Row],[Actual]]-tbl_Budget[[#This Row],[Budget]]</f>
        <v>-4236.989999999998</v>
      </c>
      <c r="M1665" s="3">
        <f>tbl_Budget[[#This Row],[Variance]]/tbl_Budget[[#This Row],[Budget]]</f>
        <v>-6.9292471012635692E-2</v>
      </c>
      <c r="N1665" t="str">
        <f>IF(tbl_Budget[[#This Row],[Variance_%]]&gt;0.05,"Overspend",IF(tbl_Budget[[#This Row],[Variance_%]]&lt;-0.05,"Underspend","On Budget"))</f>
        <v>Underspend</v>
      </c>
    </row>
    <row r="1666" spans="1:14" hidden="1">
      <c r="A1666" s="1">
        <v>45413</v>
      </c>
      <c r="B1666">
        <v>5</v>
      </c>
      <c r="C1666" t="s">
        <v>38</v>
      </c>
      <c r="D1666" t="s">
        <v>58</v>
      </c>
      <c r="E1666">
        <v>2024</v>
      </c>
      <c r="F1666" t="s">
        <v>28</v>
      </c>
      <c r="G1666" t="s">
        <v>20</v>
      </c>
      <c r="H1666" t="s">
        <v>15</v>
      </c>
      <c r="I1666" t="s">
        <v>29</v>
      </c>
      <c r="J1666">
        <v>21871.66</v>
      </c>
      <c r="K1666">
        <v>19776.02</v>
      </c>
      <c r="L1666" s="20">
        <f>tbl_Budget[[#This Row],[Actual]]-tbl_Budget[[#This Row],[Budget]]</f>
        <v>-2095.6399999999994</v>
      </c>
      <c r="M1666" s="3">
        <f>tbl_Budget[[#This Row],[Variance]]/tbl_Budget[[#This Row],[Budget]]</f>
        <v>-9.5815315344148527E-2</v>
      </c>
      <c r="N1666" t="str">
        <f>IF(tbl_Budget[[#This Row],[Variance_%]]&gt;0.05,"Overspend",IF(tbl_Budget[[#This Row],[Variance_%]]&lt;-0.05,"Underspend","On Budget"))</f>
        <v>Underspend</v>
      </c>
    </row>
    <row r="1667" spans="1:14" hidden="1">
      <c r="A1667" s="1">
        <v>45413</v>
      </c>
      <c r="B1667">
        <v>5</v>
      </c>
      <c r="C1667" t="s">
        <v>38</v>
      </c>
      <c r="D1667" t="s">
        <v>58</v>
      </c>
      <c r="E1667">
        <v>2024</v>
      </c>
      <c r="F1667" t="s">
        <v>28</v>
      </c>
      <c r="G1667" t="s">
        <v>20</v>
      </c>
      <c r="H1667" t="s">
        <v>17</v>
      </c>
      <c r="I1667" t="s">
        <v>29</v>
      </c>
      <c r="J1667">
        <v>20456.72</v>
      </c>
      <c r="K1667">
        <v>21209.42</v>
      </c>
      <c r="L1667" s="20">
        <f>tbl_Budget[[#This Row],[Actual]]-tbl_Budget[[#This Row],[Budget]]</f>
        <v>752.69999999999709</v>
      </c>
      <c r="M1667" s="3">
        <f>tbl_Budget[[#This Row],[Variance]]/tbl_Budget[[#This Row],[Budget]]</f>
        <v>3.6794754975382031E-2</v>
      </c>
      <c r="N1667" t="str">
        <f>IF(tbl_Budget[[#This Row],[Variance_%]]&gt;0.05,"Overspend",IF(tbl_Budget[[#This Row],[Variance_%]]&lt;-0.05,"Underspend","On Budget"))</f>
        <v>On Budget</v>
      </c>
    </row>
    <row r="1668" spans="1:14" hidden="1">
      <c r="A1668" s="1">
        <v>45413</v>
      </c>
      <c r="B1668">
        <v>5</v>
      </c>
      <c r="C1668" t="s">
        <v>38</v>
      </c>
      <c r="D1668" t="s">
        <v>58</v>
      </c>
      <c r="E1668">
        <v>2024</v>
      </c>
      <c r="F1668" t="s">
        <v>28</v>
      </c>
      <c r="G1668" t="s">
        <v>20</v>
      </c>
      <c r="H1668" t="s">
        <v>18</v>
      </c>
      <c r="I1668" t="s">
        <v>29</v>
      </c>
      <c r="J1668">
        <v>21290.58</v>
      </c>
      <c r="K1668">
        <v>18564.07</v>
      </c>
      <c r="L1668" s="20">
        <f>tbl_Budget[[#This Row],[Actual]]-tbl_Budget[[#This Row],[Budget]]</f>
        <v>-2726.510000000002</v>
      </c>
      <c r="M1668" s="3">
        <f>tbl_Budget[[#This Row],[Variance]]/tbl_Budget[[#This Row],[Budget]]</f>
        <v>-0.12806180010126553</v>
      </c>
      <c r="N1668" t="str">
        <f>IF(tbl_Budget[[#This Row],[Variance_%]]&gt;0.05,"Overspend",IF(tbl_Budget[[#This Row],[Variance_%]]&lt;-0.05,"Underspend","On Budget"))</f>
        <v>Underspend</v>
      </c>
    </row>
    <row r="1669" spans="1:14" hidden="1">
      <c r="A1669" s="1">
        <v>45413</v>
      </c>
      <c r="B1669">
        <v>5</v>
      </c>
      <c r="C1669" t="s">
        <v>38</v>
      </c>
      <c r="D1669" t="s">
        <v>58</v>
      </c>
      <c r="E1669">
        <v>2024</v>
      </c>
      <c r="F1669" t="s">
        <v>28</v>
      </c>
      <c r="G1669" t="s">
        <v>20</v>
      </c>
      <c r="H1669" t="s">
        <v>19</v>
      </c>
      <c r="I1669" t="s">
        <v>29</v>
      </c>
      <c r="J1669">
        <v>22181.22</v>
      </c>
      <c r="K1669">
        <v>21069.11</v>
      </c>
      <c r="L1669" s="20">
        <f>tbl_Budget[[#This Row],[Actual]]-tbl_Budget[[#This Row],[Budget]]</f>
        <v>-1112.1100000000006</v>
      </c>
      <c r="M1669" s="3">
        <f>tbl_Budget[[#This Row],[Variance]]/tbl_Budget[[#This Row],[Budget]]</f>
        <v>-5.0137458624908843E-2</v>
      </c>
      <c r="N1669" t="str">
        <f>IF(tbl_Budget[[#This Row],[Variance_%]]&gt;0.05,"Overspend",IF(tbl_Budget[[#This Row],[Variance_%]]&lt;-0.05,"Underspend","On Budget"))</f>
        <v>Underspend</v>
      </c>
    </row>
    <row r="1670" spans="1:14">
      <c r="A1670" s="1">
        <v>45413</v>
      </c>
      <c r="B1670">
        <v>5</v>
      </c>
      <c r="C1670" t="s">
        <v>38</v>
      </c>
      <c r="D1670" t="s">
        <v>58</v>
      </c>
      <c r="E1670">
        <v>2024</v>
      </c>
      <c r="F1670" t="s">
        <v>28</v>
      </c>
      <c r="G1670" t="s">
        <v>21</v>
      </c>
      <c r="H1670" t="s">
        <v>15</v>
      </c>
      <c r="I1670" t="s">
        <v>29</v>
      </c>
      <c r="J1670">
        <v>12570.09</v>
      </c>
      <c r="K1670">
        <v>12905.42</v>
      </c>
      <c r="L1670" s="20">
        <f>tbl_Budget[[#This Row],[Actual]]-tbl_Budget[[#This Row],[Budget]]</f>
        <v>335.32999999999993</v>
      </c>
      <c r="M1670" s="3">
        <f>tbl_Budget[[#This Row],[Variance]]/tbl_Budget[[#This Row],[Budget]]</f>
        <v>2.6676817747526067E-2</v>
      </c>
      <c r="N1670" t="str">
        <f>IF(tbl_Budget[[#This Row],[Variance_%]]&gt;0.05,"Overspend",IF(tbl_Budget[[#This Row],[Variance_%]]&lt;-0.05,"Underspend","On Budget"))</f>
        <v>On Budget</v>
      </c>
    </row>
    <row r="1671" spans="1:14">
      <c r="A1671" s="1">
        <v>45413</v>
      </c>
      <c r="B1671">
        <v>5</v>
      </c>
      <c r="C1671" t="s">
        <v>38</v>
      </c>
      <c r="D1671" t="s">
        <v>58</v>
      </c>
      <c r="E1671">
        <v>2024</v>
      </c>
      <c r="F1671" t="s">
        <v>28</v>
      </c>
      <c r="G1671" t="s">
        <v>21</v>
      </c>
      <c r="H1671" t="s">
        <v>17</v>
      </c>
      <c r="I1671" t="s">
        <v>29</v>
      </c>
      <c r="J1671">
        <v>11564.86</v>
      </c>
      <c r="K1671">
        <v>10968.8</v>
      </c>
      <c r="L1671" s="20">
        <f>tbl_Budget[[#This Row],[Actual]]-tbl_Budget[[#This Row],[Budget]]</f>
        <v>-596.06000000000131</v>
      </c>
      <c r="M1671" s="3">
        <f>tbl_Budget[[#This Row],[Variance]]/tbl_Budget[[#This Row],[Budget]]</f>
        <v>-5.1540615277660191E-2</v>
      </c>
      <c r="N1671" t="str">
        <f>IF(tbl_Budget[[#This Row],[Variance_%]]&gt;0.05,"Overspend",IF(tbl_Budget[[#This Row],[Variance_%]]&lt;-0.05,"Underspend","On Budget"))</f>
        <v>Underspend</v>
      </c>
    </row>
    <row r="1672" spans="1:14">
      <c r="A1672" s="1">
        <v>45413</v>
      </c>
      <c r="B1672">
        <v>5</v>
      </c>
      <c r="C1672" t="s">
        <v>38</v>
      </c>
      <c r="D1672" t="s">
        <v>58</v>
      </c>
      <c r="E1672">
        <v>2024</v>
      </c>
      <c r="F1672" t="s">
        <v>28</v>
      </c>
      <c r="G1672" t="s">
        <v>21</v>
      </c>
      <c r="H1672" t="s">
        <v>18</v>
      </c>
      <c r="I1672" t="s">
        <v>29</v>
      </c>
      <c r="J1672">
        <v>11755.76</v>
      </c>
      <c r="K1672">
        <v>11391.92</v>
      </c>
      <c r="L1672" s="20">
        <f>tbl_Budget[[#This Row],[Actual]]-tbl_Budget[[#This Row],[Budget]]</f>
        <v>-363.84000000000015</v>
      </c>
      <c r="M1672" s="3">
        <f>tbl_Budget[[#This Row],[Variance]]/tbl_Budget[[#This Row],[Budget]]</f>
        <v>-3.0949934330064592E-2</v>
      </c>
      <c r="N1672" t="str">
        <f>IF(tbl_Budget[[#This Row],[Variance_%]]&gt;0.05,"Overspend",IF(tbl_Budget[[#This Row],[Variance_%]]&lt;-0.05,"Underspend","On Budget"))</f>
        <v>On Budget</v>
      </c>
    </row>
    <row r="1673" spans="1:14">
      <c r="A1673" s="1">
        <v>45413</v>
      </c>
      <c r="B1673">
        <v>5</v>
      </c>
      <c r="C1673" t="s">
        <v>38</v>
      </c>
      <c r="D1673" t="s">
        <v>58</v>
      </c>
      <c r="E1673">
        <v>2024</v>
      </c>
      <c r="F1673" t="s">
        <v>28</v>
      </c>
      <c r="G1673" t="s">
        <v>21</v>
      </c>
      <c r="H1673" t="s">
        <v>19</v>
      </c>
      <c r="I1673" t="s">
        <v>29</v>
      </c>
      <c r="J1673">
        <v>12740.22</v>
      </c>
      <c r="K1673">
        <v>14886.68</v>
      </c>
      <c r="L1673" s="20">
        <f>tbl_Budget[[#This Row],[Actual]]-tbl_Budget[[#This Row],[Budget]]</f>
        <v>2146.4600000000009</v>
      </c>
      <c r="M1673" s="3">
        <f>tbl_Budget[[#This Row],[Variance]]/tbl_Budget[[#This Row],[Budget]]</f>
        <v>0.16847903725367389</v>
      </c>
      <c r="N1673" t="str">
        <f>IF(tbl_Budget[[#This Row],[Variance_%]]&gt;0.05,"Overspend",IF(tbl_Budget[[#This Row],[Variance_%]]&lt;-0.05,"Underspend","On Budget"))</f>
        <v>Overspend</v>
      </c>
    </row>
    <row r="1674" spans="1:14" hidden="1">
      <c r="A1674" s="1">
        <v>45413</v>
      </c>
      <c r="B1674">
        <v>5</v>
      </c>
      <c r="C1674" t="s">
        <v>38</v>
      </c>
      <c r="D1674" t="s">
        <v>58</v>
      </c>
      <c r="E1674">
        <v>2024</v>
      </c>
      <c r="F1674" t="s">
        <v>28</v>
      </c>
      <c r="G1674" t="s">
        <v>22</v>
      </c>
      <c r="H1674" t="s">
        <v>15</v>
      </c>
      <c r="I1674" t="s">
        <v>29</v>
      </c>
      <c r="J1674">
        <v>12863.43</v>
      </c>
      <c r="K1674">
        <v>11642.95</v>
      </c>
      <c r="L1674" s="20">
        <f>tbl_Budget[[#This Row],[Actual]]-tbl_Budget[[#This Row],[Budget]]</f>
        <v>-1220.4799999999996</v>
      </c>
      <c r="M1674" s="3">
        <f>tbl_Budget[[#This Row],[Variance]]/tbl_Budget[[#This Row],[Budget]]</f>
        <v>-9.4879825987314384E-2</v>
      </c>
      <c r="N1674" t="str">
        <f>IF(tbl_Budget[[#This Row],[Variance_%]]&gt;0.05,"Overspend",IF(tbl_Budget[[#This Row],[Variance_%]]&lt;-0.05,"Underspend","On Budget"))</f>
        <v>Underspend</v>
      </c>
    </row>
    <row r="1675" spans="1:14" hidden="1">
      <c r="A1675" s="1">
        <v>45413</v>
      </c>
      <c r="B1675">
        <v>5</v>
      </c>
      <c r="C1675" t="s">
        <v>38</v>
      </c>
      <c r="D1675" t="s">
        <v>58</v>
      </c>
      <c r="E1675">
        <v>2024</v>
      </c>
      <c r="F1675" t="s">
        <v>28</v>
      </c>
      <c r="G1675" t="s">
        <v>22</v>
      </c>
      <c r="H1675" t="s">
        <v>17</v>
      </c>
      <c r="I1675" t="s">
        <v>29</v>
      </c>
      <c r="J1675">
        <v>12407.52</v>
      </c>
      <c r="K1675">
        <v>11381.64</v>
      </c>
      <c r="L1675" s="20">
        <f>tbl_Budget[[#This Row],[Actual]]-tbl_Budget[[#This Row],[Budget]]</f>
        <v>-1025.880000000001</v>
      </c>
      <c r="M1675" s="3">
        <f>tbl_Budget[[#This Row],[Variance]]/tbl_Budget[[#This Row],[Budget]]</f>
        <v>-8.2682115362296499E-2</v>
      </c>
      <c r="N1675" t="str">
        <f>IF(tbl_Budget[[#This Row],[Variance_%]]&gt;0.05,"Overspend",IF(tbl_Budget[[#This Row],[Variance_%]]&lt;-0.05,"Underspend","On Budget"))</f>
        <v>Underspend</v>
      </c>
    </row>
    <row r="1676" spans="1:14" hidden="1">
      <c r="A1676" s="1">
        <v>45413</v>
      </c>
      <c r="B1676">
        <v>5</v>
      </c>
      <c r="C1676" t="s">
        <v>38</v>
      </c>
      <c r="D1676" t="s">
        <v>58</v>
      </c>
      <c r="E1676">
        <v>2024</v>
      </c>
      <c r="F1676" t="s">
        <v>28</v>
      </c>
      <c r="G1676" t="s">
        <v>22</v>
      </c>
      <c r="H1676" t="s">
        <v>18</v>
      </c>
      <c r="I1676" t="s">
        <v>29</v>
      </c>
      <c r="J1676">
        <v>12435.32</v>
      </c>
      <c r="K1676">
        <v>10994.03</v>
      </c>
      <c r="L1676" s="20">
        <f>tbl_Budget[[#This Row],[Actual]]-tbl_Budget[[#This Row],[Budget]]</f>
        <v>-1441.2899999999991</v>
      </c>
      <c r="M1676" s="3">
        <f>tbl_Budget[[#This Row],[Variance]]/tbl_Budget[[#This Row],[Budget]]</f>
        <v>-0.11590292811121862</v>
      </c>
      <c r="N1676" t="str">
        <f>IF(tbl_Budget[[#This Row],[Variance_%]]&gt;0.05,"Overspend",IF(tbl_Budget[[#This Row],[Variance_%]]&lt;-0.05,"Underspend","On Budget"))</f>
        <v>Underspend</v>
      </c>
    </row>
    <row r="1677" spans="1:14" hidden="1">
      <c r="A1677" s="1">
        <v>45413</v>
      </c>
      <c r="B1677">
        <v>5</v>
      </c>
      <c r="C1677" t="s">
        <v>38</v>
      </c>
      <c r="D1677" t="s">
        <v>58</v>
      </c>
      <c r="E1677">
        <v>2024</v>
      </c>
      <c r="F1677" t="s">
        <v>28</v>
      </c>
      <c r="G1677" t="s">
        <v>22</v>
      </c>
      <c r="H1677" t="s">
        <v>19</v>
      </c>
      <c r="I1677" t="s">
        <v>29</v>
      </c>
      <c r="J1677">
        <v>13303.31</v>
      </c>
      <c r="K1677">
        <v>14753.33</v>
      </c>
      <c r="L1677" s="20">
        <f>tbl_Budget[[#This Row],[Actual]]-tbl_Budget[[#This Row],[Budget]]</f>
        <v>1450.0200000000004</v>
      </c>
      <c r="M1677" s="3">
        <f>tbl_Budget[[#This Row],[Variance]]/tbl_Budget[[#This Row],[Budget]]</f>
        <v>0.10899693384578729</v>
      </c>
      <c r="N1677" t="str">
        <f>IF(tbl_Budget[[#This Row],[Variance_%]]&gt;0.05,"Overspend",IF(tbl_Budget[[#This Row],[Variance_%]]&lt;-0.05,"Underspend","On Budget"))</f>
        <v>Overspend</v>
      </c>
    </row>
    <row r="1678" spans="1:14" hidden="1">
      <c r="A1678" s="1">
        <v>45413</v>
      </c>
      <c r="B1678">
        <v>5</v>
      </c>
      <c r="C1678" t="s">
        <v>38</v>
      </c>
      <c r="D1678" t="s">
        <v>58</v>
      </c>
      <c r="E1678">
        <v>2024</v>
      </c>
      <c r="F1678" t="s">
        <v>28</v>
      </c>
      <c r="G1678" t="s">
        <v>23</v>
      </c>
      <c r="H1678" t="s">
        <v>15</v>
      </c>
      <c r="I1678" t="s">
        <v>29</v>
      </c>
      <c r="J1678">
        <v>8387.6299999999992</v>
      </c>
      <c r="K1678">
        <v>7978.97</v>
      </c>
      <c r="L1678" s="20">
        <f>tbl_Budget[[#This Row],[Actual]]-tbl_Budget[[#This Row],[Budget]]</f>
        <v>-408.65999999999894</v>
      </c>
      <c r="M1678" s="3">
        <f>tbl_Budget[[#This Row],[Variance]]/tbl_Budget[[#This Row],[Budget]]</f>
        <v>-4.8721748574984708E-2</v>
      </c>
      <c r="N1678" t="str">
        <f>IF(tbl_Budget[[#This Row],[Variance_%]]&gt;0.05,"Overspend",IF(tbl_Budget[[#This Row],[Variance_%]]&lt;-0.05,"Underspend","On Budget"))</f>
        <v>On Budget</v>
      </c>
    </row>
    <row r="1679" spans="1:14" hidden="1">
      <c r="A1679" s="1">
        <v>45413</v>
      </c>
      <c r="B1679">
        <v>5</v>
      </c>
      <c r="C1679" t="s">
        <v>38</v>
      </c>
      <c r="D1679" t="s">
        <v>58</v>
      </c>
      <c r="E1679">
        <v>2024</v>
      </c>
      <c r="F1679" t="s">
        <v>28</v>
      </c>
      <c r="G1679" t="s">
        <v>23</v>
      </c>
      <c r="H1679" t="s">
        <v>17</v>
      </c>
      <c r="I1679" t="s">
        <v>29</v>
      </c>
      <c r="J1679">
        <v>7897.18</v>
      </c>
      <c r="K1679">
        <v>7639.28</v>
      </c>
      <c r="L1679" s="20">
        <f>tbl_Budget[[#This Row],[Actual]]-tbl_Budget[[#This Row],[Budget]]</f>
        <v>-257.90000000000055</v>
      </c>
      <c r="M1679" s="3">
        <f>tbl_Budget[[#This Row],[Variance]]/tbl_Budget[[#This Row],[Budget]]</f>
        <v>-3.2657227010147998E-2</v>
      </c>
      <c r="N1679" t="str">
        <f>IF(tbl_Budget[[#This Row],[Variance_%]]&gt;0.05,"Overspend",IF(tbl_Budget[[#This Row],[Variance_%]]&lt;-0.05,"Underspend","On Budget"))</f>
        <v>On Budget</v>
      </c>
    </row>
    <row r="1680" spans="1:14" hidden="1">
      <c r="A1680" s="1">
        <v>45413</v>
      </c>
      <c r="B1680">
        <v>5</v>
      </c>
      <c r="C1680" t="s">
        <v>38</v>
      </c>
      <c r="D1680" t="s">
        <v>58</v>
      </c>
      <c r="E1680">
        <v>2024</v>
      </c>
      <c r="F1680" t="s">
        <v>28</v>
      </c>
      <c r="G1680" t="s">
        <v>23</v>
      </c>
      <c r="H1680" t="s">
        <v>18</v>
      </c>
      <c r="I1680" t="s">
        <v>29</v>
      </c>
      <c r="J1680">
        <v>8170.69</v>
      </c>
      <c r="K1680">
        <v>8511.6299999999992</v>
      </c>
      <c r="L1680" s="20">
        <f>tbl_Budget[[#This Row],[Actual]]-tbl_Budget[[#This Row],[Budget]]</f>
        <v>340.9399999999996</v>
      </c>
      <c r="M1680" s="3">
        <f>tbl_Budget[[#This Row],[Variance]]/tbl_Budget[[#This Row],[Budget]]</f>
        <v>4.1727198070175178E-2</v>
      </c>
      <c r="N1680" t="str">
        <f>IF(tbl_Budget[[#This Row],[Variance_%]]&gt;0.05,"Overspend",IF(tbl_Budget[[#This Row],[Variance_%]]&lt;-0.05,"Underspend","On Budget"))</f>
        <v>On Budget</v>
      </c>
    </row>
    <row r="1681" spans="1:14" hidden="1">
      <c r="A1681" s="1">
        <v>45413</v>
      </c>
      <c r="B1681">
        <v>5</v>
      </c>
      <c r="C1681" t="s">
        <v>38</v>
      </c>
      <c r="D1681" t="s">
        <v>58</v>
      </c>
      <c r="E1681">
        <v>2024</v>
      </c>
      <c r="F1681" t="s">
        <v>28</v>
      </c>
      <c r="G1681" t="s">
        <v>23</v>
      </c>
      <c r="H1681" t="s">
        <v>19</v>
      </c>
      <c r="I1681" t="s">
        <v>29</v>
      </c>
      <c r="J1681">
        <v>8563.64</v>
      </c>
      <c r="K1681">
        <v>9703.26</v>
      </c>
      <c r="L1681" s="20">
        <f>tbl_Budget[[#This Row],[Actual]]-tbl_Budget[[#This Row],[Budget]]</f>
        <v>1139.6200000000008</v>
      </c>
      <c r="M1681" s="3">
        <f>tbl_Budget[[#This Row],[Variance]]/tbl_Budget[[#This Row],[Budget]]</f>
        <v>0.13307658892713856</v>
      </c>
      <c r="N1681" t="str">
        <f>IF(tbl_Budget[[#This Row],[Variance_%]]&gt;0.05,"Overspend",IF(tbl_Budget[[#This Row],[Variance_%]]&lt;-0.05,"Underspend","On Budget"))</f>
        <v>Overspend</v>
      </c>
    </row>
    <row r="1682" spans="1:14" hidden="1">
      <c r="A1682" s="1">
        <v>45413</v>
      </c>
      <c r="B1682">
        <v>5</v>
      </c>
      <c r="C1682" t="s">
        <v>38</v>
      </c>
      <c r="D1682" t="s">
        <v>58</v>
      </c>
      <c r="E1682">
        <v>2024</v>
      </c>
      <c r="F1682" t="s">
        <v>30</v>
      </c>
      <c r="G1682" t="s">
        <v>14</v>
      </c>
      <c r="H1682" t="s">
        <v>15</v>
      </c>
      <c r="I1682" t="s">
        <v>31</v>
      </c>
      <c r="J1682">
        <v>45943.37</v>
      </c>
      <c r="K1682">
        <v>44570.02</v>
      </c>
      <c r="L1682" s="20">
        <f>tbl_Budget[[#This Row],[Actual]]-tbl_Budget[[#This Row],[Budget]]</f>
        <v>-1373.3500000000058</v>
      </c>
      <c r="M1682" s="3">
        <f>tbl_Budget[[#This Row],[Variance]]/tbl_Budget[[#This Row],[Budget]]</f>
        <v>-2.9892234722877442E-2</v>
      </c>
      <c r="N1682" t="str">
        <f>IF(tbl_Budget[[#This Row],[Variance_%]]&gt;0.05,"Overspend",IF(tbl_Budget[[#This Row],[Variance_%]]&lt;-0.05,"Underspend","On Budget"))</f>
        <v>On Budget</v>
      </c>
    </row>
    <row r="1683" spans="1:14" hidden="1">
      <c r="A1683" s="1">
        <v>45413</v>
      </c>
      <c r="B1683">
        <v>5</v>
      </c>
      <c r="C1683" t="s">
        <v>38</v>
      </c>
      <c r="D1683" t="s">
        <v>58</v>
      </c>
      <c r="E1683">
        <v>2024</v>
      </c>
      <c r="F1683" t="s">
        <v>30</v>
      </c>
      <c r="G1683" t="s">
        <v>14</v>
      </c>
      <c r="H1683" t="s">
        <v>17</v>
      </c>
      <c r="I1683" t="s">
        <v>31</v>
      </c>
      <c r="J1683">
        <v>43846.75</v>
      </c>
      <c r="K1683">
        <v>45229.04</v>
      </c>
      <c r="L1683" s="20">
        <f>tbl_Budget[[#This Row],[Actual]]-tbl_Budget[[#This Row],[Budget]]</f>
        <v>1382.2900000000009</v>
      </c>
      <c r="M1683" s="3">
        <f>tbl_Budget[[#This Row],[Variance]]/tbl_Budget[[#This Row],[Budget]]</f>
        <v>3.1525483644739935E-2</v>
      </c>
      <c r="N1683" t="str">
        <f>IF(tbl_Budget[[#This Row],[Variance_%]]&gt;0.05,"Overspend",IF(tbl_Budget[[#This Row],[Variance_%]]&lt;-0.05,"Underspend","On Budget"))</f>
        <v>On Budget</v>
      </c>
    </row>
    <row r="1684" spans="1:14" hidden="1">
      <c r="A1684" s="1">
        <v>45413</v>
      </c>
      <c r="B1684">
        <v>5</v>
      </c>
      <c r="C1684" t="s">
        <v>38</v>
      </c>
      <c r="D1684" t="s">
        <v>58</v>
      </c>
      <c r="E1684">
        <v>2024</v>
      </c>
      <c r="F1684" t="s">
        <v>30</v>
      </c>
      <c r="G1684" t="s">
        <v>14</v>
      </c>
      <c r="H1684" t="s">
        <v>18</v>
      </c>
      <c r="I1684" t="s">
        <v>31</v>
      </c>
      <c r="J1684">
        <v>43542.6</v>
      </c>
      <c r="K1684">
        <v>42628.37</v>
      </c>
      <c r="L1684" s="20">
        <f>tbl_Budget[[#This Row],[Actual]]-tbl_Budget[[#This Row],[Budget]]</f>
        <v>-914.22999999999593</v>
      </c>
      <c r="M1684" s="3">
        <f>tbl_Budget[[#This Row],[Variance]]/tbl_Budget[[#This Row],[Budget]]</f>
        <v>-2.099621979394882E-2</v>
      </c>
      <c r="N1684" t="str">
        <f>IF(tbl_Budget[[#This Row],[Variance_%]]&gt;0.05,"Overspend",IF(tbl_Budget[[#This Row],[Variance_%]]&lt;-0.05,"Underspend","On Budget"))</f>
        <v>On Budget</v>
      </c>
    </row>
    <row r="1685" spans="1:14" hidden="1">
      <c r="A1685" s="1">
        <v>45413</v>
      </c>
      <c r="B1685">
        <v>5</v>
      </c>
      <c r="C1685" t="s">
        <v>38</v>
      </c>
      <c r="D1685" t="s">
        <v>58</v>
      </c>
      <c r="E1685">
        <v>2024</v>
      </c>
      <c r="F1685" t="s">
        <v>30</v>
      </c>
      <c r="G1685" t="s">
        <v>14</v>
      </c>
      <c r="H1685" t="s">
        <v>19</v>
      </c>
      <c r="I1685" t="s">
        <v>31</v>
      </c>
      <c r="J1685">
        <v>48507.61</v>
      </c>
      <c r="K1685">
        <v>47020.59</v>
      </c>
      <c r="L1685" s="20">
        <f>tbl_Budget[[#This Row],[Actual]]-tbl_Budget[[#This Row],[Budget]]</f>
        <v>-1487.0200000000041</v>
      </c>
      <c r="M1685" s="3">
        <f>tbl_Budget[[#This Row],[Variance]]/tbl_Budget[[#This Row],[Budget]]</f>
        <v>-3.0655396132689368E-2</v>
      </c>
      <c r="N1685" t="str">
        <f>IF(tbl_Budget[[#This Row],[Variance_%]]&gt;0.05,"Overspend",IF(tbl_Budget[[#This Row],[Variance_%]]&lt;-0.05,"Underspend","On Budget"))</f>
        <v>On Budget</v>
      </c>
    </row>
    <row r="1686" spans="1:14" hidden="1">
      <c r="A1686" s="1">
        <v>45413</v>
      </c>
      <c r="B1686">
        <v>5</v>
      </c>
      <c r="C1686" t="s">
        <v>38</v>
      </c>
      <c r="D1686" t="s">
        <v>58</v>
      </c>
      <c r="E1686">
        <v>2024</v>
      </c>
      <c r="F1686" t="s">
        <v>30</v>
      </c>
      <c r="G1686" t="s">
        <v>20</v>
      </c>
      <c r="H1686" t="s">
        <v>15</v>
      </c>
      <c r="I1686" t="s">
        <v>31</v>
      </c>
      <c r="J1686">
        <v>17701.12</v>
      </c>
      <c r="K1686">
        <v>18331.36</v>
      </c>
      <c r="L1686" s="20">
        <f>tbl_Budget[[#This Row],[Actual]]-tbl_Budget[[#This Row],[Budget]]</f>
        <v>630.2400000000016</v>
      </c>
      <c r="M1686" s="3">
        <f>tbl_Budget[[#This Row],[Variance]]/tbl_Budget[[#This Row],[Budget]]</f>
        <v>3.5604526719213339E-2</v>
      </c>
      <c r="N1686" t="str">
        <f>IF(tbl_Budget[[#This Row],[Variance_%]]&gt;0.05,"Overspend",IF(tbl_Budget[[#This Row],[Variance_%]]&lt;-0.05,"Underspend","On Budget"))</f>
        <v>On Budget</v>
      </c>
    </row>
    <row r="1687" spans="1:14" hidden="1">
      <c r="A1687" s="1">
        <v>45413</v>
      </c>
      <c r="B1687">
        <v>5</v>
      </c>
      <c r="C1687" t="s">
        <v>38</v>
      </c>
      <c r="D1687" t="s">
        <v>58</v>
      </c>
      <c r="E1687">
        <v>2024</v>
      </c>
      <c r="F1687" t="s">
        <v>30</v>
      </c>
      <c r="G1687" t="s">
        <v>20</v>
      </c>
      <c r="H1687" t="s">
        <v>17</v>
      </c>
      <c r="I1687" t="s">
        <v>31</v>
      </c>
      <c r="J1687">
        <v>17014.07</v>
      </c>
      <c r="K1687">
        <v>17278.38</v>
      </c>
      <c r="L1687" s="20">
        <f>tbl_Budget[[#This Row],[Actual]]-tbl_Budget[[#This Row],[Budget]]</f>
        <v>264.31000000000131</v>
      </c>
      <c r="M1687" s="3">
        <f>tbl_Budget[[#This Row],[Variance]]/tbl_Budget[[#This Row],[Budget]]</f>
        <v>1.5534789735789339E-2</v>
      </c>
      <c r="N1687" t="str">
        <f>IF(tbl_Budget[[#This Row],[Variance_%]]&gt;0.05,"Overspend",IF(tbl_Budget[[#This Row],[Variance_%]]&lt;-0.05,"Underspend","On Budget"))</f>
        <v>On Budget</v>
      </c>
    </row>
    <row r="1688" spans="1:14" hidden="1">
      <c r="A1688" s="1">
        <v>45413</v>
      </c>
      <c r="B1688">
        <v>5</v>
      </c>
      <c r="C1688" t="s">
        <v>38</v>
      </c>
      <c r="D1688" t="s">
        <v>58</v>
      </c>
      <c r="E1688">
        <v>2024</v>
      </c>
      <c r="F1688" t="s">
        <v>30</v>
      </c>
      <c r="G1688" t="s">
        <v>20</v>
      </c>
      <c r="H1688" t="s">
        <v>18</v>
      </c>
      <c r="I1688" t="s">
        <v>31</v>
      </c>
      <c r="J1688">
        <v>16474.990000000002</v>
      </c>
      <c r="K1688">
        <v>16525.55</v>
      </c>
      <c r="L1688" s="20">
        <f>tbl_Budget[[#This Row],[Actual]]-tbl_Budget[[#This Row],[Budget]]</f>
        <v>50.559999999997672</v>
      </c>
      <c r="M1688" s="3">
        <f>tbl_Budget[[#This Row],[Variance]]/tbl_Budget[[#This Row],[Budget]]</f>
        <v>3.0688941237595694E-3</v>
      </c>
      <c r="N1688" t="str">
        <f>IF(tbl_Budget[[#This Row],[Variance_%]]&gt;0.05,"Overspend",IF(tbl_Budget[[#This Row],[Variance_%]]&lt;-0.05,"Underspend","On Budget"))</f>
        <v>On Budget</v>
      </c>
    </row>
    <row r="1689" spans="1:14" hidden="1">
      <c r="A1689" s="1">
        <v>45413</v>
      </c>
      <c r="B1689">
        <v>5</v>
      </c>
      <c r="C1689" t="s">
        <v>38</v>
      </c>
      <c r="D1689" t="s">
        <v>58</v>
      </c>
      <c r="E1689">
        <v>2024</v>
      </c>
      <c r="F1689" t="s">
        <v>30</v>
      </c>
      <c r="G1689" t="s">
        <v>20</v>
      </c>
      <c r="H1689" t="s">
        <v>19</v>
      </c>
      <c r="I1689" t="s">
        <v>31</v>
      </c>
      <c r="J1689">
        <v>17903.259999999998</v>
      </c>
      <c r="K1689">
        <v>17800.2</v>
      </c>
      <c r="L1689" s="20">
        <f>tbl_Budget[[#This Row],[Actual]]-tbl_Budget[[#This Row],[Budget]]</f>
        <v>-103.05999999999767</v>
      </c>
      <c r="M1689" s="3">
        <f>tbl_Budget[[#This Row],[Variance]]/tbl_Budget[[#This Row],[Budget]]</f>
        <v>-5.7564935101203736E-3</v>
      </c>
      <c r="N1689" t="str">
        <f>IF(tbl_Budget[[#This Row],[Variance_%]]&gt;0.05,"Overspend",IF(tbl_Budget[[#This Row],[Variance_%]]&lt;-0.05,"Underspend","On Budget"))</f>
        <v>On Budget</v>
      </c>
    </row>
    <row r="1690" spans="1:14">
      <c r="A1690" s="1">
        <v>45413</v>
      </c>
      <c r="B1690">
        <v>5</v>
      </c>
      <c r="C1690" t="s">
        <v>38</v>
      </c>
      <c r="D1690" t="s">
        <v>58</v>
      </c>
      <c r="E1690">
        <v>2024</v>
      </c>
      <c r="F1690" t="s">
        <v>30</v>
      </c>
      <c r="G1690" t="s">
        <v>21</v>
      </c>
      <c r="H1690" t="s">
        <v>15</v>
      </c>
      <c r="I1690" t="s">
        <v>31</v>
      </c>
      <c r="J1690">
        <v>7379.03</v>
      </c>
      <c r="K1690">
        <v>7032.45</v>
      </c>
      <c r="L1690" s="20">
        <f>tbl_Budget[[#This Row],[Actual]]-tbl_Budget[[#This Row],[Budget]]</f>
        <v>-346.57999999999993</v>
      </c>
      <c r="M1690" s="3">
        <f>tbl_Budget[[#This Row],[Variance]]/tbl_Budget[[#This Row],[Budget]]</f>
        <v>-4.696823295202756E-2</v>
      </c>
      <c r="N1690" t="str">
        <f>IF(tbl_Budget[[#This Row],[Variance_%]]&gt;0.05,"Overspend",IF(tbl_Budget[[#This Row],[Variance_%]]&lt;-0.05,"Underspend","On Budget"))</f>
        <v>On Budget</v>
      </c>
    </row>
    <row r="1691" spans="1:14">
      <c r="A1691" s="1">
        <v>45413</v>
      </c>
      <c r="B1691">
        <v>5</v>
      </c>
      <c r="C1691" t="s">
        <v>38</v>
      </c>
      <c r="D1691" t="s">
        <v>58</v>
      </c>
      <c r="E1691">
        <v>2024</v>
      </c>
      <c r="F1691" t="s">
        <v>30</v>
      </c>
      <c r="G1691" t="s">
        <v>21</v>
      </c>
      <c r="H1691" t="s">
        <v>17</v>
      </c>
      <c r="I1691" t="s">
        <v>31</v>
      </c>
      <c r="J1691">
        <v>6878.58</v>
      </c>
      <c r="K1691">
        <v>7233.5</v>
      </c>
      <c r="L1691" s="20">
        <f>tbl_Budget[[#This Row],[Actual]]-tbl_Budget[[#This Row],[Budget]]</f>
        <v>354.92000000000007</v>
      </c>
      <c r="M1691" s="3">
        <f>tbl_Budget[[#This Row],[Variance]]/tbl_Budget[[#This Row],[Budget]]</f>
        <v>5.1597858860404341E-2</v>
      </c>
      <c r="N1691" t="str">
        <f>IF(tbl_Budget[[#This Row],[Variance_%]]&gt;0.05,"Overspend",IF(tbl_Budget[[#This Row],[Variance_%]]&lt;-0.05,"Underspend","On Budget"))</f>
        <v>Overspend</v>
      </c>
    </row>
    <row r="1692" spans="1:14">
      <c r="A1692" s="1">
        <v>45413</v>
      </c>
      <c r="B1692">
        <v>5</v>
      </c>
      <c r="C1692" t="s">
        <v>38</v>
      </c>
      <c r="D1692" t="s">
        <v>58</v>
      </c>
      <c r="E1692">
        <v>2024</v>
      </c>
      <c r="F1692" t="s">
        <v>30</v>
      </c>
      <c r="G1692" t="s">
        <v>21</v>
      </c>
      <c r="H1692" t="s">
        <v>18</v>
      </c>
      <c r="I1692" t="s">
        <v>31</v>
      </c>
      <c r="J1692">
        <v>7055.74</v>
      </c>
      <c r="K1692">
        <v>6788.26</v>
      </c>
      <c r="L1692" s="20">
        <f>tbl_Budget[[#This Row],[Actual]]-tbl_Budget[[#This Row],[Budget]]</f>
        <v>-267.47999999999956</v>
      </c>
      <c r="M1692" s="3">
        <f>tbl_Budget[[#This Row],[Variance]]/tbl_Budget[[#This Row],[Budget]]</f>
        <v>-3.7909560159529627E-2</v>
      </c>
      <c r="N1692" t="str">
        <f>IF(tbl_Budget[[#This Row],[Variance_%]]&gt;0.05,"Overspend",IF(tbl_Budget[[#This Row],[Variance_%]]&lt;-0.05,"Underspend","On Budget"))</f>
        <v>On Budget</v>
      </c>
    </row>
    <row r="1693" spans="1:14">
      <c r="A1693" s="1">
        <v>45413</v>
      </c>
      <c r="B1693">
        <v>5</v>
      </c>
      <c r="C1693" t="s">
        <v>38</v>
      </c>
      <c r="D1693" t="s">
        <v>58</v>
      </c>
      <c r="E1693">
        <v>2024</v>
      </c>
      <c r="F1693" t="s">
        <v>30</v>
      </c>
      <c r="G1693" t="s">
        <v>21</v>
      </c>
      <c r="H1693" t="s">
        <v>19</v>
      </c>
      <c r="I1693" t="s">
        <v>31</v>
      </c>
      <c r="J1693">
        <v>7631.3</v>
      </c>
      <c r="K1693">
        <v>7917.1</v>
      </c>
      <c r="L1693" s="20">
        <f>tbl_Budget[[#This Row],[Actual]]-tbl_Budget[[#This Row],[Budget]]</f>
        <v>285.80000000000018</v>
      </c>
      <c r="M1693" s="3">
        <f>tbl_Budget[[#This Row],[Variance]]/tbl_Budget[[#This Row],[Budget]]</f>
        <v>3.7451024071914377E-2</v>
      </c>
      <c r="N1693" t="str">
        <f>IF(tbl_Budget[[#This Row],[Variance_%]]&gt;0.05,"Overspend",IF(tbl_Budget[[#This Row],[Variance_%]]&lt;-0.05,"Underspend","On Budget"))</f>
        <v>On Budget</v>
      </c>
    </row>
    <row r="1694" spans="1:14" hidden="1">
      <c r="A1694" s="1">
        <v>45413</v>
      </c>
      <c r="B1694">
        <v>5</v>
      </c>
      <c r="C1694" t="s">
        <v>38</v>
      </c>
      <c r="D1694" t="s">
        <v>58</v>
      </c>
      <c r="E1694">
        <v>2024</v>
      </c>
      <c r="F1694" t="s">
        <v>30</v>
      </c>
      <c r="G1694" t="s">
        <v>22</v>
      </c>
      <c r="H1694" t="s">
        <v>15</v>
      </c>
      <c r="I1694" t="s">
        <v>31</v>
      </c>
      <c r="J1694">
        <v>7424.78</v>
      </c>
      <c r="K1694">
        <v>7044.54</v>
      </c>
      <c r="L1694" s="20">
        <f>tbl_Budget[[#This Row],[Actual]]-tbl_Budget[[#This Row],[Budget]]</f>
        <v>-380.23999999999978</v>
      </c>
      <c r="M1694" s="3">
        <f>tbl_Budget[[#This Row],[Variance]]/tbl_Budget[[#This Row],[Budget]]</f>
        <v>-5.1212291812013255E-2</v>
      </c>
      <c r="N1694" t="str">
        <f>IF(tbl_Budget[[#This Row],[Variance_%]]&gt;0.05,"Overspend",IF(tbl_Budget[[#This Row],[Variance_%]]&lt;-0.05,"Underspend","On Budget"))</f>
        <v>Underspend</v>
      </c>
    </row>
    <row r="1695" spans="1:14" hidden="1">
      <c r="A1695" s="1">
        <v>45413</v>
      </c>
      <c r="B1695">
        <v>5</v>
      </c>
      <c r="C1695" t="s">
        <v>38</v>
      </c>
      <c r="D1695" t="s">
        <v>58</v>
      </c>
      <c r="E1695">
        <v>2024</v>
      </c>
      <c r="F1695" t="s">
        <v>30</v>
      </c>
      <c r="G1695" t="s">
        <v>22</v>
      </c>
      <c r="H1695" t="s">
        <v>17</v>
      </c>
      <c r="I1695" t="s">
        <v>31</v>
      </c>
      <c r="J1695">
        <v>7407.24</v>
      </c>
      <c r="K1695">
        <v>7506.66</v>
      </c>
      <c r="L1695" s="20">
        <f>tbl_Budget[[#This Row],[Actual]]-tbl_Budget[[#This Row],[Budget]]</f>
        <v>99.420000000000073</v>
      </c>
      <c r="M1695" s="3">
        <f>tbl_Budget[[#This Row],[Variance]]/tbl_Budget[[#This Row],[Budget]]</f>
        <v>1.3422003337275433E-2</v>
      </c>
      <c r="N1695" t="str">
        <f>IF(tbl_Budget[[#This Row],[Variance_%]]&gt;0.05,"Overspend",IF(tbl_Budget[[#This Row],[Variance_%]]&lt;-0.05,"Underspend","On Budget"))</f>
        <v>On Budget</v>
      </c>
    </row>
    <row r="1696" spans="1:14" hidden="1">
      <c r="A1696" s="1">
        <v>45413</v>
      </c>
      <c r="B1696">
        <v>5</v>
      </c>
      <c r="C1696" t="s">
        <v>38</v>
      </c>
      <c r="D1696" t="s">
        <v>58</v>
      </c>
      <c r="E1696">
        <v>2024</v>
      </c>
      <c r="F1696" t="s">
        <v>30</v>
      </c>
      <c r="G1696" t="s">
        <v>22</v>
      </c>
      <c r="H1696" t="s">
        <v>18</v>
      </c>
      <c r="I1696" t="s">
        <v>31</v>
      </c>
      <c r="J1696">
        <v>7325.65</v>
      </c>
      <c r="K1696">
        <v>7614.44</v>
      </c>
      <c r="L1696" s="20">
        <f>tbl_Budget[[#This Row],[Actual]]-tbl_Budget[[#This Row],[Budget]]</f>
        <v>288.78999999999996</v>
      </c>
      <c r="M1696" s="3">
        <f>tbl_Budget[[#This Row],[Variance]]/tbl_Budget[[#This Row],[Budget]]</f>
        <v>3.9421757796236509E-2</v>
      </c>
      <c r="N1696" t="str">
        <f>IF(tbl_Budget[[#This Row],[Variance_%]]&gt;0.05,"Overspend",IF(tbl_Budget[[#This Row],[Variance_%]]&lt;-0.05,"Underspend","On Budget"))</f>
        <v>On Budget</v>
      </c>
    </row>
    <row r="1697" spans="1:14" hidden="1">
      <c r="A1697" s="1">
        <v>45413</v>
      </c>
      <c r="B1697">
        <v>5</v>
      </c>
      <c r="C1697" t="s">
        <v>38</v>
      </c>
      <c r="D1697" t="s">
        <v>58</v>
      </c>
      <c r="E1697">
        <v>2024</v>
      </c>
      <c r="F1697" t="s">
        <v>30</v>
      </c>
      <c r="G1697" t="s">
        <v>22</v>
      </c>
      <c r="H1697" t="s">
        <v>19</v>
      </c>
      <c r="I1697" t="s">
        <v>31</v>
      </c>
      <c r="J1697">
        <v>8083.78</v>
      </c>
      <c r="K1697">
        <v>8401.02</v>
      </c>
      <c r="L1697" s="20">
        <f>tbl_Budget[[#This Row],[Actual]]-tbl_Budget[[#This Row],[Budget]]</f>
        <v>317.24000000000069</v>
      </c>
      <c r="M1697" s="3">
        <f>tbl_Budget[[#This Row],[Variance]]/tbl_Budget[[#This Row],[Budget]]</f>
        <v>3.9244017031636276E-2</v>
      </c>
      <c r="N1697" t="str">
        <f>IF(tbl_Budget[[#This Row],[Variance_%]]&gt;0.05,"Overspend",IF(tbl_Budget[[#This Row],[Variance_%]]&lt;-0.05,"Underspend","On Budget"))</f>
        <v>On Budget</v>
      </c>
    </row>
    <row r="1698" spans="1:14" hidden="1">
      <c r="A1698" s="1">
        <v>45413</v>
      </c>
      <c r="B1698">
        <v>5</v>
      </c>
      <c r="C1698" t="s">
        <v>38</v>
      </c>
      <c r="D1698" t="s">
        <v>58</v>
      </c>
      <c r="E1698">
        <v>2024</v>
      </c>
      <c r="F1698" t="s">
        <v>30</v>
      </c>
      <c r="G1698" t="s">
        <v>23</v>
      </c>
      <c r="H1698" t="s">
        <v>15</v>
      </c>
      <c r="I1698" t="s">
        <v>31</v>
      </c>
      <c r="J1698">
        <v>6693.21</v>
      </c>
      <c r="K1698">
        <v>6564.55</v>
      </c>
      <c r="L1698" s="20">
        <f>tbl_Budget[[#This Row],[Actual]]-tbl_Budget[[#This Row],[Budget]]</f>
        <v>-128.65999999999985</v>
      </c>
      <c r="M1698" s="3">
        <f>tbl_Budget[[#This Row],[Variance]]/tbl_Budget[[#This Row],[Budget]]</f>
        <v>-1.9222465752605979E-2</v>
      </c>
      <c r="N1698" t="str">
        <f>IF(tbl_Budget[[#This Row],[Variance_%]]&gt;0.05,"Overspend",IF(tbl_Budget[[#This Row],[Variance_%]]&lt;-0.05,"Underspend","On Budget"))</f>
        <v>On Budget</v>
      </c>
    </row>
    <row r="1699" spans="1:14" hidden="1">
      <c r="A1699" s="1">
        <v>45413</v>
      </c>
      <c r="B1699">
        <v>5</v>
      </c>
      <c r="C1699" t="s">
        <v>38</v>
      </c>
      <c r="D1699" t="s">
        <v>58</v>
      </c>
      <c r="E1699">
        <v>2024</v>
      </c>
      <c r="F1699" t="s">
        <v>30</v>
      </c>
      <c r="G1699" t="s">
        <v>23</v>
      </c>
      <c r="H1699" t="s">
        <v>17</v>
      </c>
      <c r="I1699" t="s">
        <v>31</v>
      </c>
      <c r="J1699">
        <v>6067.32</v>
      </c>
      <c r="K1699">
        <v>6017.29</v>
      </c>
      <c r="L1699" s="20">
        <f>tbl_Budget[[#This Row],[Actual]]-tbl_Budget[[#This Row],[Budget]]</f>
        <v>-50.029999999999745</v>
      </c>
      <c r="M1699" s="3">
        <f>tbl_Budget[[#This Row],[Variance]]/tbl_Budget[[#This Row],[Budget]]</f>
        <v>-8.2458152858263193E-3</v>
      </c>
      <c r="N1699" t="str">
        <f>IF(tbl_Budget[[#This Row],[Variance_%]]&gt;0.05,"Overspend",IF(tbl_Budget[[#This Row],[Variance_%]]&lt;-0.05,"Underspend","On Budget"))</f>
        <v>On Budget</v>
      </c>
    </row>
    <row r="1700" spans="1:14" hidden="1">
      <c r="A1700" s="1">
        <v>45413</v>
      </c>
      <c r="B1700">
        <v>5</v>
      </c>
      <c r="C1700" t="s">
        <v>38</v>
      </c>
      <c r="D1700" t="s">
        <v>58</v>
      </c>
      <c r="E1700">
        <v>2024</v>
      </c>
      <c r="F1700" t="s">
        <v>30</v>
      </c>
      <c r="G1700" t="s">
        <v>23</v>
      </c>
      <c r="H1700" t="s">
        <v>18</v>
      </c>
      <c r="I1700" t="s">
        <v>31</v>
      </c>
      <c r="J1700">
        <v>6181.54</v>
      </c>
      <c r="K1700">
        <v>5854.18</v>
      </c>
      <c r="L1700" s="20">
        <f>tbl_Budget[[#This Row],[Actual]]-tbl_Budget[[#This Row],[Budget]]</f>
        <v>-327.35999999999967</v>
      </c>
      <c r="M1700" s="3">
        <f>tbl_Budget[[#This Row],[Variance]]/tbl_Budget[[#This Row],[Budget]]</f>
        <v>-5.2957677213121598E-2</v>
      </c>
      <c r="N1700" t="str">
        <f>IF(tbl_Budget[[#This Row],[Variance_%]]&gt;0.05,"Overspend",IF(tbl_Budget[[#This Row],[Variance_%]]&lt;-0.05,"Underspend","On Budget"))</f>
        <v>Underspend</v>
      </c>
    </row>
    <row r="1701" spans="1:14" hidden="1">
      <c r="A1701" s="1">
        <v>45413</v>
      </c>
      <c r="B1701">
        <v>5</v>
      </c>
      <c r="C1701" t="s">
        <v>38</v>
      </c>
      <c r="D1701" t="s">
        <v>58</v>
      </c>
      <c r="E1701">
        <v>2024</v>
      </c>
      <c r="F1701" t="s">
        <v>30</v>
      </c>
      <c r="G1701" t="s">
        <v>23</v>
      </c>
      <c r="H1701" t="s">
        <v>19</v>
      </c>
      <c r="I1701" t="s">
        <v>31</v>
      </c>
      <c r="J1701">
        <v>6828.93</v>
      </c>
      <c r="K1701">
        <v>6771.4</v>
      </c>
      <c r="L1701" s="20">
        <f>tbl_Budget[[#This Row],[Actual]]-tbl_Budget[[#This Row],[Budget]]</f>
        <v>-57.530000000000655</v>
      </c>
      <c r="M1701" s="3">
        <f>tbl_Budget[[#This Row],[Variance]]/tbl_Budget[[#This Row],[Budget]]</f>
        <v>-8.424453025583898E-3</v>
      </c>
      <c r="N1701" t="str">
        <f>IF(tbl_Budget[[#This Row],[Variance_%]]&gt;0.05,"Overspend",IF(tbl_Budget[[#This Row],[Variance_%]]&lt;-0.05,"Underspend","On Budget"))</f>
        <v>On Budget</v>
      </c>
    </row>
    <row r="1702" spans="1:14" hidden="1">
      <c r="A1702" s="1">
        <v>45444</v>
      </c>
      <c r="B1702">
        <v>6</v>
      </c>
      <c r="C1702" t="s">
        <v>40</v>
      </c>
      <c r="D1702" t="s">
        <v>59</v>
      </c>
      <c r="E1702">
        <v>2024</v>
      </c>
      <c r="F1702" t="s">
        <v>13</v>
      </c>
      <c r="G1702" t="s">
        <v>14</v>
      </c>
      <c r="H1702" t="s">
        <v>15</v>
      </c>
      <c r="I1702" t="s">
        <v>16</v>
      </c>
      <c r="J1702">
        <v>52393.06</v>
      </c>
      <c r="K1702">
        <v>62086.48</v>
      </c>
      <c r="L1702" s="20">
        <f>tbl_Budget[[#This Row],[Actual]]-tbl_Budget[[#This Row],[Budget]]</f>
        <v>9693.4200000000055</v>
      </c>
      <c r="M1702" s="3">
        <f>tbl_Budget[[#This Row],[Variance]]/tbl_Budget[[#This Row],[Budget]]</f>
        <v>0.18501343498547337</v>
      </c>
      <c r="N1702" t="str">
        <f>IF(tbl_Budget[[#This Row],[Variance_%]]&gt;0.05,"Overspend",IF(tbl_Budget[[#This Row],[Variance_%]]&lt;-0.05,"Underspend","On Budget"))</f>
        <v>Overspend</v>
      </c>
    </row>
    <row r="1703" spans="1:14" hidden="1">
      <c r="A1703" s="1">
        <v>45444</v>
      </c>
      <c r="B1703">
        <v>6</v>
      </c>
      <c r="C1703" t="s">
        <v>40</v>
      </c>
      <c r="D1703" t="s">
        <v>59</v>
      </c>
      <c r="E1703">
        <v>2024</v>
      </c>
      <c r="F1703" t="s">
        <v>13</v>
      </c>
      <c r="G1703" t="s">
        <v>14</v>
      </c>
      <c r="H1703" t="s">
        <v>17</v>
      </c>
      <c r="I1703" t="s">
        <v>16</v>
      </c>
      <c r="J1703">
        <v>48175.96</v>
      </c>
      <c r="K1703">
        <v>56381.51</v>
      </c>
      <c r="L1703" s="20">
        <f>tbl_Budget[[#This Row],[Actual]]-tbl_Budget[[#This Row],[Budget]]</f>
        <v>8205.5500000000029</v>
      </c>
      <c r="M1703" s="3">
        <f>tbl_Budget[[#This Row],[Variance]]/tbl_Budget[[#This Row],[Budget]]</f>
        <v>0.17032457682213292</v>
      </c>
      <c r="N1703" t="str">
        <f>IF(tbl_Budget[[#This Row],[Variance_%]]&gt;0.05,"Overspend",IF(tbl_Budget[[#This Row],[Variance_%]]&lt;-0.05,"Underspend","On Budget"))</f>
        <v>Overspend</v>
      </c>
    </row>
    <row r="1704" spans="1:14" hidden="1">
      <c r="A1704" s="1">
        <v>45444</v>
      </c>
      <c r="B1704">
        <v>6</v>
      </c>
      <c r="C1704" t="s">
        <v>40</v>
      </c>
      <c r="D1704" t="s">
        <v>59</v>
      </c>
      <c r="E1704">
        <v>2024</v>
      </c>
      <c r="F1704" t="s">
        <v>13</v>
      </c>
      <c r="G1704" t="s">
        <v>14</v>
      </c>
      <c r="H1704" t="s">
        <v>18</v>
      </c>
      <c r="I1704" t="s">
        <v>16</v>
      </c>
      <c r="J1704">
        <v>49014.66</v>
      </c>
      <c r="K1704">
        <v>57141.22</v>
      </c>
      <c r="L1704" s="20">
        <f>tbl_Budget[[#This Row],[Actual]]-tbl_Budget[[#This Row],[Budget]]</f>
        <v>8126.5599999999977</v>
      </c>
      <c r="M1704" s="3">
        <f>tbl_Budget[[#This Row],[Variance]]/tbl_Budget[[#This Row],[Budget]]</f>
        <v>0.16579855904335555</v>
      </c>
      <c r="N1704" t="str">
        <f>IF(tbl_Budget[[#This Row],[Variance_%]]&gt;0.05,"Overspend",IF(tbl_Budget[[#This Row],[Variance_%]]&lt;-0.05,"Underspend","On Budget"))</f>
        <v>Overspend</v>
      </c>
    </row>
    <row r="1705" spans="1:14" hidden="1">
      <c r="A1705" s="1">
        <v>45444</v>
      </c>
      <c r="B1705">
        <v>6</v>
      </c>
      <c r="C1705" t="s">
        <v>40</v>
      </c>
      <c r="D1705" t="s">
        <v>59</v>
      </c>
      <c r="E1705">
        <v>2024</v>
      </c>
      <c r="F1705" t="s">
        <v>13</v>
      </c>
      <c r="G1705" t="s">
        <v>14</v>
      </c>
      <c r="H1705" t="s">
        <v>19</v>
      </c>
      <c r="I1705" t="s">
        <v>16</v>
      </c>
      <c r="J1705">
        <v>52336.05</v>
      </c>
      <c r="K1705">
        <v>61473.32</v>
      </c>
      <c r="L1705" s="20">
        <f>tbl_Budget[[#This Row],[Actual]]-tbl_Budget[[#This Row],[Budget]]</f>
        <v>9137.2699999999968</v>
      </c>
      <c r="M1705" s="3">
        <f>tbl_Budget[[#This Row],[Variance]]/tbl_Budget[[#This Row],[Budget]]</f>
        <v>0.17458845289241348</v>
      </c>
      <c r="N1705" t="str">
        <f>IF(tbl_Budget[[#This Row],[Variance_%]]&gt;0.05,"Overspend",IF(tbl_Budget[[#This Row],[Variance_%]]&lt;-0.05,"Underspend","On Budget"))</f>
        <v>Overspend</v>
      </c>
    </row>
    <row r="1706" spans="1:14" hidden="1">
      <c r="A1706" s="1">
        <v>45444</v>
      </c>
      <c r="B1706">
        <v>6</v>
      </c>
      <c r="C1706" t="s">
        <v>40</v>
      </c>
      <c r="D1706" t="s">
        <v>59</v>
      </c>
      <c r="E1706">
        <v>2024</v>
      </c>
      <c r="F1706" t="s">
        <v>13</v>
      </c>
      <c r="G1706" t="s">
        <v>20</v>
      </c>
      <c r="H1706" t="s">
        <v>15</v>
      </c>
      <c r="I1706" t="s">
        <v>16</v>
      </c>
      <c r="J1706">
        <v>19780.13</v>
      </c>
      <c r="K1706">
        <v>21708.53</v>
      </c>
      <c r="L1706" s="20">
        <f>tbl_Budget[[#This Row],[Actual]]-tbl_Budget[[#This Row],[Budget]]</f>
        <v>1928.3999999999978</v>
      </c>
      <c r="M1706" s="3">
        <f>tbl_Budget[[#This Row],[Variance]]/tbl_Budget[[#This Row],[Budget]]</f>
        <v>9.7491775837671324E-2</v>
      </c>
      <c r="N1706" t="str">
        <f>IF(tbl_Budget[[#This Row],[Variance_%]]&gt;0.05,"Overspend",IF(tbl_Budget[[#This Row],[Variance_%]]&lt;-0.05,"Underspend","On Budget"))</f>
        <v>Overspend</v>
      </c>
    </row>
    <row r="1707" spans="1:14" hidden="1">
      <c r="A1707" s="1">
        <v>45444</v>
      </c>
      <c r="B1707">
        <v>6</v>
      </c>
      <c r="C1707" t="s">
        <v>40</v>
      </c>
      <c r="D1707" t="s">
        <v>59</v>
      </c>
      <c r="E1707">
        <v>2024</v>
      </c>
      <c r="F1707" t="s">
        <v>13</v>
      </c>
      <c r="G1707" t="s">
        <v>20</v>
      </c>
      <c r="H1707" t="s">
        <v>17</v>
      </c>
      <c r="I1707" t="s">
        <v>16</v>
      </c>
      <c r="J1707">
        <v>17946.98</v>
      </c>
      <c r="K1707">
        <v>19887.32</v>
      </c>
      <c r="L1707" s="20">
        <f>tbl_Budget[[#This Row],[Actual]]-tbl_Budget[[#This Row],[Budget]]</f>
        <v>1940.3400000000001</v>
      </c>
      <c r="M1707" s="3">
        <f>tbl_Budget[[#This Row],[Variance]]/tbl_Budget[[#This Row],[Budget]]</f>
        <v>0.10811512577603587</v>
      </c>
      <c r="N1707" t="str">
        <f>IF(tbl_Budget[[#This Row],[Variance_%]]&gt;0.05,"Overspend",IF(tbl_Budget[[#This Row],[Variance_%]]&lt;-0.05,"Underspend","On Budget"))</f>
        <v>Overspend</v>
      </c>
    </row>
    <row r="1708" spans="1:14" hidden="1">
      <c r="A1708" s="1">
        <v>45444</v>
      </c>
      <c r="B1708">
        <v>6</v>
      </c>
      <c r="C1708" t="s">
        <v>40</v>
      </c>
      <c r="D1708" t="s">
        <v>59</v>
      </c>
      <c r="E1708">
        <v>2024</v>
      </c>
      <c r="F1708" t="s">
        <v>13</v>
      </c>
      <c r="G1708" t="s">
        <v>20</v>
      </c>
      <c r="H1708" t="s">
        <v>18</v>
      </c>
      <c r="I1708" t="s">
        <v>16</v>
      </c>
      <c r="J1708">
        <v>18827.919999999998</v>
      </c>
      <c r="K1708">
        <v>21773.96</v>
      </c>
      <c r="L1708" s="20">
        <f>tbl_Budget[[#This Row],[Actual]]-tbl_Budget[[#This Row],[Budget]]</f>
        <v>2946.0400000000009</v>
      </c>
      <c r="M1708" s="3">
        <f>tbl_Budget[[#This Row],[Variance]]/tbl_Budget[[#This Row],[Budget]]</f>
        <v>0.15647187793447184</v>
      </c>
      <c r="N1708" t="str">
        <f>IF(tbl_Budget[[#This Row],[Variance_%]]&gt;0.05,"Overspend",IF(tbl_Budget[[#This Row],[Variance_%]]&lt;-0.05,"Underspend","On Budget"))</f>
        <v>Overspend</v>
      </c>
    </row>
    <row r="1709" spans="1:14" hidden="1">
      <c r="A1709" s="1">
        <v>45444</v>
      </c>
      <c r="B1709">
        <v>6</v>
      </c>
      <c r="C1709" t="s">
        <v>40</v>
      </c>
      <c r="D1709" t="s">
        <v>59</v>
      </c>
      <c r="E1709">
        <v>2024</v>
      </c>
      <c r="F1709" t="s">
        <v>13</v>
      </c>
      <c r="G1709" t="s">
        <v>20</v>
      </c>
      <c r="H1709" t="s">
        <v>19</v>
      </c>
      <c r="I1709" t="s">
        <v>16</v>
      </c>
      <c r="J1709">
        <v>20001.71</v>
      </c>
      <c r="K1709">
        <v>22084.84</v>
      </c>
      <c r="L1709" s="20">
        <f>tbl_Budget[[#This Row],[Actual]]-tbl_Budget[[#This Row],[Budget]]</f>
        <v>2083.130000000001</v>
      </c>
      <c r="M1709" s="3">
        <f>tbl_Budget[[#This Row],[Variance]]/tbl_Budget[[#This Row],[Budget]]</f>
        <v>0.10414759538059501</v>
      </c>
      <c r="N1709" t="str">
        <f>IF(tbl_Budget[[#This Row],[Variance_%]]&gt;0.05,"Overspend",IF(tbl_Budget[[#This Row],[Variance_%]]&lt;-0.05,"Underspend","On Budget"))</f>
        <v>Overspend</v>
      </c>
    </row>
    <row r="1710" spans="1:14">
      <c r="A1710" s="1">
        <v>45444</v>
      </c>
      <c r="B1710">
        <v>6</v>
      </c>
      <c r="C1710" t="s">
        <v>40</v>
      </c>
      <c r="D1710" t="s">
        <v>59</v>
      </c>
      <c r="E1710">
        <v>2024</v>
      </c>
      <c r="F1710" t="s">
        <v>13</v>
      </c>
      <c r="G1710" t="s">
        <v>21</v>
      </c>
      <c r="H1710" t="s">
        <v>15</v>
      </c>
      <c r="I1710" t="s">
        <v>16</v>
      </c>
      <c r="J1710">
        <v>10614.03</v>
      </c>
      <c r="K1710">
        <v>12474.55</v>
      </c>
      <c r="L1710" s="20">
        <f>tbl_Budget[[#This Row],[Actual]]-tbl_Budget[[#This Row],[Budget]]</f>
        <v>1860.5199999999986</v>
      </c>
      <c r="M1710" s="3">
        <f>tbl_Budget[[#This Row],[Variance]]/tbl_Budget[[#This Row],[Budget]]</f>
        <v>0.17528874517972895</v>
      </c>
      <c r="N1710" t="str">
        <f>IF(tbl_Budget[[#This Row],[Variance_%]]&gt;0.05,"Overspend",IF(tbl_Budget[[#This Row],[Variance_%]]&lt;-0.05,"Underspend","On Budget"))</f>
        <v>Overspend</v>
      </c>
    </row>
    <row r="1711" spans="1:14">
      <c r="A1711" s="1">
        <v>45444</v>
      </c>
      <c r="B1711">
        <v>6</v>
      </c>
      <c r="C1711" t="s">
        <v>40</v>
      </c>
      <c r="D1711" t="s">
        <v>59</v>
      </c>
      <c r="E1711">
        <v>2024</v>
      </c>
      <c r="F1711" t="s">
        <v>13</v>
      </c>
      <c r="G1711" t="s">
        <v>21</v>
      </c>
      <c r="H1711" t="s">
        <v>17</v>
      </c>
      <c r="I1711" t="s">
        <v>16</v>
      </c>
      <c r="J1711">
        <v>10395.24</v>
      </c>
      <c r="K1711">
        <v>12382.98</v>
      </c>
      <c r="L1711" s="20">
        <f>tbl_Budget[[#This Row],[Actual]]-tbl_Budget[[#This Row],[Budget]]</f>
        <v>1987.7399999999998</v>
      </c>
      <c r="M1711" s="3">
        <f>tbl_Budget[[#This Row],[Variance]]/tbl_Budget[[#This Row],[Budget]]</f>
        <v>0.19121636441294282</v>
      </c>
      <c r="N1711" t="str">
        <f>IF(tbl_Budget[[#This Row],[Variance_%]]&gt;0.05,"Overspend",IF(tbl_Budget[[#This Row],[Variance_%]]&lt;-0.05,"Underspend","On Budget"))</f>
        <v>Overspend</v>
      </c>
    </row>
    <row r="1712" spans="1:14">
      <c r="A1712" s="1">
        <v>45444</v>
      </c>
      <c r="B1712">
        <v>6</v>
      </c>
      <c r="C1712" t="s">
        <v>40</v>
      </c>
      <c r="D1712" t="s">
        <v>59</v>
      </c>
      <c r="E1712">
        <v>2024</v>
      </c>
      <c r="F1712" t="s">
        <v>13</v>
      </c>
      <c r="G1712" t="s">
        <v>21</v>
      </c>
      <c r="H1712" t="s">
        <v>18</v>
      </c>
      <c r="I1712" t="s">
        <v>16</v>
      </c>
      <c r="J1712">
        <v>10656.91</v>
      </c>
      <c r="K1712">
        <v>12354.97</v>
      </c>
      <c r="L1712" s="20">
        <f>tbl_Budget[[#This Row],[Actual]]-tbl_Budget[[#This Row],[Budget]]</f>
        <v>1698.0599999999995</v>
      </c>
      <c r="M1712" s="3">
        <f>tbl_Budget[[#This Row],[Variance]]/tbl_Budget[[#This Row],[Budget]]</f>
        <v>0.15933887027290269</v>
      </c>
      <c r="N1712" t="str">
        <f>IF(tbl_Budget[[#This Row],[Variance_%]]&gt;0.05,"Overspend",IF(tbl_Budget[[#This Row],[Variance_%]]&lt;-0.05,"Underspend","On Budget"))</f>
        <v>Overspend</v>
      </c>
    </row>
    <row r="1713" spans="1:14">
      <c r="A1713" s="1">
        <v>45444</v>
      </c>
      <c r="B1713">
        <v>6</v>
      </c>
      <c r="C1713" t="s">
        <v>40</v>
      </c>
      <c r="D1713" t="s">
        <v>59</v>
      </c>
      <c r="E1713">
        <v>2024</v>
      </c>
      <c r="F1713" t="s">
        <v>13</v>
      </c>
      <c r="G1713" t="s">
        <v>21</v>
      </c>
      <c r="H1713" t="s">
        <v>19</v>
      </c>
      <c r="I1713" t="s">
        <v>16</v>
      </c>
      <c r="J1713">
        <v>11448.1</v>
      </c>
      <c r="K1713">
        <v>13729.74</v>
      </c>
      <c r="L1713" s="20">
        <f>tbl_Budget[[#This Row],[Actual]]-tbl_Budget[[#This Row],[Budget]]</f>
        <v>2281.6399999999994</v>
      </c>
      <c r="M1713" s="3">
        <f>tbl_Budget[[#This Row],[Variance]]/tbl_Budget[[#This Row],[Budget]]</f>
        <v>0.19930294109939634</v>
      </c>
      <c r="N1713" t="str">
        <f>IF(tbl_Budget[[#This Row],[Variance_%]]&gt;0.05,"Overspend",IF(tbl_Budget[[#This Row],[Variance_%]]&lt;-0.05,"Underspend","On Budget"))</f>
        <v>Overspend</v>
      </c>
    </row>
    <row r="1714" spans="1:14" hidden="1">
      <c r="A1714" s="1">
        <v>45444</v>
      </c>
      <c r="B1714">
        <v>6</v>
      </c>
      <c r="C1714" t="s">
        <v>40</v>
      </c>
      <c r="D1714" t="s">
        <v>59</v>
      </c>
      <c r="E1714">
        <v>2024</v>
      </c>
      <c r="F1714" t="s">
        <v>13</v>
      </c>
      <c r="G1714" t="s">
        <v>22</v>
      </c>
      <c r="H1714" t="s">
        <v>15</v>
      </c>
      <c r="I1714" t="s">
        <v>16</v>
      </c>
      <c r="J1714">
        <v>8453.2099999999991</v>
      </c>
      <c r="K1714">
        <v>9638.33</v>
      </c>
      <c r="L1714" s="20">
        <f>tbl_Budget[[#This Row],[Actual]]-tbl_Budget[[#This Row],[Budget]]</f>
        <v>1185.1200000000008</v>
      </c>
      <c r="M1714" s="3">
        <f>tbl_Budget[[#This Row],[Variance]]/tbl_Budget[[#This Row],[Budget]]</f>
        <v>0.14019762906635477</v>
      </c>
      <c r="N1714" t="str">
        <f>IF(tbl_Budget[[#This Row],[Variance_%]]&gt;0.05,"Overspend",IF(tbl_Budget[[#This Row],[Variance_%]]&lt;-0.05,"Underspend","On Budget"))</f>
        <v>Overspend</v>
      </c>
    </row>
    <row r="1715" spans="1:14" hidden="1">
      <c r="A1715" s="1">
        <v>45444</v>
      </c>
      <c r="B1715">
        <v>6</v>
      </c>
      <c r="C1715" t="s">
        <v>40</v>
      </c>
      <c r="D1715" t="s">
        <v>59</v>
      </c>
      <c r="E1715">
        <v>2024</v>
      </c>
      <c r="F1715" t="s">
        <v>13</v>
      </c>
      <c r="G1715" t="s">
        <v>22</v>
      </c>
      <c r="H1715" t="s">
        <v>17</v>
      </c>
      <c r="I1715" t="s">
        <v>16</v>
      </c>
      <c r="J1715">
        <v>8091.19</v>
      </c>
      <c r="K1715">
        <v>9048.7800000000007</v>
      </c>
      <c r="L1715" s="20">
        <f>tbl_Budget[[#This Row],[Actual]]-tbl_Budget[[#This Row],[Budget]]</f>
        <v>957.59000000000106</v>
      </c>
      <c r="M1715" s="3">
        <f>tbl_Budget[[#This Row],[Variance]]/tbl_Budget[[#This Row],[Budget]]</f>
        <v>0.11834971122912713</v>
      </c>
      <c r="N1715" t="str">
        <f>IF(tbl_Budget[[#This Row],[Variance_%]]&gt;0.05,"Overspend",IF(tbl_Budget[[#This Row],[Variance_%]]&lt;-0.05,"Underspend","On Budget"))</f>
        <v>Overspend</v>
      </c>
    </row>
    <row r="1716" spans="1:14" hidden="1">
      <c r="A1716" s="1">
        <v>45444</v>
      </c>
      <c r="B1716">
        <v>6</v>
      </c>
      <c r="C1716" t="s">
        <v>40</v>
      </c>
      <c r="D1716" t="s">
        <v>59</v>
      </c>
      <c r="E1716">
        <v>2024</v>
      </c>
      <c r="F1716" t="s">
        <v>13</v>
      </c>
      <c r="G1716" t="s">
        <v>22</v>
      </c>
      <c r="H1716" t="s">
        <v>18</v>
      </c>
      <c r="I1716" t="s">
        <v>16</v>
      </c>
      <c r="J1716">
        <v>8072.19</v>
      </c>
      <c r="K1716">
        <v>9189.0400000000009</v>
      </c>
      <c r="L1716" s="20">
        <f>tbl_Budget[[#This Row],[Actual]]-tbl_Budget[[#This Row],[Budget]]</f>
        <v>1116.8500000000013</v>
      </c>
      <c r="M1716" s="3">
        <f>tbl_Budget[[#This Row],[Variance]]/tbl_Budget[[#This Row],[Budget]]</f>
        <v>0.13835774430482947</v>
      </c>
      <c r="N1716" t="str">
        <f>IF(tbl_Budget[[#This Row],[Variance_%]]&gt;0.05,"Overspend",IF(tbl_Budget[[#This Row],[Variance_%]]&lt;-0.05,"Underspend","On Budget"))</f>
        <v>Overspend</v>
      </c>
    </row>
    <row r="1717" spans="1:14" hidden="1">
      <c r="A1717" s="1">
        <v>45444</v>
      </c>
      <c r="B1717">
        <v>6</v>
      </c>
      <c r="C1717" t="s">
        <v>40</v>
      </c>
      <c r="D1717" t="s">
        <v>59</v>
      </c>
      <c r="E1717">
        <v>2024</v>
      </c>
      <c r="F1717" t="s">
        <v>13</v>
      </c>
      <c r="G1717" t="s">
        <v>22</v>
      </c>
      <c r="H1717" t="s">
        <v>19</v>
      </c>
      <c r="I1717" t="s">
        <v>16</v>
      </c>
      <c r="J1717">
        <v>8557.67</v>
      </c>
      <c r="K1717">
        <v>9539.33</v>
      </c>
      <c r="L1717" s="20">
        <f>tbl_Budget[[#This Row],[Actual]]-tbl_Budget[[#This Row],[Budget]]</f>
        <v>981.65999999999985</v>
      </c>
      <c r="M1717" s="3">
        <f>tbl_Budget[[#This Row],[Variance]]/tbl_Budget[[#This Row],[Budget]]</f>
        <v>0.11471113048294686</v>
      </c>
      <c r="N1717" t="str">
        <f>IF(tbl_Budget[[#This Row],[Variance_%]]&gt;0.05,"Overspend",IF(tbl_Budget[[#This Row],[Variance_%]]&lt;-0.05,"Underspend","On Budget"))</f>
        <v>Overspend</v>
      </c>
    </row>
    <row r="1718" spans="1:14" hidden="1">
      <c r="A1718" s="1">
        <v>45444</v>
      </c>
      <c r="B1718">
        <v>6</v>
      </c>
      <c r="C1718" t="s">
        <v>40</v>
      </c>
      <c r="D1718" t="s">
        <v>59</v>
      </c>
      <c r="E1718">
        <v>2024</v>
      </c>
      <c r="F1718" t="s">
        <v>13</v>
      </c>
      <c r="G1718" t="s">
        <v>23</v>
      </c>
      <c r="H1718" t="s">
        <v>15</v>
      </c>
      <c r="I1718" t="s">
        <v>16</v>
      </c>
      <c r="J1718">
        <v>8501</v>
      </c>
      <c r="K1718">
        <v>9404.1200000000008</v>
      </c>
      <c r="L1718" s="20">
        <f>tbl_Budget[[#This Row],[Actual]]-tbl_Budget[[#This Row],[Budget]]</f>
        <v>903.1200000000008</v>
      </c>
      <c r="M1718" s="3">
        <f>tbl_Budget[[#This Row],[Variance]]/tbl_Budget[[#This Row],[Budget]]</f>
        <v>0.10623691330431723</v>
      </c>
      <c r="N1718" t="str">
        <f>IF(tbl_Budget[[#This Row],[Variance_%]]&gt;0.05,"Overspend",IF(tbl_Budget[[#This Row],[Variance_%]]&lt;-0.05,"Underspend","On Budget"))</f>
        <v>Overspend</v>
      </c>
    </row>
    <row r="1719" spans="1:14" hidden="1">
      <c r="A1719" s="1">
        <v>45444</v>
      </c>
      <c r="B1719">
        <v>6</v>
      </c>
      <c r="C1719" t="s">
        <v>40</v>
      </c>
      <c r="D1719" t="s">
        <v>59</v>
      </c>
      <c r="E1719">
        <v>2024</v>
      </c>
      <c r="F1719" t="s">
        <v>13</v>
      </c>
      <c r="G1719" t="s">
        <v>23</v>
      </c>
      <c r="H1719" t="s">
        <v>17</v>
      </c>
      <c r="I1719" t="s">
        <v>16</v>
      </c>
      <c r="J1719">
        <v>8174.06</v>
      </c>
      <c r="K1719">
        <v>9858.75</v>
      </c>
      <c r="L1719" s="20">
        <f>tbl_Budget[[#This Row],[Actual]]-tbl_Budget[[#This Row],[Budget]]</f>
        <v>1684.6899999999996</v>
      </c>
      <c r="M1719" s="3">
        <f>tbl_Budget[[#This Row],[Variance]]/tbl_Budget[[#This Row],[Budget]]</f>
        <v>0.20610198603876159</v>
      </c>
      <c r="N1719" t="str">
        <f>IF(tbl_Budget[[#This Row],[Variance_%]]&gt;0.05,"Overspend",IF(tbl_Budget[[#This Row],[Variance_%]]&lt;-0.05,"Underspend","On Budget"))</f>
        <v>Overspend</v>
      </c>
    </row>
    <row r="1720" spans="1:14" hidden="1">
      <c r="A1720" s="1">
        <v>45444</v>
      </c>
      <c r="B1720">
        <v>6</v>
      </c>
      <c r="C1720" t="s">
        <v>40</v>
      </c>
      <c r="D1720" t="s">
        <v>59</v>
      </c>
      <c r="E1720">
        <v>2024</v>
      </c>
      <c r="F1720" t="s">
        <v>13</v>
      </c>
      <c r="G1720" t="s">
        <v>23</v>
      </c>
      <c r="H1720" t="s">
        <v>18</v>
      </c>
      <c r="I1720" t="s">
        <v>16</v>
      </c>
      <c r="J1720">
        <v>8422.01</v>
      </c>
      <c r="K1720">
        <v>9618.0499999999993</v>
      </c>
      <c r="L1720" s="20">
        <f>tbl_Budget[[#This Row],[Actual]]-tbl_Budget[[#This Row],[Budget]]</f>
        <v>1196.0399999999991</v>
      </c>
      <c r="M1720" s="3">
        <f>tbl_Budget[[#This Row],[Variance]]/tbl_Budget[[#This Row],[Budget]]</f>
        <v>0.14201360482830097</v>
      </c>
      <c r="N1720" t="str">
        <f>IF(tbl_Budget[[#This Row],[Variance_%]]&gt;0.05,"Overspend",IF(tbl_Budget[[#This Row],[Variance_%]]&lt;-0.05,"Underspend","On Budget"))</f>
        <v>Overspend</v>
      </c>
    </row>
    <row r="1721" spans="1:14" hidden="1">
      <c r="A1721" s="1">
        <v>45444</v>
      </c>
      <c r="B1721">
        <v>6</v>
      </c>
      <c r="C1721" t="s">
        <v>40</v>
      </c>
      <c r="D1721" t="s">
        <v>59</v>
      </c>
      <c r="E1721">
        <v>2024</v>
      </c>
      <c r="F1721" t="s">
        <v>13</v>
      </c>
      <c r="G1721" t="s">
        <v>23</v>
      </c>
      <c r="H1721" t="s">
        <v>19</v>
      </c>
      <c r="I1721" t="s">
        <v>16</v>
      </c>
      <c r="J1721">
        <v>8812.0499999999993</v>
      </c>
      <c r="K1721">
        <v>9876.2199999999993</v>
      </c>
      <c r="L1721" s="20">
        <f>tbl_Budget[[#This Row],[Actual]]-tbl_Budget[[#This Row],[Budget]]</f>
        <v>1064.17</v>
      </c>
      <c r="M1721" s="3">
        <f>tbl_Budget[[#This Row],[Variance]]/tbl_Budget[[#This Row],[Budget]]</f>
        <v>0.12076304605625253</v>
      </c>
      <c r="N1721" t="str">
        <f>IF(tbl_Budget[[#This Row],[Variance_%]]&gt;0.05,"Overspend",IF(tbl_Budget[[#This Row],[Variance_%]]&lt;-0.05,"Underspend","On Budget"))</f>
        <v>Overspend</v>
      </c>
    </row>
    <row r="1722" spans="1:14" hidden="1">
      <c r="A1722" s="1">
        <v>45444</v>
      </c>
      <c r="B1722">
        <v>6</v>
      </c>
      <c r="C1722" t="s">
        <v>40</v>
      </c>
      <c r="D1722" t="s">
        <v>59</v>
      </c>
      <c r="E1722">
        <v>2024</v>
      </c>
      <c r="F1722" t="s">
        <v>24</v>
      </c>
      <c r="G1722" t="s">
        <v>14</v>
      </c>
      <c r="H1722" t="s">
        <v>15</v>
      </c>
      <c r="I1722" t="s">
        <v>25</v>
      </c>
      <c r="J1722">
        <v>52340.32</v>
      </c>
      <c r="K1722">
        <v>45588.26</v>
      </c>
      <c r="L1722" s="20">
        <f>tbl_Budget[[#This Row],[Actual]]-tbl_Budget[[#This Row],[Budget]]</f>
        <v>-6752.0599999999977</v>
      </c>
      <c r="M1722" s="3">
        <f>tbl_Budget[[#This Row],[Variance]]/tbl_Budget[[#This Row],[Budget]]</f>
        <v>-0.12900303246139874</v>
      </c>
      <c r="N1722" t="str">
        <f>IF(tbl_Budget[[#This Row],[Variance_%]]&gt;0.05,"Overspend",IF(tbl_Budget[[#This Row],[Variance_%]]&lt;-0.05,"Underspend","On Budget"))</f>
        <v>Underspend</v>
      </c>
    </row>
    <row r="1723" spans="1:14" hidden="1">
      <c r="A1723" s="1">
        <v>45444</v>
      </c>
      <c r="B1723">
        <v>6</v>
      </c>
      <c r="C1723" t="s">
        <v>40</v>
      </c>
      <c r="D1723" t="s">
        <v>59</v>
      </c>
      <c r="E1723">
        <v>2024</v>
      </c>
      <c r="F1723" t="s">
        <v>24</v>
      </c>
      <c r="G1723" t="s">
        <v>14</v>
      </c>
      <c r="H1723" t="s">
        <v>17</v>
      </c>
      <c r="I1723" t="s">
        <v>25</v>
      </c>
      <c r="J1723">
        <v>49801.24</v>
      </c>
      <c r="K1723">
        <v>43477.32</v>
      </c>
      <c r="L1723" s="20">
        <f>tbl_Budget[[#This Row],[Actual]]-tbl_Budget[[#This Row],[Budget]]</f>
        <v>-6323.9199999999983</v>
      </c>
      <c r="M1723" s="3">
        <f>tbl_Budget[[#This Row],[Variance]]/tbl_Budget[[#This Row],[Budget]]</f>
        <v>-0.1269831835512529</v>
      </c>
      <c r="N1723" t="str">
        <f>IF(tbl_Budget[[#This Row],[Variance_%]]&gt;0.05,"Overspend",IF(tbl_Budget[[#This Row],[Variance_%]]&lt;-0.05,"Underspend","On Budget"))</f>
        <v>Underspend</v>
      </c>
    </row>
    <row r="1724" spans="1:14" hidden="1">
      <c r="A1724" s="1">
        <v>45444</v>
      </c>
      <c r="B1724">
        <v>6</v>
      </c>
      <c r="C1724" t="s">
        <v>40</v>
      </c>
      <c r="D1724" t="s">
        <v>59</v>
      </c>
      <c r="E1724">
        <v>2024</v>
      </c>
      <c r="F1724" t="s">
        <v>24</v>
      </c>
      <c r="G1724" t="s">
        <v>14</v>
      </c>
      <c r="H1724" t="s">
        <v>18</v>
      </c>
      <c r="I1724" t="s">
        <v>25</v>
      </c>
      <c r="J1724">
        <v>50925.99</v>
      </c>
      <c r="K1724">
        <v>43032.55</v>
      </c>
      <c r="L1724" s="20">
        <f>tbl_Budget[[#This Row],[Actual]]-tbl_Budget[[#This Row],[Budget]]</f>
        <v>-7893.4399999999951</v>
      </c>
      <c r="M1724" s="3">
        <f>tbl_Budget[[#This Row],[Variance]]/tbl_Budget[[#This Row],[Budget]]</f>
        <v>-0.15499826316582152</v>
      </c>
      <c r="N1724" t="str">
        <f>IF(tbl_Budget[[#This Row],[Variance_%]]&gt;0.05,"Overspend",IF(tbl_Budget[[#This Row],[Variance_%]]&lt;-0.05,"Underspend","On Budget"))</f>
        <v>Underspend</v>
      </c>
    </row>
    <row r="1725" spans="1:14" hidden="1">
      <c r="A1725" s="1">
        <v>45444</v>
      </c>
      <c r="B1725">
        <v>6</v>
      </c>
      <c r="C1725" t="s">
        <v>40</v>
      </c>
      <c r="D1725" t="s">
        <v>59</v>
      </c>
      <c r="E1725">
        <v>2024</v>
      </c>
      <c r="F1725" t="s">
        <v>24</v>
      </c>
      <c r="G1725" t="s">
        <v>14</v>
      </c>
      <c r="H1725" t="s">
        <v>19</v>
      </c>
      <c r="I1725" t="s">
        <v>25</v>
      </c>
      <c r="J1725">
        <v>54819.19</v>
      </c>
      <c r="K1725">
        <v>49195.14</v>
      </c>
      <c r="L1725" s="20">
        <f>tbl_Budget[[#This Row],[Actual]]-tbl_Budget[[#This Row],[Budget]]</f>
        <v>-5624.0500000000029</v>
      </c>
      <c r="M1725" s="3">
        <f>tbl_Budget[[#This Row],[Variance]]/tbl_Budget[[#This Row],[Budget]]</f>
        <v>-0.10259272346052546</v>
      </c>
      <c r="N1725" t="str">
        <f>IF(tbl_Budget[[#This Row],[Variance_%]]&gt;0.05,"Overspend",IF(tbl_Budget[[#This Row],[Variance_%]]&lt;-0.05,"Underspend","On Budget"))</f>
        <v>Underspend</v>
      </c>
    </row>
    <row r="1726" spans="1:14" hidden="1">
      <c r="A1726" s="1">
        <v>45444</v>
      </c>
      <c r="B1726">
        <v>6</v>
      </c>
      <c r="C1726" t="s">
        <v>40</v>
      </c>
      <c r="D1726" t="s">
        <v>59</v>
      </c>
      <c r="E1726">
        <v>2024</v>
      </c>
      <c r="F1726" t="s">
        <v>24</v>
      </c>
      <c r="G1726" t="s">
        <v>20</v>
      </c>
      <c r="H1726" t="s">
        <v>15</v>
      </c>
      <c r="I1726" t="s">
        <v>25</v>
      </c>
      <c r="J1726">
        <v>29451.279999999999</v>
      </c>
      <c r="K1726">
        <v>25738.93</v>
      </c>
      <c r="L1726" s="20">
        <f>tbl_Budget[[#This Row],[Actual]]-tbl_Budget[[#This Row],[Budget]]</f>
        <v>-3712.3499999999985</v>
      </c>
      <c r="M1726" s="3">
        <f>tbl_Budget[[#This Row],[Variance]]/tbl_Budget[[#This Row],[Budget]]</f>
        <v>-0.12605054856698925</v>
      </c>
      <c r="N1726" t="str">
        <f>IF(tbl_Budget[[#This Row],[Variance_%]]&gt;0.05,"Overspend",IF(tbl_Budget[[#This Row],[Variance_%]]&lt;-0.05,"Underspend","On Budget"))</f>
        <v>Underspend</v>
      </c>
    </row>
    <row r="1727" spans="1:14" hidden="1">
      <c r="A1727" s="1">
        <v>45444</v>
      </c>
      <c r="B1727">
        <v>6</v>
      </c>
      <c r="C1727" t="s">
        <v>40</v>
      </c>
      <c r="D1727" t="s">
        <v>59</v>
      </c>
      <c r="E1727">
        <v>2024</v>
      </c>
      <c r="F1727" t="s">
        <v>24</v>
      </c>
      <c r="G1727" t="s">
        <v>20</v>
      </c>
      <c r="H1727" t="s">
        <v>17</v>
      </c>
      <c r="I1727" t="s">
        <v>25</v>
      </c>
      <c r="J1727">
        <v>28395.24</v>
      </c>
      <c r="K1727">
        <v>24205.96</v>
      </c>
      <c r="L1727" s="20">
        <f>tbl_Budget[[#This Row],[Actual]]-tbl_Budget[[#This Row],[Budget]]</f>
        <v>-4189.2800000000025</v>
      </c>
      <c r="M1727" s="3">
        <f>tbl_Budget[[#This Row],[Variance]]/tbl_Budget[[#This Row],[Budget]]</f>
        <v>-0.14753458678285522</v>
      </c>
      <c r="N1727" t="str">
        <f>IF(tbl_Budget[[#This Row],[Variance_%]]&gt;0.05,"Overspend",IF(tbl_Budget[[#This Row],[Variance_%]]&lt;-0.05,"Underspend","On Budget"))</f>
        <v>Underspend</v>
      </c>
    </row>
    <row r="1728" spans="1:14" hidden="1">
      <c r="A1728" s="1">
        <v>45444</v>
      </c>
      <c r="B1728">
        <v>6</v>
      </c>
      <c r="C1728" t="s">
        <v>40</v>
      </c>
      <c r="D1728" t="s">
        <v>59</v>
      </c>
      <c r="E1728">
        <v>2024</v>
      </c>
      <c r="F1728" t="s">
        <v>24</v>
      </c>
      <c r="G1728" t="s">
        <v>20</v>
      </c>
      <c r="H1728" t="s">
        <v>18</v>
      </c>
      <c r="I1728" t="s">
        <v>25</v>
      </c>
      <c r="J1728">
        <v>28648.11</v>
      </c>
      <c r="K1728">
        <v>24978.15</v>
      </c>
      <c r="L1728" s="20">
        <f>tbl_Budget[[#This Row],[Actual]]-tbl_Budget[[#This Row],[Budget]]</f>
        <v>-3669.9599999999991</v>
      </c>
      <c r="M1728" s="3">
        <f>tbl_Budget[[#This Row],[Variance]]/tbl_Budget[[#This Row],[Budget]]</f>
        <v>-0.12810478597017391</v>
      </c>
      <c r="N1728" t="str">
        <f>IF(tbl_Budget[[#This Row],[Variance_%]]&gt;0.05,"Overspend",IF(tbl_Budget[[#This Row],[Variance_%]]&lt;-0.05,"Underspend","On Budget"))</f>
        <v>Underspend</v>
      </c>
    </row>
    <row r="1729" spans="1:14" hidden="1">
      <c r="A1729" s="1">
        <v>45444</v>
      </c>
      <c r="B1729">
        <v>6</v>
      </c>
      <c r="C1729" t="s">
        <v>40</v>
      </c>
      <c r="D1729" t="s">
        <v>59</v>
      </c>
      <c r="E1729">
        <v>2024</v>
      </c>
      <c r="F1729" t="s">
        <v>24</v>
      </c>
      <c r="G1729" t="s">
        <v>20</v>
      </c>
      <c r="H1729" t="s">
        <v>19</v>
      </c>
      <c r="I1729" t="s">
        <v>25</v>
      </c>
      <c r="J1729">
        <v>30387.01</v>
      </c>
      <c r="K1729">
        <v>26168.27</v>
      </c>
      <c r="L1729" s="20">
        <f>tbl_Budget[[#This Row],[Actual]]-tbl_Budget[[#This Row],[Budget]]</f>
        <v>-4218.739999999998</v>
      </c>
      <c r="M1729" s="3">
        <f>tbl_Budget[[#This Row],[Variance]]/tbl_Budget[[#This Row],[Budget]]</f>
        <v>-0.13883366609613773</v>
      </c>
      <c r="N1729" t="str">
        <f>IF(tbl_Budget[[#This Row],[Variance_%]]&gt;0.05,"Overspend",IF(tbl_Budget[[#This Row],[Variance_%]]&lt;-0.05,"Underspend","On Budget"))</f>
        <v>Underspend</v>
      </c>
    </row>
    <row r="1730" spans="1:14">
      <c r="A1730" s="1">
        <v>45444</v>
      </c>
      <c r="B1730">
        <v>6</v>
      </c>
      <c r="C1730" t="s">
        <v>40</v>
      </c>
      <c r="D1730" t="s">
        <v>59</v>
      </c>
      <c r="E1730">
        <v>2024</v>
      </c>
      <c r="F1730" t="s">
        <v>24</v>
      </c>
      <c r="G1730" t="s">
        <v>21</v>
      </c>
      <c r="H1730" t="s">
        <v>15</v>
      </c>
      <c r="I1730" t="s">
        <v>25</v>
      </c>
      <c r="J1730">
        <v>11462.85</v>
      </c>
      <c r="K1730">
        <v>10119.620000000001</v>
      </c>
      <c r="L1730" s="20">
        <f>tbl_Budget[[#This Row],[Actual]]-tbl_Budget[[#This Row],[Budget]]</f>
        <v>-1343.2299999999996</v>
      </c>
      <c r="M1730" s="3">
        <f>tbl_Budget[[#This Row],[Variance]]/tbl_Budget[[#This Row],[Budget]]</f>
        <v>-0.1171811547739</v>
      </c>
      <c r="N1730" t="str">
        <f>IF(tbl_Budget[[#This Row],[Variance_%]]&gt;0.05,"Overspend",IF(tbl_Budget[[#This Row],[Variance_%]]&lt;-0.05,"Underspend","On Budget"))</f>
        <v>Underspend</v>
      </c>
    </row>
    <row r="1731" spans="1:14">
      <c r="A1731" s="1">
        <v>45444</v>
      </c>
      <c r="B1731">
        <v>6</v>
      </c>
      <c r="C1731" t="s">
        <v>40</v>
      </c>
      <c r="D1731" t="s">
        <v>59</v>
      </c>
      <c r="E1731">
        <v>2024</v>
      </c>
      <c r="F1731" t="s">
        <v>24</v>
      </c>
      <c r="G1731" t="s">
        <v>21</v>
      </c>
      <c r="H1731" t="s">
        <v>17</v>
      </c>
      <c r="I1731" t="s">
        <v>25</v>
      </c>
      <c r="J1731">
        <v>10736.32</v>
      </c>
      <c r="K1731">
        <v>9240.23</v>
      </c>
      <c r="L1731" s="20">
        <f>tbl_Budget[[#This Row],[Actual]]-tbl_Budget[[#This Row],[Budget]]</f>
        <v>-1496.0900000000001</v>
      </c>
      <c r="M1731" s="3">
        <f>tbl_Budget[[#This Row],[Variance]]/tbl_Budget[[#This Row],[Budget]]</f>
        <v>-0.13934849184823106</v>
      </c>
      <c r="N1731" t="str">
        <f>IF(tbl_Budget[[#This Row],[Variance_%]]&gt;0.05,"Overspend",IF(tbl_Budget[[#This Row],[Variance_%]]&lt;-0.05,"Underspend","On Budget"))</f>
        <v>Underspend</v>
      </c>
    </row>
    <row r="1732" spans="1:14">
      <c r="A1732" s="1">
        <v>45444</v>
      </c>
      <c r="B1732">
        <v>6</v>
      </c>
      <c r="C1732" t="s">
        <v>40</v>
      </c>
      <c r="D1732" t="s">
        <v>59</v>
      </c>
      <c r="E1732">
        <v>2024</v>
      </c>
      <c r="F1732" t="s">
        <v>24</v>
      </c>
      <c r="G1732" t="s">
        <v>21</v>
      </c>
      <c r="H1732" t="s">
        <v>18</v>
      </c>
      <c r="I1732" t="s">
        <v>25</v>
      </c>
      <c r="J1732">
        <v>11141.4</v>
      </c>
      <c r="K1732">
        <v>9458.83</v>
      </c>
      <c r="L1732" s="20">
        <f>tbl_Budget[[#This Row],[Actual]]-tbl_Budget[[#This Row],[Budget]]</f>
        <v>-1682.5699999999997</v>
      </c>
      <c r="M1732" s="3">
        <f>tbl_Budget[[#This Row],[Variance]]/tbl_Budget[[#This Row],[Budget]]</f>
        <v>-0.15101962051447751</v>
      </c>
      <c r="N1732" t="str">
        <f>IF(tbl_Budget[[#This Row],[Variance_%]]&gt;0.05,"Overspend",IF(tbl_Budget[[#This Row],[Variance_%]]&lt;-0.05,"Underspend","On Budget"))</f>
        <v>Underspend</v>
      </c>
    </row>
    <row r="1733" spans="1:14">
      <c r="A1733" s="1">
        <v>45444</v>
      </c>
      <c r="B1733">
        <v>6</v>
      </c>
      <c r="C1733" t="s">
        <v>40</v>
      </c>
      <c r="D1733" t="s">
        <v>59</v>
      </c>
      <c r="E1733">
        <v>2024</v>
      </c>
      <c r="F1733" t="s">
        <v>24</v>
      </c>
      <c r="G1733" t="s">
        <v>21</v>
      </c>
      <c r="H1733" t="s">
        <v>19</v>
      </c>
      <c r="I1733" t="s">
        <v>25</v>
      </c>
      <c r="J1733">
        <v>12153.85</v>
      </c>
      <c r="K1733">
        <v>10868.67</v>
      </c>
      <c r="L1733" s="20">
        <f>tbl_Budget[[#This Row],[Actual]]-tbl_Budget[[#This Row],[Budget]]</f>
        <v>-1285.1800000000003</v>
      </c>
      <c r="M1733" s="3">
        <f>tbl_Budget[[#This Row],[Variance]]/tbl_Budget[[#This Row],[Budget]]</f>
        <v>-0.10574262476499219</v>
      </c>
      <c r="N1733" t="str">
        <f>IF(tbl_Budget[[#This Row],[Variance_%]]&gt;0.05,"Overspend",IF(tbl_Budget[[#This Row],[Variance_%]]&lt;-0.05,"Underspend","On Budget"))</f>
        <v>Underspend</v>
      </c>
    </row>
    <row r="1734" spans="1:14" hidden="1">
      <c r="A1734" s="1">
        <v>45444</v>
      </c>
      <c r="B1734">
        <v>6</v>
      </c>
      <c r="C1734" t="s">
        <v>40</v>
      </c>
      <c r="D1734" t="s">
        <v>59</v>
      </c>
      <c r="E1734">
        <v>2024</v>
      </c>
      <c r="F1734" t="s">
        <v>24</v>
      </c>
      <c r="G1734" t="s">
        <v>22</v>
      </c>
      <c r="H1734" t="s">
        <v>15</v>
      </c>
      <c r="I1734" t="s">
        <v>25</v>
      </c>
      <c r="J1734">
        <v>8991.33</v>
      </c>
      <c r="K1734">
        <v>7821.26</v>
      </c>
      <c r="L1734" s="20">
        <f>tbl_Budget[[#This Row],[Actual]]-tbl_Budget[[#This Row],[Budget]]</f>
        <v>-1170.0699999999997</v>
      </c>
      <c r="M1734" s="3">
        <f>tbl_Budget[[#This Row],[Variance]]/tbl_Budget[[#This Row],[Budget]]</f>
        <v>-0.13013313936870294</v>
      </c>
      <c r="N1734" t="str">
        <f>IF(tbl_Budget[[#This Row],[Variance_%]]&gt;0.05,"Overspend",IF(tbl_Budget[[#This Row],[Variance_%]]&lt;-0.05,"Underspend","On Budget"))</f>
        <v>Underspend</v>
      </c>
    </row>
    <row r="1735" spans="1:14" hidden="1">
      <c r="A1735" s="1">
        <v>45444</v>
      </c>
      <c r="B1735">
        <v>6</v>
      </c>
      <c r="C1735" t="s">
        <v>40</v>
      </c>
      <c r="D1735" t="s">
        <v>59</v>
      </c>
      <c r="E1735">
        <v>2024</v>
      </c>
      <c r="F1735" t="s">
        <v>24</v>
      </c>
      <c r="G1735" t="s">
        <v>22</v>
      </c>
      <c r="H1735" t="s">
        <v>17</v>
      </c>
      <c r="I1735" t="s">
        <v>25</v>
      </c>
      <c r="J1735">
        <v>8346.67</v>
      </c>
      <c r="K1735">
        <v>7378.8</v>
      </c>
      <c r="L1735" s="20">
        <f>tbl_Budget[[#This Row],[Actual]]-tbl_Budget[[#This Row],[Budget]]</f>
        <v>-967.86999999999989</v>
      </c>
      <c r="M1735" s="3">
        <f>tbl_Budget[[#This Row],[Variance]]/tbl_Budget[[#This Row],[Budget]]</f>
        <v>-0.11595881950526377</v>
      </c>
      <c r="N1735" t="str">
        <f>IF(tbl_Budget[[#This Row],[Variance_%]]&gt;0.05,"Overspend",IF(tbl_Budget[[#This Row],[Variance_%]]&lt;-0.05,"Underspend","On Budget"))</f>
        <v>Underspend</v>
      </c>
    </row>
    <row r="1736" spans="1:14" hidden="1">
      <c r="A1736" s="1">
        <v>45444</v>
      </c>
      <c r="B1736">
        <v>6</v>
      </c>
      <c r="C1736" t="s">
        <v>40</v>
      </c>
      <c r="D1736" t="s">
        <v>59</v>
      </c>
      <c r="E1736">
        <v>2024</v>
      </c>
      <c r="F1736" t="s">
        <v>24</v>
      </c>
      <c r="G1736" t="s">
        <v>22</v>
      </c>
      <c r="H1736" t="s">
        <v>18</v>
      </c>
      <c r="I1736" t="s">
        <v>25</v>
      </c>
      <c r="J1736">
        <v>8496.6299999999992</v>
      </c>
      <c r="K1736">
        <v>7578.4</v>
      </c>
      <c r="L1736" s="20">
        <f>tbl_Budget[[#This Row],[Actual]]-tbl_Budget[[#This Row],[Budget]]</f>
        <v>-918.22999999999956</v>
      </c>
      <c r="M1736" s="3">
        <f>tbl_Budget[[#This Row],[Variance]]/tbl_Budget[[#This Row],[Budget]]</f>
        <v>-0.10806990536247897</v>
      </c>
      <c r="N1736" t="str">
        <f>IF(tbl_Budget[[#This Row],[Variance_%]]&gt;0.05,"Overspend",IF(tbl_Budget[[#This Row],[Variance_%]]&lt;-0.05,"Underspend","On Budget"))</f>
        <v>Underspend</v>
      </c>
    </row>
    <row r="1737" spans="1:14" hidden="1">
      <c r="A1737" s="1">
        <v>45444</v>
      </c>
      <c r="B1737">
        <v>6</v>
      </c>
      <c r="C1737" t="s">
        <v>40</v>
      </c>
      <c r="D1737" t="s">
        <v>59</v>
      </c>
      <c r="E1737">
        <v>2024</v>
      </c>
      <c r="F1737" t="s">
        <v>24</v>
      </c>
      <c r="G1737" t="s">
        <v>22</v>
      </c>
      <c r="H1737" t="s">
        <v>19</v>
      </c>
      <c r="I1737" t="s">
        <v>25</v>
      </c>
      <c r="J1737">
        <v>9032.84</v>
      </c>
      <c r="K1737">
        <v>7883.89</v>
      </c>
      <c r="L1737" s="20">
        <f>tbl_Budget[[#This Row],[Actual]]-tbl_Budget[[#This Row],[Budget]]</f>
        <v>-1148.9499999999998</v>
      </c>
      <c r="M1737" s="3">
        <f>tbl_Budget[[#This Row],[Variance]]/tbl_Budget[[#This Row],[Budget]]</f>
        <v>-0.12719698345149474</v>
      </c>
      <c r="N1737" t="str">
        <f>IF(tbl_Budget[[#This Row],[Variance_%]]&gt;0.05,"Overspend",IF(tbl_Budget[[#This Row],[Variance_%]]&lt;-0.05,"Underspend","On Budget"))</f>
        <v>Underspend</v>
      </c>
    </row>
    <row r="1738" spans="1:14" hidden="1">
      <c r="A1738" s="1">
        <v>45444</v>
      </c>
      <c r="B1738">
        <v>6</v>
      </c>
      <c r="C1738" t="s">
        <v>40</v>
      </c>
      <c r="D1738" t="s">
        <v>59</v>
      </c>
      <c r="E1738">
        <v>2024</v>
      </c>
      <c r="F1738" t="s">
        <v>24</v>
      </c>
      <c r="G1738" t="s">
        <v>23</v>
      </c>
      <c r="H1738" t="s">
        <v>15</v>
      </c>
      <c r="I1738" t="s">
        <v>25</v>
      </c>
      <c r="J1738">
        <v>7851.57</v>
      </c>
      <c r="K1738">
        <v>6929.02</v>
      </c>
      <c r="L1738" s="20">
        <f>tbl_Budget[[#This Row],[Actual]]-tbl_Budget[[#This Row],[Budget]]</f>
        <v>-922.54999999999927</v>
      </c>
      <c r="M1738" s="3">
        <f>tbl_Budget[[#This Row],[Variance]]/tbl_Budget[[#This Row],[Budget]]</f>
        <v>-0.1174987932349835</v>
      </c>
      <c r="N1738" t="str">
        <f>IF(tbl_Budget[[#This Row],[Variance_%]]&gt;0.05,"Overspend",IF(tbl_Budget[[#This Row],[Variance_%]]&lt;-0.05,"Underspend","On Budget"))</f>
        <v>Underspend</v>
      </c>
    </row>
    <row r="1739" spans="1:14" hidden="1">
      <c r="A1739" s="1">
        <v>45444</v>
      </c>
      <c r="B1739">
        <v>6</v>
      </c>
      <c r="C1739" t="s">
        <v>40</v>
      </c>
      <c r="D1739" t="s">
        <v>59</v>
      </c>
      <c r="E1739">
        <v>2024</v>
      </c>
      <c r="F1739" t="s">
        <v>24</v>
      </c>
      <c r="G1739" t="s">
        <v>23</v>
      </c>
      <c r="H1739" t="s">
        <v>17</v>
      </c>
      <c r="I1739" t="s">
        <v>25</v>
      </c>
      <c r="J1739">
        <v>7452.18</v>
      </c>
      <c r="K1739">
        <v>6689.62</v>
      </c>
      <c r="L1739" s="20">
        <f>tbl_Budget[[#This Row],[Actual]]-tbl_Budget[[#This Row],[Budget]]</f>
        <v>-762.5600000000004</v>
      </c>
      <c r="M1739" s="3">
        <f>tbl_Budget[[#This Row],[Variance]]/tbl_Budget[[#This Row],[Budget]]</f>
        <v>-0.10232710428357882</v>
      </c>
      <c r="N1739" t="str">
        <f>IF(tbl_Budget[[#This Row],[Variance_%]]&gt;0.05,"Overspend",IF(tbl_Budget[[#This Row],[Variance_%]]&lt;-0.05,"Underspend","On Budget"))</f>
        <v>Underspend</v>
      </c>
    </row>
    <row r="1740" spans="1:14" hidden="1">
      <c r="A1740" s="1">
        <v>45444</v>
      </c>
      <c r="B1740">
        <v>6</v>
      </c>
      <c r="C1740" t="s">
        <v>40</v>
      </c>
      <c r="D1740" t="s">
        <v>59</v>
      </c>
      <c r="E1740">
        <v>2024</v>
      </c>
      <c r="F1740" t="s">
        <v>24</v>
      </c>
      <c r="G1740" t="s">
        <v>23</v>
      </c>
      <c r="H1740" t="s">
        <v>18</v>
      </c>
      <c r="I1740" t="s">
        <v>25</v>
      </c>
      <c r="J1740">
        <v>7384.12</v>
      </c>
      <c r="K1740">
        <v>6565.94</v>
      </c>
      <c r="L1740" s="20">
        <f>tbl_Budget[[#This Row],[Actual]]-tbl_Budget[[#This Row],[Budget]]</f>
        <v>-818.18000000000029</v>
      </c>
      <c r="M1740" s="3">
        <f>tbl_Budget[[#This Row],[Variance]]/tbl_Budget[[#This Row],[Budget]]</f>
        <v>-0.11080264134385685</v>
      </c>
      <c r="N1740" t="str">
        <f>IF(tbl_Budget[[#This Row],[Variance_%]]&gt;0.05,"Overspend",IF(tbl_Budget[[#This Row],[Variance_%]]&lt;-0.05,"Underspend","On Budget"))</f>
        <v>Underspend</v>
      </c>
    </row>
    <row r="1741" spans="1:14" hidden="1">
      <c r="A1741" s="1">
        <v>45444</v>
      </c>
      <c r="B1741">
        <v>6</v>
      </c>
      <c r="C1741" t="s">
        <v>40</v>
      </c>
      <c r="D1741" t="s">
        <v>59</v>
      </c>
      <c r="E1741">
        <v>2024</v>
      </c>
      <c r="F1741" t="s">
        <v>24</v>
      </c>
      <c r="G1741" t="s">
        <v>23</v>
      </c>
      <c r="H1741" t="s">
        <v>19</v>
      </c>
      <c r="I1741" t="s">
        <v>25</v>
      </c>
      <c r="J1741">
        <v>8062.3</v>
      </c>
      <c r="K1741">
        <v>6956.67</v>
      </c>
      <c r="L1741" s="20">
        <f>tbl_Budget[[#This Row],[Actual]]-tbl_Budget[[#This Row],[Budget]]</f>
        <v>-1105.6300000000001</v>
      </c>
      <c r="M1741" s="3">
        <f>tbl_Budget[[#This Row],[Variance]]/tbl_Budget[[#This Row],[Budget]]</f>
        <v>-0.13713580491919181</v>
      </c>
      <c r="N1741" t="str">
        <f>IF(tbl_Budget[[#This Row],[Variance_%]]&gt;0.05,"Overspend",IF(tbl_Budget[[#This Row],[Variance_%]]&lt;-0.05,"Underspend","On Budget"))</f>
        <v>Underspend</v>
      </c>
    </row>
    <row r="1742" spans="1:14" hidden="1">
      <c r="A1742" s="1">
        <v>45444</v>
      </c>
      <c r="B1742">
        <v>6</v>
      </c>
      <c r="C1742" t="s">
        <v>40</v>
      </c>
      <c r="D1742" t="s">
        <v>59</v>
      </c>
      <c r="E1742">
        <v>2024</v>
      </c>
      <c r="F1742" t="s">
        <v>26</v>
      </c>
      <c r="G1742" t="s">
        <v>14</v>
      </c>
      <c r="H1742" t="s">
        <v>15</v>
      </c>
      <c r="I1742" t="s">
        <v>27</v>
      </c>
      <c r="J1742">
        <v>48107.199999999997</v>
      </c>
      <c r="K1742">
        <v>47999.82</v>
      </c>
      <c r="L1742" s="20">
        <f>tbl_Budget[[#This Row],[Actual]]-tbl_Budget[[#This Row],[Budget]]</f>
        <v>-107.37999999999738</v>
      </c>
      <c r="M1742" s="3">
        <f>tbl_Budget[[#This Row],[Variance]]/tbl_Budget[[#This Row],[Budget]]</f>
        <v>-2.2320983137658684E-3</v>
      </c>
      <c r="N1742" t="str">
        <f>IF(tbl_Budget[[#This Row],[Variance_%]]&gt;0.05,"Overspend",IF(tbl_Budget[[#This Row],[Variance_%]]&lt;-0.05,"Underspend","On Budget"))</f>
        <v>On Budget</v>
      </c>
    </row>
    <row r="1743" spans="1:14" hidden="1">
      <c r="A1743" s="1">
        <v>45444</v>
      </c>
      <c r="B1743">
        <v>6</v>
      </c>
      <c r="C1743" t="s">
        <v>40</v>
      </c>
      <c r="D1743" t="s">
        <v>59</v>
      </c>
      <c r="E1743">
        <v>2024</v>
      </c>
      <c r="F1743" t="s">
        <v>26</v>
      </c>
      <c r="G1743" t="s">
        <v>14</v>
      </c>
      <c r="H1743" t="s">
        <v>17</v>
      </c>
      <c r="I1743" t="s">
        <v>27</v>
      </c>
      <c r="J1743">
        <v>44223.7</v>
      </c>
      <c r="K1743">
        <v>43090.2</v>
      </c>
      <c r="L1743" s="20">
        <f>tbl_Budget[[#This Row],[Actual]]-tbl_Budget[[#This Row],[Budget]]</f>
        <v>-1133.5</v>
      </c>
      <c r="M1743" s="3">
        <f>tbl_Budget[[#This Row],[Variance]]/tbl_Budget[[#This Row],[Budget]]</f>
        <v>-2.5631053032649915E-2</v>
      </c>
      <c r="N1743" t="str">
        <f>IF(tbl_Budget[[#This Row],[Variance_%]]&gt;0.05,"Overspend",IF(tbl_Budget[[#This Row],[Variance_%]]&lt;-0.05,"Underspend","On Budget"))</f>
        <v>On Budget</v>
      </c>
    </row>
    <row r="1744" spans="1:14" hidden="1">
      <c r="A1744" s="1">
        <v>45444</v>
      </c>
      <c r="B1744">
        <v>6</v>
      </c>
      <c r="C1744" t="s">
        <v>40</v>
      </c>
      <c r="D1744" t="s">
        <v>59</v>
      </c>
      <c r="E1744">
        <v>2024</v>
      </c>
      <c r="F1744" t="s">
        <v>26</v>
      </c>
      <c r="G1744" t="s">
        <v>14</v>
      </c>
      <c r="H1744" t="s">
        <v>18</v>
      </c>
      <c r="I1744" t="s">
        <v>27</v>
      </c>
      <c r="J1744">
        <v>46235.18</v>
      </c>
      <c r="K1744">
        <v>46208.34</v>
      </c>
      <c r="L1744" s="20">
        <f>tbl_Budget[[#This Row],[Actual]]-tbl_Budget[[#This Row],[Budget]]</f>
        <v>-26.840000000003783</v>
      </c>
      <c r="M1744" s="3">
        <f>tbl_Budget[[#This Row],[Variance]]/tbl_Budget[[#This Row],[Budget]]</f>
        <v>-5.8051033866427654E-4</v>
      </c>
      <c r="N1744" t="str">
        <f>IF(tbl_Budget[[#This Row],[Variance_%]]&gt;0.05,"Overspend",IF(tbl_Budget[[#This Row],[Variance_%]]&lt;-0.05,"Underspend","On Budget"))</f>
        <v>On Budget</v>
      </c>
    </row>
    <row r="1745" spans="1:14" hidden="1">
      <c r="A1745" s="1">
        <v>45444</v>
      </c>
      <c r="B1745">
        <v>6</v>
      </c>
      <c r="C1745" t="s">
        <v>40</v>
      </c>
      <c r="D1745" t="s">
        <v>59</v>
      </c>
      <c r="E1745">
        <v>2024</v>
      </c>
      <c r="F1745" t="s">
        <v>26</v>
      </c>
      <c r="G1745" t="s">
        <v>14</v>
      </c>
      <c r="H1745" t="s">
        <v>19</v>
      </c>
      <c r="I1745" t="s">
        <v>27</v>
      </c>
      <c r="J1745">
        <v>48956.51</v>
      </c>
      <c r="K1745">
        <v>48413.27</v>
      </c>
      <c r="L1745" s="20">
        <f>tbl_Budget[[#This Row],[Actual]]-tbl_Budget[[#This Row],[Budget]]</f>
        <v>-543.24000000000524</v>
      </c>
      <c r="M1745" s="3">
        <f>tbl_Budget[[#This Row],[Variance]]/tbl_Budget[[#This Row],[Budget]]</f>
        <v>-1.1096379214940061E-2</v>
      </c>
      <c r="N1745" t="str">
        <f>IF(tbl_Budget[[#This Row],[Variance_%]]&gt;0.05,"Overspend",IF(tbl_Budget[[#This Row],[Variance_%]]&lt;-0.05,"Underspend","On Budget"))</f>
        <v>On Budget</v>
      </c>
    </row>
    <row r="1746" spans="1:14" hidden="1">
      <c r="A1746" s="1">
        <v>45444</v>
      </c>
      <c r="B1746">
        <v>6</v>
      </c>
      <c r="C1746" t="s">
        <v>40</v>
      </c>
      <c r="D1746" t="s">
        <v>59</v>
      </c>
      <c r="E1746">
        <v>2024</v>
      </c>
      <c r="F1746" t="s">
        <v>26</v>
      </c>
      <c r="G1746" t="s">
        <v>20</v>
      </c>
      <c r="H1746" t="s">
        <v>15</v>
      </c>
      <c r="I1746" t="s">
        <v>27</v>
      </c>
      <c r="J1746">
        <v>16272.29</v>
      </c>
      <c r="K1746">
        <v>16522.740000000002</v>
      </c>
      <c r="L1746" s="20">
        <f>tbl_Budget[[#This Row],[Actual]]-tbl_Budget[[#This Row],[Budget]]</f>
        <v>250.45000000000073</v>
      </c>
      <c r="M1746" s="3">
        <f>tbl_Budget[[#This Row],[Variance]]/tbl_Budget[[#This Row],[Budget]]</f>
        <v>1.5391195707549503E-2</v>
      </c>
      <c r="N1746" t="str">
        <f>IF(tbl_Budget[[#This Row],[Variance_%]]&gt;0.05,"Overspend",IF(tbl_Budget[[#This Row],[Variance_%]]&lt;-0.05,"Underspend","On Budget"))</f>
        <v>On Budget</v>
      </c>
    </row>
    <row r="1747" spans="1:14" hidden="1">
      <c r="A1747" s="1">
        <v>45444</v>
      </c>
      <c r="B1747">
        <v>6</v>
      </c>
      <c r="C1747" t="s">
        <v>40</v>
      </c>
      <c r="D1747" t="s">
        <v>59</v>
      </c>
      <c r="E1747">
        <v>2024</v>
      </c>
      <c r="F1747" t="s">
        <v>26</v>
      </c>
      <c r="G1747" t="s">
        <v>20</v>
      </c>
      <c r="H1747" t="s">
        <v>17</v>
      </c>
      <c r="I1747" t="s">
        <v>27</v>
      </c>
      <c r="J1747">
        <v>15228.56</v>
      </c>
      <c r="K1747">
        <v>15596.48</v>
      </c>
      <c r="L1747" s="20">
        <f>tbl_Budget[[#This Row],[Actual]]-tbl_Budget[[#This Row],[Budget]]</f>
        <v>367.92000000000007</v>
      </c>
      <c r="M1747" s="3">
        <f>tbl_Budget[[#This Row],[Variance]]/tbl_Budget[[#This Row],[Budget]]</f>
        <v>2.4159868037424422E-2</v>
      </c>
      <c r="N1747" t="str">
        <f>IF(tbl_Budget[[#This Row],[Variance_%]]&gt;0.05,"Overspend",IF(tbl_Budget[[#This Row],[Variance_%]]&lt;-0.05,"Underspend","On Budget"))</f>
        <v>On Budget</v>
      </c>
    </row>
    <row r="1748" spans="1:14" hidden="1">
      <c r="A1748" s="1">
        <v>45444</v>
      </c>
      <c r="B1748">
        <v>6</v>
      </c>
      <c r="C1748" t="s">
        <v>40</v>
      </c>
      <c r="D1748" t="s">
        <v>59</v>
      </c>
      <c r="E1748">
        <v>2024</v>
      </c>
      <c r="F1748" t="s">
        <v>26</v>
      </c>
      <c r="G1748" t="s">
        <v>20</v>
      </c>
      <c r="H1748" t="s">
        <v>18</v>
      </c>
      <c r="I1748" t="s">
        <v>27</v>
      </c>
      <c r="J1748">
        <v>15241.36</v>
      </c>
      <c r="K1748">
        <v>14884.83</v>
      </c>
      <c r="L1748" s="20">
        <f>tbl_Budget[[#This Row],[Actual]]-tbl_Budget[[#This Row],[Budget]]</f>
        <v>-356.53000000000065</v>
      </c>
      <c r="M1748" s="3">
        <f>tbl_Budget[[#This Row],[Variance]]/tbl_Budget[[#This Row],[Budget]]</f>
        <v>-2.3392269456269037E-2</v>
      </c>
      <c r="N1748" t="str">
        <f>IF(tbl_Budget[[#This Row],[Variance_%]]&gt;0.05,"Overspend",IF(tbl_Budget[[#This Row],[Variance_%]]&lt;-0.05,"Underspend","On Budget"))</f>
        <v>On Budget</v>
      </c>
    </row>
    <row r="1749" spans="1:14" hidden="1">
      <c r="A1749" s="1">
        <v>45444</v>
      </c>
      <c r="B1749">
        <v>6</v>
      </c>
      <c r="C1749" t="s">
        <v>40</v>
      </c>
      <c r="D1749" t="s">
        <v>59</v>
      </c>
      <c r="E1749">
        <v>2024</v>
      </c>
      <c r="F1749" t="s">
        <v>26</v>
      </c>
      <c r="G1749" t="s">
        <v>20</v>
      </c>
      <c r="H1749" t="s">
        <v>19</v>
      </c>
      <c r="I1749" t="s">
        <v>27</v>
      </c>
      <c r="J1749">
        <v>16656.75</v>
      </c>
      <c r="K1749">
        <v>16827.02</v>
      </c>
      <c r="L1749" s="20">
        <f>tbl_Budget[[#This Row],[Actual]]-tbl_Budget[[#This Row],[Budget]]</f>
        <v>170.27000000000044</v>
      </c>
      <c r="M1749" s="3">
        <f>tbl_Budget[[#This Row],[Variance]]/tbl_Budget[[#This Row],[Budget]]</f>
        <v>1.0222282257943503E-2</v>
      </c>
      <c r="N1749" t="str">
        <f>IF(tbl_Budget[[#This Row],[Variance_%]]&gt;0.05,"Overspend",IF(tbl_Budget[[#This Row],[Variance_%]]&lt;-0.05,"Underspend","On Budget"))</f>
        <v>On Budget</v>
      </c>
    </row>
    <row r="1750" spans="1:14">
      <c r="A1750" s="1">
        <v>45444</v>
      </c>
      <c r="B1750">
        <v>6</v>
      </c>
      <c r="C1750" t="s">
        <v>40</v>
      </c>
      <c r="D1750" t="s">
        <v>59</v>
      </c>
      <c r="E1750">
        <v>2024</v>
      </c>
      <c r="F1750" t="s">
        <v>26</v>
      </c>
      <c r="G1750" t="s">
        <v>21</v>
      </c>
      <c r="H1750" t="s">
        <v>15</v>
      </c>
      <c r="I1750" t="s">
        <v>27</v>
      </c>
      <c r="J1750">
        <v>8696.07</v>
      </c>
      <c r="K1750">
        <v>8852.48</v>
      </c>
      <c r="L1750" s="20">
        <f>tbl_Budget[[#This Row],[Actual]]-tbl_Budget[[#This Row],[Budget]]</f>
        <v>156.40999999999985</v>
      </c>
      <c r="M1750" s="3">
        <f>tbl_Budget[[#This Row],[Variance]]/tbl_Budget[[#This Row],[Budget]]</f>
        <v>1.7986285758969267E-2</v>
      </c>
      <c r="N1750" t="str">
        <f>IF(tbl_Budget[[#This Row],[Variance_%]]&gt;0.05,"Overspend",IF(tbl_Budget[[#This Row],[Variance_%]]&lt;-0.05,"Underspend","On Budget"))</f>
        <v>On Budget</v>
      </c>
    </row>
    <row r="1751" spans="1:14">
      <c r="A1751" s="1">
        <v>45444</v>
      </c>
      <c r="B1751">
        <v>6</v>
      </c>
      <c r="C1751" t="s">
        <v>40</v>
      </c>
      <c r="D1751" t="s">
        <v>59</v>
      </c>
      <c r="E1751">
        <v>2024</v>
      </c>
      <c r="F1751" t="s">
        <v>26</v>
      </c>
      <c r="G1751" t="s">
        <v>21</v>
      </c>
      <c r="H1751" t="s">
        <v>17</v>
      </c>
      <c r="I1751" t="s">
        <v>27</v>
      </c>
      <c r="J1751">
        <v>8418.2999999999993</v>
      </c>
      <c r="K1751">
        <v>8222.61</v>
      </c>
      <c r="L1751" s="20">
        <f>tbl_Budget[[#This Row],[Actual]]-tbl_Budget[[#This Row],[Budget]]</f>
        <v>-195.68999999999869</v>
      </c>
      <c r="M1751" s="3">
        <f>tbl_Budget[[#This Row],[Variance]]/tbl_Budget[[#This Row],[Budget]]</f>
        <v>-2.3245785966287576E-2</v>
      </c>
      <c r="N1751" t="str">
        <f>IF(tbl_Budget[[#This Row],[Variance_%]]&gt;0.05,"Overspend",IF(tbl_Budget[[#This Row],[Variance_%]]&lt;-0.05,"Underspend","On Budget"))</f>
        <v>On Budget</v>
      </c>
    </row>
    <row r="1752" spans="1:14">
      <c r="A1752" s="1">
        <v>45444</v>
      </c>
      <c r="B1752">
        <v>6</v>
      </c>
      <c r="C1752" t="s">
        <v>40</v>
      </c>
      <c r="D1752" t="s">
        <v>59</v>
      </c>
      <c r="E1752">
        <v>2024</v>
      </c>
      <c r="F1752" t="s">
        <v>26</v>
      </c>
      <c r="G1752" t="s">
        <v>21</v>
      </c>
      <c r="H1752" t="s">
        <v>18</v>
      </c>
      <c r="I1752" t="s">
        <v>27</v>
      </c>
      <c r="J1752">
        <v>8658.39</v>
      </c>
      <c r="K1752">
        <v>8502.8799999999992</v>
      </c>
      <c r="L1752" s="20">
        <f>tbl_Budget[[#This Row],[Actual]]-tbl_Budget[[#This Row],[Budget]]</f>
        <v>-155.51000000000022</v>
      </c>
      <c r="M1752" s="3">
        <f>tbl_Budget[[#This Row],[Variance]]/tbl_Budget[[#This Row],[Budget]]</f>
        <v>-1.796061392475971E-2</v>
      </c>
      <c r="N1752" t="str">
        <f>IF(tbl_Budget[[#This Row],[Variance_%]]&gt;0.05,"Overspend",IF(tbl_Budget[[#This Row],[Variance_%]]&lt;-0.05,"Underspend","On Budget"))</f>
        <v>On Budget</v>
      </c>
    </row>
    <row r="1753" spans="1:14">
      <c r="A1753" s="1">
        <v>45444</v>
      </c>
      <c r="B1753">
        <v>6</v>
      </c>
      <c r="C1753" t="s">
        <v>40</v>
      </c>
      <c r="D1753" t="s">
        <v>59</v>
      </c>
      <c r="E1753">
        <v>2024</v>
      </c>
      <c r="F1753" t="s">
        <v>26</v>
      </c>
      <c r="G1753" t="s">
        <v>21</v>
      </c>
      <c r="H1753" t="s">
        <v>19</v>
      </c>
      <c r="I1753" t="s">
        <v>27</v>
      </c>
      <c r="J1753">
        <v>9383.2900000000009</v>
      </c>
      <c r="K1753">
        <v>9276.7199999999993</v>
      </c>
      <c r="L1753" s="20">
        <f>tbl_Budget[[#This Row],[Actual]]-tbl_Budget[[#This Row],[Budget]]</f>
        <v>-106.57000000000153</v>
      </c>
      <c r="M1753" s="3">
        <f>tbl_Budget[[#This Row],[Variance]]/tbl_Budget[[#This Row],[Budget]]</f>
        <v>-1.135742367549138E-2</v>
      </c>
      <c r="N1753" t="str">
        <f>IF(tbl_Budget[[#This Row],[Variance_%]]&gt;0.05,"Overspend",IF(tbl_Budget[[#This Row],[Variance_%]]&lt;-0.05,"Underspend","On Budget"))</f>
        <v>On Budget</v>
      </c>
    </row>
    <row r="1754" spans="1:14" hidden="1">
      <c r="A1754" s="1">
        <v>45444</v>
      </c>
      <c r="B1754">
        <v>6</v>
      </c>
      <c r="C1754" t="s">
        <v>40</v>
      </c>
      <c r="D1754" t="s">
        <v>59</v>
      </c>
      <c r="E1754">
        <v>2024</v>
      </c>
      <c r="F1754" t="s">
        <v>26</v>
      </c>
      <c r="G1754" t="s">
        <v>22</v>
      </c>
      <c r="H1754" t="s">
        <v>15</v>
      </c>
      <c r="I1754" t="s">
        <v>27</v>
      </c>
      <c r="J1754">
        <v>6775.22</v>
      </c>
      <c r="K1754">
        <v>6932.19</v>
      </c>
      <c r="L1754" s="20">
        <f>tbl_Budget[[#This Row],[Actual]]-tbl_Budget[[#This Row],[Budget]]</f>
        <v>156.96999999999935</v>
      </c>
      <c r="M1754" s="3">
        <f>tbl_Budget[[#This Row],[Variance]]/tbl_Budget[[#This Row],[Budget]]</f>
        <v>2.3168251363055271E-2</v>
      </c>
      <c r="N1754" t="str">
        <f>IF(tbl_Budget[[#This Row],[Variance_%]]&gt;0.05,"Overspend",IF(tbl_Budget[[#This Row],[Variance_%]]&lt;-0.05,"Underspend","On Budget"))</f>
        <v>On Budget</v>
      </c>
    </row>
    <row r="1755" spans="1:14" hidden="1">
      <c r="A1755" s="1">
        <v>45444</v>
      </c>
      <c r="B1755">
        <v>6</v>
      </c>
      <c r="C1755" t="s">
        <v>40</v>
      </c>
      <c r="D1755" t="s">
        <v>59</v>
      </c>
      <c r="E1755">
        <v>2024</v>
      </c>
      <c r="F1755" t="s">
        <v>26</v>
      </c>
      <c r="G1755" t="s">
        <v>22</v>
      </c>
      <c r="H1755" t="s">
        <v>17</v>
      </c>
      <c r="I1755" t="s">
        <v>27</v>
      </c>
      <c r="J1755">
        <v>6560.93</v>
      </c>
      <c r="K1755">
        <v>6415.32</v>
      </c>
      <c r="L1755" s="20">
        <f>tbl_Budget[[#This Row],[Actual]]-tbl_Budget[[#This Row],[Budget]]</f>
        <v>-145.61000000000058</v>
      </c>
      <c r="M1755" s="3">
        <f>tbl_Budget[[#This Row],[Variance]]/tbl_Budget[[#This Row],[Budget]]</f>
        <v>-2.2193500006858873E-2</v>
      </c>
      <c r="N1755" t="str">
        <f>IF(tbl_Budget[[#This Row],[Variance_%]]&gt;0.05,"Overspend",IF(tbl_Budget[[#This Row],[Variance_%]]&lt;-0.05,"Underspend","On Budget"))</f>
        <v>On Budget</v>
      </c>
    </row>
    <row r="1756" spans="1:14" hidden="1">
      <c r="A1756" s="1">
        <v>45444</v>
      </c>
      <c r="B1756">
        <v>6</v>
      </c>
      <c r="C1756" t="s">
        <v>40</v>
      </c>
      <c r="D1756" t="s">
        <v>59</v>
      </c>
      <c r="E1756">
        <v>2024</v>
      </c>
      <c r="F1756" t="s">
        <v>26</v>
      </c>
      <c r="G1756" t="s">
        <v>22</v>
      </c>
      <c r="H1756" t="s">
        <v>18</v>
      </c>
      <c r="I1756" t="s">
        <v>27</v>
      </c>
      <c r="J1756">
        <v>6912.24</v>
      </c>
      <c r="K1756">
        <v>6674.25</v>
      </c>
      <c r="L1756" s="20">
        <f>tbl_Budget[[#This Row],[Actual]]-tbl_Budget[[#This Row],[Budget]]</f>
        <v>-237.98999999999978</v>
      </c>
      <c r="M1756" s="3">
        <f>tbl_Budget[[#This Row],[Variance]]/tbl_Budget[[#This Row],[Budget]]</f>
        <v>-3.4430228117079235E-2</v>
      </c>
      <c r="N1756" t="str">
        <f>IF(tbl_Budget[[#This Row],[Variance_%]]&gt;0.05,"Overspend",IF(tbl_Budget[[#This Row],[Variance_%]]&lt;-0.05,"Underspend","On Budget"))</f>
        <v>On Budget</v>
      </c>
    </row>
    <row r="1757" spans="1:14" hidden="1">
      <c r="A1757" s="1">
        <v>45444</v>
      </c>
      <c r="B1757">
        <v>6</v>
      </c>
      <c r="C1757" t="s">
        <v>40</v>
      </c>
      <c r="D1757" t="s">
        <v>59</v>
      </c>
      <c r="E1757">
        <v>2024</v>
      </c>
      <c r="F1757" t="s">
        <v>26</v>
      </c>
      <c r="G1757" t="s">
        <v>22</v>
      </c>
      <c r="H1757" t="s">
        <v>19</v>
      </c>
      <c r="I1757" t="s">
        <v>27</v>
      </c>
      <c r="J1757">
        <v>7084.53</v>
      </c>
      <c r="K1757">
        <v>7188.05</v>
      </c>
      <c r="L1757" s="20">
        <f>tbl_Budget[[#This Row],[Actual]]-tbl_Budget[[#This Row],[Budget]]</f>
        <v>103.52000000000044</v>
      </c>
      <c r="M1757" s="3">
        <f>tbl_Budget[[#This Row],[Variance]]/tbl_Budget[[#This Row],[Budget]]</f>
        <v>1.4612119646610352E-2</v>
      </c>
      <c r="N1757" t="str">
        <f>IF(tbl_Budget[[#This Row],[Variance_%]]&gt;0.05,"Overspend",IF(tbl_Budget[[#This Row],[Variance_%]]&lt;-0.05,"Underspend","On Budget"))</f>
        <v>On Budget</v>
      </c>
    </row>
    <row r="1758" spans="1:14" hidden="1">
      <c r="A1758" s="1">
        <v>45444</v>
      </c>
      <c r="B1758">
        <v>6</v>
      </c>
      <c r="C1758" t="s">
        <v>40</v>
      </c>
      <c r="D1758" t="s">
        <v>59</v>
      </c>
      <c r="E1758">
        <v>2024</v>
      </c>
      <c r="F1758" t="s">
        <v>26</v>
      </c>
      <c r="G1758" t="s">
        <v>23</v>
      </c>
      <c r="H1758" t="s">
        <v>15</v>
      </c>
      <c r="I1758" t="s">
        <v>27</v>
      </c>
      <c r="J1758">
        <v>5949.85</v>
      </c>
      <c r="K1758">
        <v>5925.43</v>
      </c>
      <c r="L1758" s="20">
        <f>tbl_Budget[[#This Row],[Actual]]-tbl_Budget[[#This Row],[Budget]]</f>
        <v>-24.420000000000073</v>
      </c>
      <c r="M1758" s="3">
        <f>tbl_Budget[[#This Row],[Variance]]/tbl_Budget[[#This Row],[Budget]]</f>
        <v>-4.1043051505500255E-3</v>
      </c>
      <c r="N1758" t="str">
        <f>IF(tbl_Budget[[#This Row],[Variance_%]]&gt;0.05,"Overspend",IF(tbl_Budget[[#This Row],[Variance_%]]&lt;-0.05,"Underspend","On Budget"))</f>
        <v>On Budget</v>
      </c>
    </row>
    <row r="1759" spans="1:14" hidden="1">
      <c r="A1759" s="1">
        <v>45444</v>
      </c>
      <c r="B1759">
        <v>6</v>
      </c>
      <c r="C1759" t="s">
        <v>40</v>
      </c>
      <c r="D1759" t="s">
        <v>59</v>
      </c>
      <c r="E1759">
        <v>2024</v>
      </c>
      <c r="F1759" t="s">
        <v>26</v>
      </c>
      <c r="G1759" t="s">
        <v>23</v>
      </c>
      <c r="H1759" t="s">
        <v>17</v>
      </c>
      <c r="I1759" t="s">
        <v>27</v>
      </c>
      <c r="J1759">
        <v>5764.94</v>
      </c>
      <c r="K1759">
        <v>5638.83</v>
      </c>
      <c r="L1759" s="20">
        <f>tbl_Budget[[#This Row],[Actual]]-tbl_Budget[[#This Row],[Budget]]</f>
        <v>-126.10999999999967</v>
      </c>
      <c r="M1759" s="3">
        <f>tbl_Budget[[#This Row],[Variance]]/tbl_Budget[[#This Row],[Budget]]</f>
        <v>-2.1875336083289624E-2</v>
      </c>
      <c r="N1759" t="str">
        <f>IF(tbl_Budget[[#This Row],[Variance_%]]&gt;0.05,"Overspend",IF(tbl_Budget[[#This Row],[Variance_%]]&lt;-0.05,"Underspend","On Budget"))</f>
        <v>On Budget</v>
      </c>
    </row>
    <row r="1760" spans="1:14" hidden="1">
      <c r="A1760" s="1">
        <v>45444</v>
      </c>
      <c r="B1760">
        <v>6</v>
      </c>
      <c r="C1760" t="s">
        <v>40</v>
      </c>
      <c r="D1760" t="s">
        <v>59</v>
      </c>
      <c r="E1760">
        <v>2024</v>
      </c>
      <c r="F1760" t="s">
        <v>26</v>
      </c>
      <c r="G1760" t="s">
        <v>23</v>
      </c>
      <c r="H1760" t="s">
        <v>18</v>
      </c>
      <c r="I1760" t="s">
        <v>27</v>
      </c>
      <c r="J1760">
        <v>5748.74</v>
      </c>
      <c r="K1760">
        <v>5866.6</v>
      </c>
      <c r="L1760" s="20">
        <f>tbl_Budget[[#This Row],[Actual]]-tbl_Budget[[#This Row],[Budget]]</f>
        <v>117.86000000000058</v>
      </c>
      <c r="M1760" s="3">
        <f>tbl_Budget[[#This Row],[Variance]]/tbl_Budget[[#This Row],[Budget]]</f>
        <v>2.0501883891078841E-2</v>
      </c>
      <c r="N1760" t="str">
        <f>IF(tbl_Budget[[#This Row],[Variance_%]]&gt;0.05,"Overspend",IF(tbl_Budget[[#This Row],[Variance_%]]&lt;-0.05,"Underspend","On Budget"))</f>
        <v>On Budget</v>
      </c>
    </row>
    <row r="1761" spans="1:14" hidden="1">
      <c r="A1761" s="1">
        <v>45444</v>
      </c>
      <c r="B1761">
        <v>6</v>
      </c>
      <c r="C1761" t="s">
        <v>40</v>
      </c>
      <c r="D1761" t="s">
        <v>59</v>
      </c>
      <c r="E1761">
        <v>2024</v>
      </c>
      <c r="F1761" t="s">
        <v>26</v>
      </c>
      <c r="G1761" t="s">
        <v>23</v>
      </c>
      <c r="H1761" t="s">
        <v>19</v>
      </c>
      <c r="I1761" t="s">
        <v>27</v>
      </c>
      <c r="J1761">
        <v>6265.82</v>
      </c>
      <c r="K1761">
        <v>6361.19</v>
      </c>
      <c r="L1761" s="20">
        <f>tbl_Budget[[#This Row],[Actual]]-tbl_Budget[[#This Row],[Budget]]</f>
        <v>95.369999999999891</v>
      </c>
      <c r="M1761" s="3">
        <f>tbl_Budget[[#This Row],[Variance]]/tbl_Budget[[#This Row],[Budget]]</f>
        <v>1.5220673431410398E-2</v>
      </c>
      <c r="N1761" t="str">
        <f>IF(tbl_Budget[[#This Row],[Variance_%]]&gt;0.05,"Overspend",IF(tbl_Budget[[#This Row],[Variance_%]]&lt;-0.05,"Underspend","On Budget"))</f>
        <v>On Budget</v>
      </c>
    </row>
    <row r="1762" spans="1:14" hidden="1">
      <c r="A1762" s="1">
        <v>45444</v>
      </c>
      <c r="B1762">
        <v>6</v>
      </c>
      <c r="C1762" t="s">
        <v>40</v>
      </c>
      <c r="D1762" t="s">
        <v>59</v>
      </c>
      <c r="E1762">
        <v>2024</v>
      </c>
      <c r="F1762" t="s">
        <v>28</v>
      </c>
      <c r="G1762" t="s">
        <v>14</v>
      </c>
      <c r="H1762" t="s">
        <v>15</v>
      </c>
      <c r="I1762" t="s">
        <v>29</v>
      </c>
      <c r="J1762">
        <v>56254.02</v>
      </c>
      <c r="K1762">
        <v>49503.03</v>
      </c>
      <c r="L1762" s="20">
        <f>tbl_Budget[[#This Row],[Actual]]-tbl_Budget[[#This Row],[Budget]]</f>
        <v>-6750.989999999998</v>
      </c>
      <c r="M1762" s="3">
        <f>tbl_Budget[[#This Row],[Variance]]/tbl_Budget[[#This Row],[Budget]]</f>
        <v>-0.12000902335513086</v>
      </c>
      <c r="N1762" t="str">
        <f>IF(tbl_Budget[[#This Row],[Variance_%]]&gt;0.05,"Overspend",IF(tbl_Budget[[#This Row],[Variance_%]]&lt;-0.05,"Underspend","On Budget"))</f>
        <v>Underspend</v>
      </c>
    </row>
    <row r="1763" spans="1:14" hidden="1">
      <c r="A1763" s="1">
        <v>45444</v>
      </c>
      <c r="B1763">
        <v>6</v>
      </c>
      <c r="C1763" t="s">
        <v>40</v>
      </c>
      <c r="D1763" t="s">
        <v>59</v>
      </c>
      <c r="E1763">
        <v>2024</v>
      </c>
      <c r="F1763" t="s">
        <v>28</v>
      </c>
      <c r="G1763" t="s">
        <v>14</v>
      </c>
      <c r="H1763" t="s">
        <v>17</v>
      </c>
      <c r="I1763" t="s">
        <v>29</v>
      </c>
      <c r="J1763">
        <v>54310.37</v>
      </c>
      <c r="K1763">
        <v>51441.24</v>
      </c>
      <c r="L1763" s="20">
        <f>tbl_Budget[[#This Row],[Actual]]-tbl_Budget[[#This Row],[Budget]]</f>
        <v>-2869.1300000000047</v>
      </c>
      <c r="M1763" s="3">
        <f>tbl_Budget[[#This Row],[Variance]]/tbl_Budget[[#This Row],[Budget]]</f>
        <v>-5.282840091128093E-2</v>
      </c>
      <c r="N1763" t="str">
        <f>IF(tbl_Budget[[#This Row],[Variance_%]]&gt;0.05,"Overspend",IF(tbl_Budget[[#This Row],[Variance_%]]&lt;-0.05,"Underspend","On Budget"))</f>
        <v>Underspend</v>
      </c>
    </row>
    <row r="1764" spans="1:14" hidden="1">
      <c r="A1764" s="1">
        <v>45444</v>
      </c>
      <c r="B1764">
        <v>6</v>
      </c>
      <c r="C1764" t="s">
        <v>40</v>
      </c>
      <c r="D1764" t="s">
        <v>59</v>
      </c>
      <c r="E1764">
        <v>2024</v>
      </c>
      <c r="F1764" t="s">
        <v>28</v>
      </c>
      <c r="G1764" t="s">
        <v>14</v>
      </c>
      <c r="H1764" t="s">
        <v>18</v>
      </c>
      <c r="I1764" t="s">
        <v>29</v>
      </c>
      <c r="J1764">
        <v>55885.21</v>
      </c>
      <c r="K1764">
        <v>61655.39</v>
      </c>
      <c r="L1764" s="20">
        <f>tbl_Budget[[#This Row],[Actual]]-tbl_Budget[[#This Row],[Budget]]</f>
        <v>5770.18</v>
      </c>
      <c r="M1764" s="3">
        <f>tbl_Budget[[#This Row],[Variance]]/tbl_Budget[[#This Row],[Budget]]</f>
        <v>0.10325057381013689</v>
      </c>
      <c r="N1764" t="str">
        <f>IF(tbl_Budget[[#This Row],[Variance_%]]&gt;0.05,"Overspend",IF(tbl_Budget[[#This Row],[Variance_%]]&lt;-0.05,"Underspend","On Budget"))</f>
        <v>Overspend</v>
      </c>
    </row>
    <row r="1765" spans="1:14" hidden="1">
      <c r="A1765" s="1">
        <v>45444</v>
      </c>
      <c r="B1765">
        <v>6</v>
      </c>
      <c r="C1765" t="s">
        <v>40</v>
      </c>
      <c r="D1765" t="s">
        <v>59</v>
      </c>
      <c r="E1765">
        <v>2024</v>
      </c>
      <c r="F1765" t="s">
        <v>28</v>
      </c>
      <c r="G1765" t="s">
        <v>14</v>
      </c>
      <c r="H1765" t="s">
        <v>19</v>
      </c>
      <c r="I1765" t="s">
        <v>29</v>
      </c>
      <c r="J1765">
        <v>57957.49</v>
      </c>
      <c r="K1765">
        <v>67118.429999999993</v>
      </c>
      <c r="L1765" s="20">
        <f>tbl_Budget[[#This Row],[Actual]]-tbl_Budget[[#This Row],[Budget]]</f>
        <v>9160.9399999999951</v>
      </c>
      <c r="M1765" s="3">
        <f>tbl_Budget[[#This Row],[Variance]]/tbl_Budget[[#This Row],[Budget]]</f>
        <v>0.15806309072390809</v>
      </c>
      <c r="N1765" t="str">
        <f>IF(tbl_Budget[[#This Row],[Variance_%]]&gt;0.05,"Overspend",IF(tbl_Budget[[#This Row],[Variance_%]]&lt;-0.05,"Underspend","On Budget"))</f>
        <v>Overspend</v>
      </c>
    </row>
    <row r="1766" spans="1:14" hidden="1">
      <c r="A1766" s="1">
        <v>45444</v>
      </c>
      <c r="B1766">
        <v>6</v>
      </c>
      <c r="C1766" t="s">
        <v>40</v>
      </c>
      <c r="D1766" t="s">
        <v>59</v>
      </c>
      <c r="E1766">
        <v>2024</v>
      </c>
      <c r="F1766" t="s">
        <v>28</v>
      </c>
      <c r="G1766" t="s">
        <v>20</v>
      </c>
      <c r="H1766" t="s">
        <v>15</v>
      </c>
      <c r="I1766" t="s">
        <v>29</v>
      </c>
      <c r="J1766">
        <v>21843.05</v>
      </c>
      <c r="K1766">
        <v>23523.69</v>
      </c>
      <c r="L1766" s="20">
        <f>tbl_Budget[[#This Row],[Actual]]-tbl_Budget[[#This Row],[Budget]]</f>
        <v>1680.6399999999994</v>
      </c>
      <c r="M1766" s="3">
        <f>tbl_Budget[[#This Row],[Variance]]/tbl_Budget[[#This Row],[Budget]]</f>
        <v>7.6941635897917166E-2</v>
      </c>
      <c r="N1766" t="str">
        <f>IF(tbl_Budget[[#This Row],[Variance_%]]&gt;0.05,"Overspend",IF(tbl_Budget[[#This Row],[Variance_%]]&lt;-0.05,"Underspend","On Budget"))</f>
        <v>Overspend</v>
      </c>
    </row>
    <row r="1767" spans="1:14" hidden="1">
      <c r="A1767" s="1">
        <v>45444</v>
      </c>
      <c r="B1767">
        <v>6</v>
      </c>
      <c r="C1767" t="s">
        <v>40</v>
      </c>
      <c r="D1767" t="s">
        <v>59</v>
      </c>
      <c r="E1767">
        <v>2024</v>
      </c>
      <c r="F1767" t="s">
        <v>28</v>
      </c>
      <c r="G1767" t="s">
        <v>20</v>
      </c>
      <c r="H1767" t="s">
        <v>17</v>
      </c>
      <c r="I1767" t="s">
        <v>29</v>
      </c>
      <c r="J1767">
        <v>21116.92</v>
      </c>
      <c r="K1767">
        <v>22148.55</v>
      </c>
      <c r="L1767" s="20">
        <f>tbl_Budget[[#This Row],[Actual]]-tbl_Budget[[#This Row],[Budget]]</f>
        <v>1031.630000000001</v>
      </c>
      <c r="M1767" s="3">
        <f>tbl_Budget[[#This Row],[Variance]]/tbl_Budget[[#This Row],[Budget]]</f>
        <v>4.8853241855346383E-2</v>
      </c>
      <c r="N1767" t="str">
        <f>IF(tbl_Budget[[#This Row],[Variance_%]]&gt;0.05,"Overspend",IF(tbl_Budget[[#This Row],[Variance_%]]&lt;-0.05,"Underspend","On Budget"))</f>
        <v>On Budget</v>
      </c>
    </row>
    <row r="1768" spans="1:14" hidden="1">
      <c r="A1768" s="1">
        <v>45444</v>
      </c>
      <c r="B1768">
        <v>6</v>
      </c>
      <c r="C1768" t="s">
        <v>40</v>
      </c>
      <c r="D1768" t="s">
        <v>59</v>
      </c>
      <c r="E1768">
        <v>2024</v>
      </c>
      <c r="F1768" t="s">
        <v>28</v>
      </c>
      <c r="G1768" t="s">
        <v>20</v>
      </c>
      <c r="H1768" t="s">
        <v>18</v>
      </c>
      <c r="I1768" t="s">
        <v>29</v>
      </c>
      <c r="J1768">
        <v>20836.240000000002</v>
      </c>
      <c r="K1768">
        <v>23448.07</v>
      </c>
      <c r="L1768" s="20">
        <f>tbl_Budget[[#This Row],[Actual]]-tbl_Budget[[#This Row],[Budget]]</f>
        <v>2611.8299999999981</v>
      </c>
      <c r="M1768" s="3">
        <f>tbl_Budget[[#This Row],[Variance]]/tbl_Budget[[#This Row],[Budget]]</f>
        <v>0.12535035111901177</v>
      </c>
      <c r="N1768" t="str">
        <f>IF(tbl_Budget[[#This Row],[Variance_%]]&gt;0.05,"Overspend",IF(tbl_Budget[[#This Row],[Variance_%]]&lt;-0.05,"Underspend","On Budget"))</f>
        <v>Overspend</v>
      </c>
    </row>
    <row r="1769" spans="1:14" hidden="1">
      <c r="A1769" s="1">
        <v>45444</v>
      </c>
      <c r="B1769">
        <v>6</v>
      </c>
      <c r="C1769" t="s">
        <v>40</v>
      </c>
      <c r="D1769" t="s">
        <v>59</v>
      </c>
      <c r="E1769">
        <v>2024</v>
      </c>
      <c r="F1769" t="s">
        <v>28</v>
      </c>
      <c r="G1769" t="s">
        <v>20</v>
      </c>
      <c r="H1769" t="s">
        <v>19</v>
      </c>
      <c r="I1769" t="s">
        <v>29</v>
      </c>
      <c r="J1769">
        <v>21908.41</v>
      </c>
      <c r="K1769">
        <v>19996.830000000002</v>
      </c>
      <c r="L1769" s="20">
        <f>tbl_Budget[[#This Row],[Actual]]-tbl_Budget[[#This Row],[Budget]]</f>
        <v>-1911.5799999999981</v>
      </c>
      <c r="M1769" s="3">
        <f>tbl_Budget[[#This Row],[Variance]]/tbl_Budget[[#This Row],[Budget]]</f>
        <v>-8.7253251148759689E-2</v>
      </c>
      <c r="N1769" t="str">
        <f>IF(tbl_Budget[[#This Row],[Variance_%]]&gt;0.05,"Overspend",IF(tbl_Budget[[#This Row],[Variance_%]]&lt;-0.05,"Underspend","On Budget"))</f>
        <v>Underspend</v>
      </c>
    </row>
    <row r="1770" spans="1:14">
      <c r="A1770" s="1">
        <v>45444</v>
      </c>
      <c r="B1770">
        <v>6</v>
      </c>
      <c r="C1770" t="s">
        <v>40</v>
      </c>
      <c r="D1770" t="s">
        <v>59</v>
      </c>
      <c r="E1770">
        <v>2024</v>
      </c>
      <c r="F1770" t="s">
        <v>28</v>
      </c>
      <c r="G1770" t="s">
        <v>21</v>
      </c>
      <c r="H1770" t="s">
        <v>15</v>
      </c>
      <c r="I1770" t="s">
        <v>29</v>
      </c>
      <c r="J1770">
        <v>12452.31</v>
      </c>
      <c r="K1770">
        <v>14480.86</v>
      </c>
      <c r="L1770" s="20">
        <f>tbl_Budget[[#This Row],[Actual]]-tbl_Budget[[#This Row],[Budget]]</f>
        <v>2028.5500000000011</v>
      </c>
      <c r="M1770" s="3">
        <f>tbl_Budget[[#This Row],[Variance]]/tbl_Budget[[#This Row],[Budget]]</f>
        <v>0.16290551712895046</v>
      </c>
      <c r="N1770" t="str">
        <f>IF(tbl_Budget[[#This Row],[Variance_%]]&gt;0.05,"Overspend",IF(tbl_Budget[[#This Row],[Variance_%]]&lt;-0.05,"Underspend","On Budget"))</f>
        <v>Overspend</v>
      </c>
    </row>
    <row r="1771" spans="1:14">
      <c r="A1771" s="1">
        <v>45444</v>
      </c>
      <c r="B1771">
        <v>6</v>
      </c>
      <c r="C1771" t="s">
        <v>40</v>
      </c>
      <c r="D1771" t="s">
        <v>59</v>
      </c>
      <c r="E1771">
        <v>2024</v>
      </c>
      <c r="F1771" t="s">
        <v>28</v>
      </c>
      <c r="G1771" t="s">
        <v>21</v>
      </c>
      <c r="H1771" t="s">
        <v>17</v>
      </c>
      <c r="I1771" t="s">
        <v>29</v>
      </c>
      <c r="J1771">
        <v>11778.04</v>
      </c>
      <c r="K1771">
        <v>13201.83</v>
      </c>
      <c r="L1771" s="20">
        <f>tbl_Budget[[#This Row],[Actual]]-tbl_Budget[[#This Row],[Budget]]</f>
        <v>1423.7899999999991</v>
      </c>
      <c r="M1771" s="3">
        <f>tbl_Budget[[#This Row],[Variance]]/tbl_Budget[[#This Row],[Budget]]</f>
        <v>0.12088513878370247</v>
      </c>
      <c r="N1771" t="str">
        <f>IF(tbl_Budget[[#This Row],[Variance_%]]&gt;0.05,"Overspend",IF(tbl_Budget[[#This Row],[Variance_%]]&lt;-0.05,"Underspend","On Budget"))</f>
        <v>Overspend</v>
      </c>
    </row>
    <row r="1772" spans="1:14">
      <c r="A1772" s="1">
        <v>45444</v>
      </c>
      <c r="B1772">
        <v>6</v>
      </c>
      <c r="C1772" t="s">
        <v>40</v>
      </c>
      <c r="D1772" t="s">
        <v>59</v>
      </c>
      <c r="E1772">
        <v>2024</v>
      </c>
      <c r="F1772" t="s">
        <v>28</v>
      </c>
      <c r="G1772" t="s">
        <v>21</v>
      </c>
      <c r="H1772" t="s">
        <v>18</v>
      </c>
      <c r="I1772" t="s">
        <v>29</v>
      </c>
      <c r="J1772">
        <v>11565.54</v>
      </c>
      <c r="K1772">
        <v>13508.21</v>
      </c>
      <c r="L1772" s="20">
        <f>tbl_Budget[[#This Row],[Actual]]-tbl_Budget[[#This Row],[Budget]]</f>
        <v>1942.6699999999983</v>
      </c>
      <c r="M1772" s="3">
        <f>tbl_Budget[[#This Row],[Variance]]/tbl_Budget[[#This Row],[Budget]]</f>
        <v>0.16797054006989715</v>
      </c>
      <c r="N1772" t="str">
        <f>IF(tbl_Budget[[#This Row],[Variance_%]]&gt;0.05,"Overspend",IF(tbl_Budget[[#This Row],[Variance_%]]&lt;-0.05,"Underspend","On Budget"))</f>
        <v>Overspend</v>
      </c>
    </row>
    <row r="1773" spans="1:14">
      <c r="A1773" s="1">
        <v>45444</v>
      </c>
      <c r="B1773">
        <v>6</v>
      </c>
      <c r="C1773" t="s">
        <v>40</v>
      </c>
      <c r="D1773" t="s">
        <v>59</v>
      </c>
      <c r="E1773">
        <v>2024</v>
      </c>
      <c r="F1773" t="s">
        <v>28</v>
      </c>
      <c r="G1773" t="s">
        <v>21</v>
      </c>
      <c r="H1773" t="s">
        <v>19</v>
      </c>
      <c r="I1773" t="s">
        <v>29</v>
      </c>
      <c r="J1773">
        <v>12718.03</v>
      </c>
      <c r="K1773">
        <v>13633.11</v>
      </c>
      <c r="L1773" s="20">
        <f>tbl_Budget[[#This Row],[Actual]]-tbl_Budget[[#This Row],[Budget]]</f>
        <v>915.07999999999993</v>
      </c>
      <c r="M1773" s="3">
        <f>tbl_Budget[[#This Row],[Variance]]/tbl_Budget[[#This Row],[Budget]]</f>
        <v>7.1951394988060247E-2</v>
      </c>
      <c r="N1773" t="str">
        <f>IF(tbl_Budget[[#This Row],[Variance_%]]&gt;0.05,"Overspend",IF(tbl_Budget[[#This Row],[Variance_%]]&lt;-0.05,"Underspend","On Budget"))</f>
        <v>Overspend</v>
      </c>
    </row>
    <row r="1774" spans="1:14" hidden="1">
      <c r="A1774" s="1">
        <v>45444</v>
      </c>
      <c r="B1774">
        <v>6</v>
      </c>
      <c r="C1774" t="s">
        <v>40</v>
      </c>
      <c r="D1774" t="s">
        <v>59</v>
      </c>
      <c r="E1774">
        <v>2024</v>
      </c>
      <c r="F1774" t="s">
        <v>28</v>
      </c>
      <c r="G1774" t="s">
        <v>22</v>
      </c>
      <c r="H1774" t="s">
        <v>15</v>
      </c>
      <c r="I1774" t="s">
        <v>29</v>
      </c>
      <c r="J1774">
        <v>12592.7</v>
      </c>
      <c r="K1774">
        <v>13659.53</v>
      </c>
      <c r="L1774" s="20">
        <f>tbl_Budget[[#This Row],[Actual]]-tbl_Budget[[#This Row],[Budget]]</f>
        <v>1066.83</v>
      </c>
      <c r="M1774" s="3">
        <f>tbl_Budget[[#This Row],[Variance]]/tbl_Budget[[#This Row],[Budget]]</f>
        <v>8.4718130345358814E-2</v>
      </c>
      <c r="N1774" t="str">
        <f>IF(tbl_Budget[[#This Row],[Variance_%]]&gt;0.05,"Overspend",IF(tbl_Budget[[#This Row],[Variance_%]]&lt;-0.05,"Underspend","On Budget"))</f>
        <v>Overspend</v>
      </c>
    </row>
    <row r="1775" spans="1:14" hidden="1">
      <c r="A1775" s="1">
        <v>45444</v>
      </c>
      <c r="B1775">
        <v>6</v>
      </c>
      <c r="C1775" t="s">
        <v>40</v>
      </c>
      <c r="D1775" t="s">
        <v>59</v>
      </c>
      <c r="E1775">
        <v>2024</v>
      </c>
      <c r="F1775" t="s">
        <v>28</v>
      </c>
      <c r="G1775" t="s">
        <v>22</v>
      </c>
      <c r="H1775" t="s">
        <v>17</v>
      </c>
      <c r="I1775" t="s">
        <v>29</v>
      </c>
      <c r="J1775">
        <v>12399.75</v>
      </c>
      <c r="K1775">
        <v>11578.6</v>
      </c>
      <c r="L1775" s="20">
        <f>tbl_Budget[[#This Row],[Actual]]-tbl_Budget[[#This Row],[Budget]]</f>
        <v>-821.14999999999964</v>
      </c>
      <c r="M1775" s="3">
        <f>tbl_Budget[[#This Row],[Variance]]/tbl_Budget[[#This Row],[Budget]]</f>
        <v>-6.6223109336881761E-2</v>
      </c>
      <c r="N1775" t="str">
        <f>IF(tbl_Budget[[#This Row],[Variance_%]]&gt;0.05,"Overspend",IF(tbl_Budget[[#This Row],[Variance_%]]&lt;-0.05,"Underspend","On Budget"))</f>
        <v>Underspend</v>
      </c>
    </row>
    <row r="1776" spans="1:14" hidden="1">
      <c r="A1776" s="1">
        <v>45444</v>
      </c>
      <c r="B1776">
        <v>6</v>
      </c>
      <c r="C1776" t="s">
        <v>40</v>
      </c>
      <c r="D1776" t="s">
        <v>59</v>
      </c>
      <c r="E1776">
        <v>2024</v>
      </c>
      <c r="F1776" t="s">
        <v>28</v>
      </c>
      <c r="G1776" t="s">
        <v>22</v>
      </c>
      <c r="H1776" t="s">
        <v>18</v>
      </c>
      <c r="I1776" t="s">
        <v>29</v>
      </c>
      <c r="J1776">
        <v>12618.84</v>
      </c>
      <c r="K1776">
        <v>11554.3</v>
      </c>
      <c r="L1776" s="20">
        <f>tbl_Budget[[#This Row],[Actual]]-tbl_Budget[[#This Row],[Budget]]</f>
        <v>-1064.5400000000009</v>
      </c>
      <c r="M1776" s="3">
        <f>tbl_Budget[[#This Row],[Variance]]/tbl_Budget[[#This Row],[Budget]]</f>
        <v>-8.436116156477147E-2</v>
      </c>
      <c r="N1776" t="str">
        <f>IF(tbl_Budget[[#This Row],[Variance_%]]&gt;0.05,"Overspend",IF(tbl_Budget[[#This Row],[Variance_%]]&lt;-0.05,"Underspend","On Budget"))</f>
        <v>Underspend</v>
      </c>
    </row>
    <row r="1777" spans="1:14" hidden="1">
      <c r="A1777" s="1">
        <v>45444</v>
      </c>
      <c r="B1777">
        <v>6</v>
      </c>
      <c r="C1777" t="s">
        <v>40</v>
      </c>
      <c r="D1777" t="s">
        <v>59</v>
      </c>
      <c r="E1777">
        <v>2024</v>
      </c>
      <c r="F1777" t="s">
        <v>28</v>
      </c>
      <c r="G1777" t="s">
        <v>22</v>
      </c>
      <c r="H1777" t="s">
        <v>19</v>
      </c>
      <c r="I1777" t="s">
        <v>29</v>
      </c>
      <c r="J1777">
        <v>13498.73</v>
      </c>
      <c r="K1777">
        <v>11906.29</v>
      </c>
      <c r="L1777" s="20">
        <f>tbl_Budget[[#This Row],[Actual]]-tbl_Budget[[#This Row],[Budget]]</f>
        <v>-1592.4399999999987</v>
      </c>
      <c r="M1777" s="3">
        <f>tbl_Budget[[#This Row],[Variance]]/tbl_Budget[[#This Row],[Budget]]</f>
        <v>-0.11796961640095022</v>
      </c>
      <c r="N1777" t="str">
        <f>IF(tbl_Budget[[#This Row],[Variance_%]]&gt;0.05,"Overspend",IF(tbl_Budget[[#This Row],[Variance_%]]&lt;-0.05,"Underspend","On Budget"))</f>
        <v>Underspend</v>
      </c>
    </row>
    <row r="1778" spans="1:14" hidden="1">
      <c r="A1778" s="1">
        <v>45444</v>
      </c>
      <c r="B1778">
        <v>6</v>
      </c>
      <c r="C1778" t="s">
        <v>40</v>
      </c>
      <c r="D1778" t="s">
        <v>59</v>
      </c>
      <c r="E1778">
        <v>2024</v>
      </c>
      <c r="F1778" t="s">
        <v>28</v>
      </c>
      <c r="G1778" t="s">
        <v>23</v>
      </c>
      <c r="H1778" t="s">
        <v>15</v>
      </c>
      <c r="I1778" t="s">
        <v>29</v>
      </c>
      <c r="J1778">
        <v>8092.69</v>
      </c>
      <c r="K1778">
        <v>9380.16</v>
      </c>
      <c r="L1778" s="20">
        <f>tbl_Budget[[#This Row],[Actual]]-tbl_Budget[[#This Row],[Budget]]</f>
        <v>1287.4700000000003</v>
      </c>
      <c r="M1778" s="3">
        <f>tbl_Budget[[#This Row],[Variance]]/tbl_Budget[[#This Row],[Budget]]</f>
        <v>0.1590904878353181</v>
      </c>
      <c r="N1778" t="str">
        <f>IF(tbl_Budget[[#This Row],[Variance_%]]&gt;0.05,"Overspend",IF(tbl_Budget[[#This Row],[Variance_%]]&lt;-0.05,"Underspend","On Budget"))</f>
        <v>Overspend</v>
      </c>
    </row>
    <row r="1779" spans="1:14" hidden="1">
      <c r="A1779" s="1">
        <v>45444</v>
      </c>
      <c r="B1779">
        <v>6</v>
      </c>
      <c r="C1779" t="s">
        <v>40</v>
      </c>
      <c r="D1779" t="s">
        <v>59</v>
      </c>
      <c r="E1779">
        <v>2024</v>
      </c>
      <c r="F1779" t="s">
        <v>28</v>
      </c>
      <c r="G1779" t="s">
        <v>23</v>
      </c>
      <c r="H1779" t="s">
        <v>17</v>
      </c>
      <c r="I1779" t="s">
        <v>29</v>
      </c>
      <c r="J1779">
        <v>7668.41</v>
      </c>
      <c r="K1779">
        <v>8989.1200000000008</v>
      </c>
      <c r="L1779" s="20">
        <f>tbl_Budget[[#This Row],[Actual]]-tbl_Budget[[#This Row],[Budget]]</f>
        <v>1320.7100000000009</v>
      </c>
      <c r="M1779" s="3">
        <f>tbl_Budget[[#This Row],[Variance]]/tbl_Budget[[#This Row],[Budget]]</f>
        <v>0.17222735873538333</v>
      </c>
      <c r="N1779" t="str">
        <f>IF(tbl_Budget[[#This Row],[Variance_%]]&gt;0.05,"Overspend",IF(tbl_Budget[[#This Row],[Variance_%]]&lt;-0.05,"Underspend","On Budget"))</f>
        <v>Overspend</v>
      </c>
    </row>
    <row r="1780" spans="1:14" hidden="1">
      <c r="A1780" s="1">
        <v>45444</v>
      </c>
      <c r="B1780">
        <v>6</v>
      </c>
      <c r="C1780" t="s">
        <v>40</v>
      </c>
      <c r="D1780" t="s">
        <v>59</v>
      </c>
      <c r="E1780">
        <v>2024</v>
      </c>
      <c r="F1780" t="s">
        <v>28</v>
      </c>
      <c r="G1780" t="s">
        <v>23</v>
      </c>
      <c r="H1780" t="s">
        <v>18</v>
      </c>
      <c r="I1780" t="s">
        <v>29</v>
      </c>
      <c r="J1780">
        <v>7846.68</v>
      </c>
      <c r="K1780">
        <v>7752.53</v>
      </c>
      <c r="L1780" s="20">
        <f>tbl_Budget[[#This Row],[Actual]]-tbl_Budget[[#This Row],[Budget]]</f>
        <v>-94.150000000000546</v>
      </c>
      <c r="M1780" s="3">
        <f>tbl_Budget[[#This Row],[Variance]]/tbl_Budget[[#This Row],[Budget]]</f>
        <v>-1.1998705184868064E-2</v>
      </c>
      <c r="N1780" t="str">
        <f>IF(tbl_Budget[[#This Row],[Variance_%]]&gt;0.05,"Overspend",IF(tbl_Budget[[#This Row],[Variance_%]]&lt;-0.05,"Underspend","On Budget"))</f>
        <v>On Budget</v>
      </c>
    </row>
    <row r="1781" spans="1:14" hidden="1">
      <c r="A1781" s="1">
        <v>45444</v>
      </c>
      <c r="B1781">
        <v>6</v>
      </c>
      <c r="C1781" t="s">
        <v>40</v>
      </c>
      <c r="D1781" t="s">
        <v>59</v>
      </c>
      <c r="E1781">
        <v>2024</v>
      </c>
      <c r="F1781" t="s">
        <v>28</v>
      </c>
      <c r="G1781" t="s">
        <v>23</v>
      </c>
      <c r="H1781" t="s">
        <v>19</v>
      </c>
      <c r="I1781" t="s">
        <v>29</v>
      </c>
      <c r="J1781">
        <v>8341.2999999999993</v>
      </c>
      <c r="K1781">
        <v>8926.77</v>
      </c>
      <c r="L1781" s="20">
        <f>tbl_Budget[[#This Row],[Actual]]-tbl_Budget[[#This Row],[Budget]]</f>
        <v>585.47000000000116</v>
      </c>
      <c r="M1781" s="3">
        <f>tbl_Budget[[#This Row],[Variance]]/tbl_Budget[[#This Row],[Budget]]</f>
        <v>7.0189299030127342E-2</v>
      </c>
      <c r="N1781" t="str">
        <f>IF(tbl_Budget[[#This Row],[Variance_%]]&gt;0.05,"Overspend",IF(tbl_Budget[[#This Row],[Variance_%]]&lt;-0.05,"Underspend","On Budget"))</f>
        <v>Overspend</v>
      </c>
    </row>
    <row r="1782" spans="1:14" hidden="1">
      <c r="A1782" s="1">
        <v>45444</v>
      </c>
      <c r="B1782">
        <v>6</v>
      </c>
      <c r="C1782" t="s">
        <v>40</v>
      </c>
      <c r="D1782" t="s">
        <v>59</v>
      </c>
      <c r="E1782">
        <v>2024</v>
      </c>
      <c r="F1782" t="s">
        <v>30</v>
      </c>
      <c r="G1782" t="s">
        <v>14</v>
      </c>
      <c r="H1782" t="s">
        <v>15</v>
      </c>
      <c r="I1782" t="s">
        <v>31</v>
      </c>
      <c r="J1782">
        <v>45936.01</v>
      </c>
      <c r="K1782">
        <v>44460.26</v>
      </c>
      <c r="L1782" s="20">
        <f>tbl_Budget[[#This Row],[Actual]]-tbl_Budget[[#This Row],[Budget]]</f>
        <v>-1475.75</v>
      </c>
      <c r="M1782" s="3">
        <f>tbl_Budget[[#This Row],[Variance]]/tbl_Budget[[#This Row],[Budget]]</f>
        <v>-3.2126212093736478E-2</v>
      </c>
      <c r="N1782" t="str">
        <f>IF(tbl_Budget[[#This Row],[Variance_%]]&gt;0.05,"Overspend",IF(tbl_Budget[[#This Row],[Variance_%]]&lt;-0.05,"Underspend","On Budget"))</f>
        <v>On Budget</v>
      </c>
    </row>
    <row r="1783" spans="1:14" hidden="1">
      <c r="A1783" s="1">
        <v>45444</v>
      </c>
      <c r="B1783">
        <v>6</v>
      </c>
      <c r="C1783" t="s">
        <v>40</v>
      </c>
      <c r="D1783" t="s">
        <v>59</v>
      </c>
      <c r="E1783">
        <v>2024</v>
      </c>
      <c r="F1783" t="s">
        <v>30</v>
      </c>
      <c r="G1783" t="s">
        <v>14</v>
      </c>
      <c r="H1783" t="s">
        <v>17</v>
      </c>
      <c r="I1783" t="s">
        <v>31</v>
      </c>
      <c r="J1783">
        <v>42317.56</v>
      </c>
      <c r="K1783">
        <v>42735.92</v>
      </c>
      <c r="L1783" s="20">
        <f>tbl_Budget[[#This Row],[Actual]]-tbl_Budget[[#This Row],[Budget]]</f>
        <v>418.36000000000058</v>
      </c>
      <c r="M1783" s="3">
        <f>tbl_Budget[[#This Row],[Variance]]/tbl_Budget[[#This Row],[Budget]]</f>
        <v>9.8862032688085185E-3</v>
      </c>
      <c r="N1783" t="str">
        <f>IF(tbl_Budget[[#This Row],[Variance_%]]&gt;0.05,"Overspend",IF(tbl_Budget[[#This Row],[Variance_%]]&lt;-0.05,"Underspend","On Budget"))</f>
        <v>On Budget</v>
      </c>
    </row>
    <row r="1784" spans="1:14" hidden="1">
      <c r="A1784" s="1">
        <v>45444</v>
      </c>
      <c r="B1784">
        <v>6</v>
      </c>
      <c r="C1784" t="s">
        <v>40</v>
      </c>
      <c r="D1784" t="s">
        <v>59</v>
      </c>
      <c r="E1784">
        <v>2024</v>
      </c>
      <c r="F1784" t="s">
        <v>30</v>
      </c>
      <c r="G1784" t="s">
        <v>14</v>
      </c>
      <c r="H1784" t="s">
        <v>18</v>
      </c>
      <c r="I1784" t="s">
        <v>31</v>
      </c>
      <c r="J1784">
        <v>43732.07</v>
      </c>
      <c r="K1784">
        <v>42028.959999999999</v>
      </c>
      <c r="L1784" s="20">
        <f>tbl_Budget[[#This Row],[Actual]]-tbl_Budget[[#This Row],[Budget]]</f>
        <v>-1703.1100000000006</v>
      </c>
      <c r="M1784" s="3">
        <f>tbl_Budget[[#This Row],[Variance]]/tbl_Budget[[#This Row],[Budget]]</f>
        <v>-3.8944189012777138E-2</v>
      </c>
      <c r="N1784" t="str">
        <f>IF(tbl_Budget[[#This Row],[Variance_%]]&gt;0.05,"Overspend",IF(tbl_Budget[[#This Row],[Variance_%]]&lt;-0.05,"Underspend","On Budget"))</f>
        <v>On Budget</v>
      </c>
    </row>
    <row r="1785" spans="1:14" hidden="1">
      <c r="A1785" s="1">
        <v>45444</v>
      </c>
      <c r="B1785">
        <v>6</v>
      </c>
      <c r="C1785" t="s">
        <v>40</v>
      </c>
      <c r="D1785" t="s">
        <v>59</v>
      </c>
      <c r="E1785">
        <v>2024</v>
      </c>
      <c r="F1785" t="s">
        <v>30</v>
      </c>
      <c r="G1785" t="s">
        <v>14</v>
      </c>
      <c r="H1785" t="s">
        <v>19</v>
      </c>
      <c r="I1785" t="s">
        <v>31</v>
      </c>
      <c r="J1785">
        <v>48105.97</v>
      </c>
      <c r="K1785">
        <v>47246.38</v>
      </c>
      <c r="L1785" s="20">
        <f>tbl_Budget[[#This Row],[Actual]]-tbl_Budget[[#This Row],[Budget]]</f>
        <v>-859.59000000000378</v>
      </c>
      <c r="M1785" s="3">
        <f>tbl_Budget[[#This Row],[Variance]]/tbl_Budget[[#This Row],[Budget]]</f>
        <v>-1.786867617470355E-2</v>
      </c>
      <c r="N1785" t="str">
        <f>IF(tbl_Budget[[#This Row],[Variance_%]]&gt;0.05,"Overspend",IF(tbl_Budget[[#This Row],[Variance_%]]&lt;-0.05,"Underspend","On Budget"))</f>
        <v>On Budget</v>
      </c>
    </row>
    <row r="1786" spans="1:14" hidden="1">
      <c r="A1786" s="1">
        <v>45444</v>
      </c>
      <c r="B1786">
        <v>6</v>
      </c>
      <c r="C1786" t="s">
        <v>40</v>
      </c>
      <c r="D1786" t="s">
        <v>59</v>
      </c>
      <c r="E1786">
        <v>2024</v>
      </c>
      <c r="F1786" t="s">
        <v>30</v>
      </c>
      <c r="G1786" t="s">
        <v>20</v>
      </c>
      <c r="H1786" t="s">
        <v>15</v>
      </c>
      <c r="I1786" t="s">
        <v>31</v>
      </c>
      <c r="J1786">
        <v>17135.27</v>
      </c>
      <c r="K1786">
        <v>16677.38</v>
      </c>
      <c r="L1786" s="20">
        <f>tbl_Budget[[#This Row],[Actual]]-tbl_Budget[[#This Row],[Budget]]</f>
        <v>-457.88999999999942</v>
      </c>
      <c r="M1786" s="3">
        <f>tbl_Budget[[#This Row],[Variance]]/tbl_Budget[[#This Row],[Budget]]</f>
        <v>-2.6722076745799711E-2</v>
      </c>
      <c r="N1786" t="str">
        <f>IF(tbl_Budget[[#This Row],[Variance_%]]&gt;0.05,"Overspend",IF(tbl_Budget[[#This Row],[Variance_%]]&lt;-0.05,"Underspend","On Budget"))</f>
        <v>On Budget</v>
      </c>
    </row>
    <row r="1787" spans="1:14" hidden="1">
      <c r="A1787" s="1">
        <v>45444</v>
      </c>
      <c r="B1787">
        <v>6</v>
      </c>
      <c r="C1787" t="s">
        <v>40</v>
      </c>
      <c r="D1787" t="s">
        <v>59</v>
      </c>
      <c r="E1787">
        <v>2024</v>
      </c>
      <c r="F1787" t="s">
        <v>30</v>
      </c>
      <c r="G1787" t="s">
        <v>20</v>
      </c>
      <c r="H1787" t="s">
        <v>17</v>
      </c>
      <c r="I1787" t="s">
        <v>31</v>
      </c>
      <c r="J1787">
        <v>16439.189999999999</v>
      </c>
      <c r="K1787">
        <v>15812.78</v>
      </c>
      <c r="L1787" s="20">
        <f>tbl_Budget[[#This Row],[Actual]]-tbl_Budget[[#This Row],[Budget]]</f>
        <v>-626.40999999999804</v>
      </c>
      <c r="M1787" s="3">
        <f>tbl_Budget[[#This Row],[Variance]]/tbl_Budget[[#This Row],[Budget]]</f>
        <v>-3.8104675473669816E-2</v>
      </c>
      <c r="N1787" t="str">
        <f>IF(tbl_Budget[[#This Row],[Variance_%]]&gt;0.05,"Overspend",IF(tbl_Budget[[#This Row],[Variance_%]]&lt;-0.05,"Underspend","On Budget"))</f>
        <v>On Budget</v>
      </c>
    </row>
    <row r="1788" spans="1:14" hidden="1">
      <c r="A1788" s="1">
        <v>45444</v>
      </c>
      <c r="B1788">
        <v>6</v>
      </c>
      <c r="C1788" t="s">
        <v>40</v>
      </c>
      <c r="D1788" t="s">
        <v>59</v>
      </c>
      <c r="E1788">
        <v>2024</v>
      </c>
      <c r="F1788" t="s">
        <v>30</v>
      </c>
      <c r="G1788" t="s">
        <v>20</v>
      </c>
      <c r="H1788" t="s">
        <v>18</v>
      </c>
      <c r="I1788" t="s">
        <v>31</v>
      </c>
      <c r="J1788">
        <v>16451.2</v>
      </c>
      <c r="K1788">
        <v>16172.69</v>
      </c>
      <c r="L1788" s="20">
        <f>tbl_Budget[[#This Row],[Actual]]-tbl_Budget[[#This Row],[Budget]]</f>
        <v>-278.51000000000022</v>
      </c>
      <c r="M1788" s="3">
        <f>tbl_Budget[[#This Row],[Variance]]/tbl_Budget[[#This Row],[Budget]]</f>
        <v>-1.6929464112040472E-2</v>
      </c>
      <c r="N1788" t="str">
        <f>IF(tbl_Budget[[#This Row],[Variance_%]]&gt;0.05,"Overspend",IF(tbl_Budget[[#This Row],[Variance_%]]&lt;-0.05,"Underspend","On Budget"))</f>
        <v>On Budget</v>
      </c>
    </row>
    <row r="1789" spans="1:14" hidden="1">
      <c r="A1789" s="1">
        <v>45444</v>
      </c>
      <c r="B1789">
        <v>6</v>
      </c>
      <c r="C1789" t="s">
        <v>40</v>
      </c>
      <c r="D1789" t="s">
        <v>59</v>
      </c>
      <c r="E1789">
        <v>2024</v>
      </c>
      <c r="F1789" t="s">
        <v>30</v>
      </c>
      <c r="G1789" t="s">
        <v>20</v>
      </c>
      <c r="H1789" t="s">
        <v>19</v>
      </c>
      <c r="I1789" t="s">
        <v>31</v>
      </c>
      <c r="J1789">
        <v>17971.439999999999</v>
      </c>
      <c r="K1789">
        <v>18301.830000000002</v>
      </c>
      <c r="L1789" s="20">
        <f>tbl_Budget[[#This Row],[Actual]]-tbl_Budget[[#This Row],[Budget]]</f>
        <v>330.39000000000306</v>
      </c>
      <c r="M1789" s="3">
        <f>tbl_Budget[[#This Row],[Variance]]/tbl_Budget[[#This Row],[Budget]]</f>
        <v>1.8384169549017948E-2</v>
      </c>
      <c r="N1789" t="str">
        <f>IF(tbl_Budget[[#This Row],[Variance_%]]&gt;0.05,"Overspend",IF(tbl_Budget[[#This Row],[Variance_%]]&lt;-0.05,"Underspend","On Budget"))</f>
        <v>On Budget</v>
      </c>
    </row>
    <row r="1790" spans="1:14">
      <c r="A1790" s="1">
        <v>45444</v>
      </c>
      <c r="B1790">
        <v>6</v>
      </c>
      <c r="C1790" t="s">
        <v>40</v>
      </c>
      <c r="D1790" t="s">
        <v>59</v>
      </c>
      <c r="E1790">
        <v>2024</v>
      </c>
      <c r="F1790" t="s">
        <v>30</v>
      </c>
      <c r="G1790" t="s">
        <v>21</v>
      </c>
      <c r="H1790" t="s">
        <v>15</v>
      </c>
      <c r="I1790" t="s">
        <v>31</v>
      </c>
      <c r="J1790">
        <v>7492.4</v>
      </c>
      <c r="K1790">
        <v>7670.3</v>
      </c>
      <c r="L1790" s="20">
        <f>tbl_Budget[[#This Row],[Actual]]-tbl_Budget[[#This Row],[Budget]]</f>
        <v>177.90000000000055</v>
      </c>
      <c r="M1790" s="3">
        <f>tbl_Budget[[#This Row],[Variance]]/tbl_Budget[[#This Row],[Budget]]</f>
        <v>2.3744060648123507E-2</v>
      </c>
      <c r="N1790" t="str">
        <f>IF(tbl_Budget[[#This Row],[Variance_%]]&gt;0.05,"Overspend",IF(tbl_Budget[[#This Row],[Variance_%]]&lt;-0.05,"Underspend","On Budget"))</f>
        <v>On Budget</v>
      </c>
    </row>
    <row r="1791" spans="1:14">
      <c r="A1791" s="1">
        <v>45444</v>
      </c>
      <c r="B1791">
        <v>6</v>
      </c>
      <c r="C1791" t="s">
        <v>40</v>
      </c>
      <c r="D1791" t="s">
        <v>59</v>
      </c>
      <c r="E1791">
        <v>2024</v>
      </c>
      <c r="F1791" t="s">
        <v>30</v>
      </c>
      <c r="G1791" t="s">
        <v>21</v>
      </c>
      <c r="H1791" t="s">
        <v>17</v>
      </c>
      <c r="I1791" t="s">
        <v>31</v>
      </c>
      <c r="J1791">
        <v>7080.72</v>
      </c>
      <c r="K1791">
        <v>7398.58</v>
      </c>
      <c r="L1791" s="20">
        <f>tbl_Budget[[#This Row],[Actual]]-tbl_Budget[[#This Row],[Budget]]</f>
        <v>317.85999999999967</v>
      </c>
      <c r="M1791" s="3">
        <f>tbl_Budget[[#This Row],[Variance]]/tbl_Budget[[#This Row],[Budget]]</f>
        <v>4.4890915048187145E-2</v>
      </c>
      <c r="N1791" t="str">
        <f>IF(tbl_Budget[[#This Row],[Variance_%]]&gt;0.05,"Overspend",IF(tbl_Budget[[#This Row],[Variance_%]]&lt;-0.05,"Underspend","On Budget"))</f>
        <v>On Budget</v>
      </c>
    </row>
    <row r="1792" spans="1:14">
      <c r="A1792" s="1">
        <v>45444</v>
      </c>
      <c r="B1792">
        <v>6</v>
      </c>
      <c r="C1792" t="s">
        <v>40</v>
      </c>
      <c r="D1792" t="s">
        <v>59</v>
      </c>
      <c r="E1792">
        <v>2024</v>
      </c>
      <c r="F1792" t="s">
        <v>30</v>
      </c>
      <c r="G1792" t="s">
        <v>21</v>
      </c>
      <c r="H1792" t="s">
        <v>18</v>
      </c>
      <c r="I1792" t="s">
        <v>31</v>
      </c>
      <c r="J1792">
        <v>7029.5</v>
      </c>
      <c r="K1792">
        <v>7011.46</v>
      </c>
      <c r="L1792" s="20">
        <f>tbl_Budget[[#This Row],[Actual]]-tbl_Budget[[#This Row],[Budget]]</f>
        <v>-18.039999999999964</v>
      </c>
      <c r="M1792" s="3">
        <f>tbl_Budget[[#This Row],[Variance]]/tbl_Budget[[#This Row],[Budget]]</f>
        <v>-2.566327619318581E-3</v>
      </c>
      <c r="N1792" t="str">
        <f>IF(tbl_Budget[[#This Row],[Variance_%]]&gt;0.05,"Overspend",IF(tbl_Budget[[#This Row],[Variance_%]]&lt;-0.05,"Underspend","On Budget"))</f>
        <v>On Budget</v>
      </c>
    </row>
    <row r="1793" spans="1:14">
      <c r="A1793" s="1">
        <v>45444</v>
      </c>
      <c r="B1793">
        <v>6</v>
      </c>
      <c r="C1793" t="s">
        <v>40</v>
      </c>
      <c r="D1793" t="s">
        <v>59</v>
      </c>
      <c r="E1793">
        <v>2024</v>
      </c>
      <c r="F1793" t="s">
        <v>30</v>
      </c>
      <c r="G1793" t="s">
        <v>21</v>
      </c>
      <c r="H1793" t="s">
        <v>19</v>
      </c>
      <c r="I1793" t="s">
        <v>31</v>
      </c>
      <c r="J1793">
        <v>7553.25</v>
      </c>
      <c r="K1793">
        <v>7665.15</v>
      </c>
      <c r="L1793" s="20">
        <f>tbl_Budget[[#This Row],[Actual]]-tbl_Budget[[#This Row],[Budget]]</f>
        <v>111.89999999999964</v>
      </c>
      <c r="M1793" s="3">
        <f>tbl_Budget[[#This Row],[Variance]]/tbl_Budget[[#This Row],[Budget]]</f>
        <v>1.4814814814814767E-2</v>
      </c>
      <c r="N1793" t="str">
        <f>IF(tbl_Budget[[#This Row],[Variance_%]]&gt;0.05,"Overspend",IF(tbl_Budget[[#This Row],[Variance_%]]&lt;-0.05,"Underspend","On Budget"))</f>
        <v>On Budget</v>
      </c>
    </row>
    <row r="1794" spans="1:14" hidden="1">
      <c r="A1794" s="1">
        <v>45444</v>
      </c>
      <c r="B1794">
        <v>6</v>
      </c>
      <c r="C1794" t="s">
        <v>40</v>
      </c>
      <c r="D1794" t="s">
        <v>59</v>
      </c>
      <c r="E1794">
        <v>2024</v>
      </c>
      <c r="F1794" t="s">
        <v>30</v>
      </c>
      <c r="G1794" t="s">
        <v>22</v>
      </c>
      <c r="H1794" t="s">
        <v>15</v>
      </c>
      <c r="I1794" t="s">
        <v>31</v>
      </c>
      <c r="J1794">
        <v>7723.33</v>
      </c>
      <c r="K1794">
        <v>7561.41</v>
      </c>
      <c r="L1794" s="20">
        <f>tbl_Budget[[#This Row],[Actual]]-tbl_Budget[[#This Row],[Budget]]</f>
        <v>-161.92000000000007</v>
      </c>
      <c r="M1794" s="3">
        <f>tbl_Budget[[#This Row],[Variance]]/tbl_Budget[[#This Row],[Budget]]</f>
        <v>-2.0965050049654758E-2</v>
      </c>
      <c r="N1794" t="str">
        <f>IF(tbl_Budget[[#This Row],[Variance_%]]&gt;0.05,"Overspend",IF(tbl_Budget[[#This Row],[Variance_%]]&lt;-0.05,"Underspend","On Budget"))</f>
        <v>On Budget</v>
      </c>
    </row>
    <row r="1795" spans="1:14" hidden="1">
      <c r="A1795" s="1">
        <v>45444</v>
      </c>
      <c r="B1795">
        <v>6</v>
      </c>
      <c r="C1795" t="s">
        <v>40</v>
      </c>
      <c r="D1795" t="s">
        <v>59</v>
      </c>
      <c r="E1795">
        <v>2024</v>
      </c>
      <c r="F1795" t="s">
        <v>30</v>
      </c>
      <c r="G1795" t="s">
        <v>22</v>
      </c>
      <c r="H1795" t="s">
        <v>17</v>
      </c>
      <c r="I1795" t="s">
        <v>31</v>
      </c>
      <c r="J1795">
        <v>7056.82</v>
      </c>
      <c r="K1795">
        <v>6837.51</v>
      </c>
      <c r="L1795" s="20">
        <f>tbl_Budget[[#This Row],[Actual]]-tbl_Budget[[#This Row],[Budget]]</f>
        <v>-219.30999999999949</v>
      </c>
      <c r="M1795" s="3">
        <f>tbl_Budget[[#This Row],[Variance]]/tbl_Budget[[#This Row],[Budget]]</f>
        <v>-3.107773756451199E-2</v>
      </c>
      <c r="N1795" t="str">
        <f>IF(tbl_Budget[[#This Row],[Variance_%]]&gt;0.05,"Overspend",IF(tbl_Budget[[#This Row],[Variance_%]]&lt;-0.05,"Underspend","On Budget"))</f>
        <v>On Budget</v>
      </c>
    </row>
    <row r="1796" spans="1:14" hidden="1">
      <c r="A1796" s="1">
        <v>45444</v>
      </c>
      <c r="B1796">
        <v>6</v>
      </c>
      <c r="C1796" t="s">
        <v>40</v>
      </c>
      <c r="D1796" t="s">
        <v>59</v>
      </c>
      <c r="E1796">
        <v>2024</v>
      </c>
      <c r="F1796" t="s">
        <v>30</v>
      </c>
      <c r="G1796" t="s">
        <v>22</v>
      </c>
      <c r="H1796" t="s">
        <v>18</v>
      </c>
      <c r="I1796" t="s">
        <v>31</v>
      </c>
      <c r="J1796">
        <v>7493.4</v>
      </c>
      <c r="K1796">
        <v>7742.98</v>
      </c>
      <c r="L1796" s="20">
        <f>tbl_Budget[[#This Row],[Actual]]-tbl_Budget[[#This Row],[Budget]]</f>
        <v>249.57999999999993</v>
      </c>
      <c r="M1796" s="3">
        <f>tbl_Budget[[#This Row],[Variance]]/tbl_Budget[[#This Row],[Budget]]</f>
        <v>3.3306643179331137E-2</v>
      </c>
      <c r="N1796" t="str">
        <f>IF(tbl_Budget[[#This Row],[Variance_%]]&gt;0.05,"Overspend",IF(tbl_Budget[[#This Row],[Variance_%]]&lt;-0.05,"Underspend","On Budget"))</f>
        <v>On Budget</v>
      </c>
    </row>
    <row r="1797" spans="1:14" hidden="1">
      <c r="A1797" s="1">
        <v>45444</v>
      </c>
      <c r="B1797">
        <v>6</v>
      </c>
      <c r="C1797" t="s">
        <v>40</v>
      </c>
      <c r="D1797" t="s">
        <v>59</v>
      </c>
      <c r="E1797">
        <v>2024</v>
      </c>
      <c r="F1797" t="s">
        <v>30</v>
      </c>
      <c r="G1797" t="s">
        <v>22</v>
      </c>
      <c r="H1797" t="s">
        <v>19</v>
      </c>
      <c r="I1797" t="s">
        <v>31</v>
      </c>
      <c r="J1797">
        <v>7759.18</v>
      </c>
      <c r="K1797">
        <v>7988.92</v>
      </c>
      <c r="L1797" s="20">
        <f>tbl_Budget[[#This Row],[Actual]]-tbl_Budget[[#This Row],[Budget]]</f>
        <v>229.73999999999978</v>
      </c>
      <c r="M1797" s="3">
        <f>tbl_Budget[[#This Row],[Variance]]/tbl_Budget[[#This Row],[Budget]]</f>
        <v>2.960879886792158E-2</v>
      </c>
      <c r="N1797" t="str">
        <f>IF(tbl_Budget[[#This Row],[Variance_%]]&gt;0.05,"Overspend",IF(tbl_Budget[[#This Row],[Variance_%]]&lt;-0.05,"Underspend","On Budget"))</f>
        <v>On Budget</v>
      </c>
    </row>
    <row r="1798" spans="1:14" hidden="1">
      <c r="A1798" s="1">
        <v>45444</v>
      </c>
      <c r="B1798">
        <v>6</v>
      </c>
      <c r="C1798" t="s">
        <v>40</v>
      </c>
      <c r="D1798" t="s">
        <v>59</v>
      </c>
      <c r="E1798">
        <v>2024</v>
      </c>
      <c r="F1798" t="s">
        <v>30</v>
      </c>
      <c r="G1798" t="s">
        <v>23</v>
      </c>
      <c r="H1798" t="s">
        <v>15</v>
      </c>
      <c r="I1798" t="s">
        <v>31</v>
      </c>
      <c r="J1798">
        <v>6506.04</v>
      </c>
      <c r="K1798">
        <v>6406.7</v>
      </c>
      <c r="L1798" s="20">
        <f>tbl_Budget[[#This Row],[Actual]]-tbl_Budget[[#This Row],[Budget]]</f>
        <v>-99.340000000000146</v>
      </c>
      <c r="M1798" s="3">
        <f>tbl_Budget[[#This Row],[Variance]]/tbl_Budget[[#This Row],[Budget]]</f>
        <v>-1.5268888601976033E-2</v>
      </c>
      <c r="N1798" t="str">
        <f>IF(tbl_Budget[[#This Row],[Variance_%]]&gt;0.05,"Overspend",IF(tbl_Budget[[#This Row],[Variance_%]]&lt;-0.05,"Underspend","On Budget"))</f>
        <v>On Budget</v>
      </c>
    </row>
    <row r="1799" spans="1:14" hidden="1">
      <c r="A1799" s="1">
        <v>45444</v>
      </c>
      <c r="B1799">
        <v>6</v>
      </c>
      <c r="C1799" t="s">
        <v>40</v>
      </c>
      <c r="D1799" t="s">
        <v>59</v>
      </c>
      <c r="E1799">
        <v>2024</v>
      </c>
      <c r="F1799" t="s">
        <v>30</v>
      </c>
      <c r="G1799" t="s">
        <v>23</v>
      </c>
      <c r="H1799" t="s">
        <v>17</v>
      </c>
      <c r="I1799" t="s">
        <v>31</v>
      </c>
      <c r="J1799">
        <v>6203.95</v>
      </c>
      <c r="K1799">
        <v>6316.12</v>
      </c>
      <c r="L1799" s="20">
        <f>tbl_Budget[[#This Row],[Actual]]-tbl_Budget[[#This Row],[Budget]]</f>
        <v>112.17000000000007</v>
      </c>
      <c r="M1799" s="3">
        <f>tbl_Budget[[#This Row],[Variance]]/tbl_Budget[[#This Row],[Budget]]</f>
        <v>1.8080416508837124E-2</v>
      </c>
      <c r="N1799" t="str">
        <f>IF(tbl_Budget[[#This Row],[Variance_%]]&gt;0.05,"Overspend",IF(tbl_Budget[[#This Row],[Variance_%]]&lt;-0.05,"Underspend","On Budget"))</f>
        <v>On Budget</v>
      </c>
    </row>
    <row r="1800" spans="1:14" hidden="1">
      <c r="A1800" s="1">
        <v>45444</v>
      </c>
      <c r="B1800">
        <v>6</v>
      </c>
      <c r="C1800" t="s">
        <v>40</v>
      </c>
      <c r="D1800" t="s">
        <v>59</v>
      </c>
      <c r="E1800">
        <v>2024</v>
      </c>
      <c r="F1800" t="s">
        <v>30</v>
      </c>
      <c r="G1800" t="s">
        <v>23</v>
      </c>
      <c r="H1800" t="s">
        <v>18</v>
      </c>
      <c r="I1800" t="s">
        <v>31</v>
      </c>
      <c r="J1800">
        <v>6465.63</v>
      </c>
      <c r="K1800">
        <v>6443.55</v>
      </c>
      <c r="L1800" s="20">
        <f>tbl_Budget[[#This Row],[Actual]]-tbl_Budget[[#This Row],[Budget]]</f>
        <v>-22.079999999999927</v>
      </c>
      <c r="M1800" s="3">
        <f>tbl_Budget[[#This Row],[Variance]]/tbl_Budget[[#This Row],[Budget]]</f>
        <v>-3.4149804427410671E-3</v>
      </c>
      <c r="N1800" t="str">
        <f>IF(tbl_Budget[[#This Row],[Variance_%]]&gt;0.05,"Overspend",IF(tbl_Budget[[#This Row],[Variance_%]]&lt;-0.05,"Underspend","On Budget"))</f>
        <v>On Budget</v>
      </c>
    </row>
    <row r="1801" spans="1:14" hidden="1">
      <c r="A1801" s="1">
        <v>45444</v>
      </c>
      <c r="B1801">
        <v>6</v>
      </c>
      <c r="C1801" t="s">
        <v>40</v>
      </c>
      <c r="D1801" t="s">
        <v>59</v>
      </c>
      <c r="E1801">
        <v>2024</v>
      </c>
      <c r="F1801" t="s">
        <v>30</v>
      </c>
      <c r="G1801" t="s">
        <v>23</v>
      </c>
      <c r="H1801" t="s">
        <v>19</v>
      </c>
      <c r="I1801" t="s">
        <v>31</v>
      </c>
      <c r="J1801">
        <v>6802.62</v>
      </c>
      <c r="K1801">
        <v>6535.49</v>
      </c>
      <c r="L1801" s="20">
        <f>tbl_Budget[[#This Row],[Actual]]-tbl_Budget[[#This Row],[Budget]]</f>
        <v>-267.13000000000011</v>
      </c>
      <c r="M1801" s="3">
        <f>tbl_Budget[[#This Row],[Variance]]/tbl_Budget[[#This Row],[Budget]]</f>
        <v>-3.9268693532785913E-2</v>
      </c>
      <c r="N1801" t="str">
        <f>IF(tbl_Budget[[#This Row],[Variance_%]]&gt;0.05,"Overspend",IF(tbl_Budget[[#This Row],[Variance_%]]&lt;-0.05,"Underspend","On Budget"))</f>
        <v>On Budget</v>
      </c>
    </row>
    <row r="1802" spans="1:14" hidden="1">
      <c r="A1802" s="1">
        <v>45474</v>
      </c>
      <c r="B1802">
        <v>7</v>
      </c>
      <c r="C1802" t="s">
        <v>42</v>
      </c>
      <c r="D1802" t="s">
        <v>60</v>
      </c>
      <c r="E1802">
        <v>2024</v>
      </c>
      <c r="F1802" t="s">
        <v>13</v>
      </c>
      <c r="G1802" t="s">
        <v>14</v>
      </c>
      <c r="H1802" t="s">
        <v>15</v>
      </c>
      <c r="I1802" t="s">
        <v>16</v>
      </c>
      <c r="J1802">
        <v>50949.52</v>
      </c>
      <c r="K1802">
        <v>56162.63</v>
      </c>
      <c r="L1802" s="20">
        <f>tbl_Budget[[#This Row],[Actual]]-tbl_Budget[[#This Row],[Budget]]</f>
        <v>5213.1100000000006</v>
      </c>
      <c r="M1802" s="3">
        <f>tbl_Budget[[#This Row],[Variance]]/tbl_Budget[[#This Row],[Budget]]</f>
        <v>0.10231911900249503</v>
      </c>
      <c r="N1802" t="str">
        <f>IF(tbl_Budget[[#This Row],[Variance_%]]&gt;0.05,"Overspend",IF(tbl_Budget[[#This Row],[Variance_%]]&lt;-0.05,"Underspend","On Budget"))</f>
        <v>Overspend</v>
      </c>
    </row>
    <row r="1803" spans="1:14" hidden="1">
      <c r="A1803" s="1">
        <v>45474</v>
      </c>
      <c r="B1803">
        <v>7</v>
      </c>
      <c r="C1803" t="s">
        <v>42</v>
      </c>
      <c r="D1803" t="s">
        <v>60</v>
      </c>
      <c r="E1803">
        <v>2024</v>
      </c>
      <c r="F1803" t="s">
        <v>13</v>
      </c>
      <c r="G1803" t="s">
        <v>14</v>
      </c>
      <c r="H1803" t="s">
        <v>17</v>
      </c>
      <c r="I1803" t="s">
        <v>16</v>
      </c>
      <c r="J1803">
        <v>48633.39</v>
      </c>
      <c r="K1803">
        <v>54098.29</v>
      </c>
      <c r="L1803" s="20">
        <f>tbl_Budget[[#This Row],[Actual]]-tbl_Budget[[#This Row],[Budget]]</f>
        <v>5464.9000000000015</v>
      </c>
      <c r="M1803" s="3">
        <f>tbl_Budget[[#This Row],[Variance]]/tbl_Budget[[#This Row],[Budget]]</f>
        <v>0.11236930018655911</v>
      </c>
      <c r="N1803" t="str">
        <f>IF(tbl_Budget[[#This Row],[Variance_%]]&gt;0.05,"Overspend",IF(tbl_Budget[[#This Row],[Variance_%]]&lt;-0.05,"Underspend","On Budget"))</f>
        <v>Overspend</v>
      </c>
    </row>
    <row r="1804" spans="1:14" hidden="1">
      <c r="A1804" s="1">
        <v>45474</v>
      </c>
      <c r="B1804">
        <v>7</v>
      </c>
      <c r="C1804" t="s">
        <v>42</v>
      </c>
      <c r="D1804" t="s">
        <v>60</v>
      </c>
      <c r="E1804">
        <v>2024</v>
      </c>
      <c r="F1804" t="s">
        <v>13</v>
      </c>
      <c r="G1804" t="s">
        <v>14</v>
      </c>
      <c r="H1804" t="s">
        <v>18</v>
      </c>
      <c r="I1804" t="s">
        <v>16</v>
      </c>
      <c r="J1804">
        <v>49790.879999999997</v>
      </c>
      <c r="K1804">
        <v>55494.37</v>
      </c>
      <c r="L1804" s="20">
        <f>tbl_Budget[[#This Row],[Actual]]-tbl_Budget[[#This Row],[Budget]]</f>
        <v>5703.4900000000052</v>
      </c>
      <c r="M1804" s="3">
        <f>tbl_Budget[[#This Row],[Variance]]/tbl_Budget[[#This Row],[Budget]]</f>
        <v>0.11454888927450178</v>
      </c>
      <c r="N1804" t="str">
        <f>IF(tbl_Budget[[#This Row],[Variance_%]]&gt;0.05,"Overspend",IF(tbl_Budget[[#This Row],[Variance_%]]&lt;-0.05,"Underspend","On Budget"))</f>
        <v>Overspend</v>
      </c>
    </row>
    <row r="1805" spans="1:14" hidden="1">
      <c r="A1805" s="1">
        <v>45474</v>
      </c>
      <c r="B1805">
        <v>7</v>
      </c>
      <c r="C1805" t="s">
        <v>42</v>
      </c>
      <c r="D1805" t="s">
        <v>60</v>
      </c>
      <c r="E1805">
        <v>2024</v>
      </c>
      <c r="F1805" t="s">
        <v>13</v>
      </c>
      <c r="G1805" t="s">
        <v>14</v>
      </c>
      <c r="H1805" t="s">
        <v>19</v>
      </c>
      <c r="I1805" t="s">
        <v>16</v>
      </c>
      <c r="J1805">
        <v>51079.21</v>
      </c>
      <c r="K1805">
        <v>58898.86</v>
      </c>
      <c r="L1805" s="20">
        <f>tbl_Budget[[#This Row],[Actual]]-tbl_Budget[[#This Row],[Budget]]</f>
        <v>7819.6500000000015</v>
      </c>
      <c r="M1805" s="3">
        <f>tbl_Budget[[#This Row],[Variance]]/tbl_Budget[[#This Row],[Budget]]</f>
        <v>0.15308870282058007</v>
      </c>
      <c r="N1805" t="str">
        <f>IF(tbl_Budget[[#This Row],[Variance_%]]&gt;0.05,"Overspend",IF(tbl_Budget[[#This Row],[Variance_%]]&lt;-0.05,"Underspend","On Budget"))</f>
        <v>Overspend</v>
      </c>
    </row>
    <row r="1806" spans="1:14" hidden="1">
      <c r="A1806" s="1">
        <v>45474</v>
      </c>
      <c r="B1806">
        <v>7</v>
      </c>
      <c r="C1806" t="s">
        <v>42</v>
      </c>
      <c r="D1806" t="s">
        <v>60</v>
      </c>
      <c r="E1806">
        <v>2024</v>
      </c>
      <c r="F1806" t="s">
        <v>13</v>
      </c>
      <c r="G1806" t="s">
        <v>20</v>
      </c>
      <c r="H1806" t="s">
        <v>15</v>
      </c>
      <c r="I1806" t="s">
        <v>16</v>
      </c>
      <c r="J1806">
        <v>19707.84</v>
      </c>
      <c r="K1806">
        <v>22168.81</v>
      </c>
      <c r="L1806" s="20">
        <f>tbl_Budget[[#This Row],[Actual]]-tbl_Budget[[#This Row],[Budget]]</f>
        <v>2460.9700000000012</v>
      </c>
      <c r="M1806" s="3">
        <f>tbl_Budget[[#This Row],[Variance]]/tbl_Budget[[#This Row],[Budget]]</f>
        <v>0.12487263951808017</v>
      </c>
      <c r="N1806" t="str">
        <f>IF(tbl_Budget[[#This Row],[Variance_%]]&gt;0.05,"Overspend",IF(tbl_Budget[[#This Row],[Variance_%]]&lt;-0.05,"Underspend","On Budget"))</f>
        <v>Overspend</v>
      </c>
    </row>
    <row r="1807" spans="1:14" hidden="1">
      <c r="A1807" s="1">
        <v>45474</v>
      </c>
      <c r="B1807">
        <v>7</v>
      </c>
      <c r="C1807" t="s">
        <v>42</v>
      </c>
      <c r="D1807" t="s">
        <v>60</v>
      </c>
      <c r="E1807">
        <v>2024</v>
      </c>
      <c r="F1807" t="s">
        <v>13</v>
      </c>
      <c r="G1807" t="s">
        <v>20</v>
      </c>
      <c r="H1807" t="s">
        <v>17</v>
      </c>
      <c r="I1807" t="s">
        <v>16</v>
      </c>
      <c r="J1807">
        <v>17856.73</v>
      </c>
      <c r="K1807">
        <v>19997.04</v>
      </c>
      <c r="L1807" s="20">
        <f>tbl_Budget[[#This Row],[Actual]]-tbl_Budget[[#This Row],[Budget]]</f>
        <v>2140.3100000000013</v>
      </c>
      <c r="M1807" s="3">
        <f>tbl_Budget[[#This Row],[Variance]]/tbl_Budget[[#This Row],[Budget]]</f>
        <v>0.11986013116623263</v>
      </c>
      <c r="N1807" t="str">
        <f>IF(tbl_Budget[[#This Row],[Variance_%]]&gt;0.05,"Overspend",IF(tbl_Budget[[#This Row],[Variance_%]]&lt;-0.05,"Underspend","On Budget"))</f>
        <v>Overspend</v>
      </c>
    </row>
    <row r="1808" spans="1:14" hidden="1">
      <c r="A1808" s="1">
        <v>45474</v>
      </c>
      <c r="B1808">
        <v>7</v>
      </c>
      <c r="C1808" t="s">
        <v>42</v>
      </c>
      <c r="D1808" t="s">
        <v>60</v>
      </c>
      <c r="E1808">
        <v>2024</v>
      </c>
      <c r="F1808" t="s">
        <v>13</v>
      </c>
      <c r="G1808" t="s">
        <v>20</v>
      </c>
      <c r="H1808" t="s">
        <v>18</v>
      </c>
      <c r="I1808" t="s">
        <v>16</v>
      </c>
      <c r="J1808">
        <v>18718.54</v>
      </c>
      <c r="K1808">
        <v>22247.17</v>
      </c>
      <c r="L1808" s="20">
        <f>tbl_Budget[[#This Row],[Actual]]-tbl_Budget[[#This Row],[Budget]]</f>
        <v>3528.6299999999974</v>
      </c>
      <c r="M1808" s="3">
        <f>tbl_Budget[[#This Row],[Variance]]/tbl_Budget[[#This Row],[Budget]]</f>
        <v>0.18850989446826499</v>
      </c>
      <c r="N1808" t="str">
        <f>IF(tbl_Budget[[#This Row],[Variance_%]]&gt;0.05,"Overspend",IF(tbl_Budget[[#This Row],[Variance_%]]&lt;-0.05,"Underspend","On Budget"))</f>
        <v>Overspend</v>
      </c>
    </row>
    <row r="1809" spans="1:14" hidden="1">
      <c r="A1809" s="1">
        <v>45474</v>
      </c>
      <c r="B1809">
        <v>7</v>
      </c>
      <c r="C1809" t="s">
        <v>42</v>
      </c>
      <c r="D1809" t="s">
        <v>60</v>
      </c>
      <c r="E1809">
        <v>2024</v>
      </c>
      <c r="F1809" t="s">
        <v>13</v>
      </c>
      <c r="G1809" t="s">
        <v>20</v>
      </c>
      <c r="H1809" t="s">
        <v>19</v>
      </c>
      <c r="I1809" t="s">
        <v>16</v>
      </c>
      <c r="J1809">
        <v>19343.509999999998</v>
      </c>
      <c r="K1809">
        <v>21896.82</v>
      </c>
      <c r="L1809" s="20">
        <f>tbl_Budget[[#This Row],[Actual]]-tbl_Budget[[#This Row],[Budget]]</f>
        <v>2553.3100000000013</v>
      </c>
      <c r="M1809" s="3">
        <f>tbl_Budget[[#This Row],[Variance]]/tbl_Budget[[#This Row],[Budget]]</f>
        <v>0.13199827745843445</v>
      </c>
      <c r="N1809" t="str">
        <f>IF(tbl_Budget[[#This Row],[Variance_%]]&gt;0.05,"Overspend",IF(tbl_Budget[[#This Row],[Variance_%]]&lt;-0.05,"Underspend","On Budget"))</f>
        <v>Overspend</v>
      </c>
    </row>
    <row r="1810" spans="1:14">
      <c r="A1810" s="1">
        <v>45474</v>
      </c>
      <c r="B1810">
        <v>7</v>
      </c>
      <c r="C1810" t="s">
        <v>42</v>
      </c>
      <c r="D1810" t="s">
        <v>60</v>
      </c>
      <c r="E1810">
        <v>2024</v>
      </c>
      <c r="F1810" t="s">
        <v>13</v>
      </c>
      <c r="G1810" t="s">
        <v>21</v>
      </c>
      <c r="H1810" t="s">
        <v>15</v>
      </c>
      <c r="I1810" t="s">
        <v>16</v>
      </c>
      <c r="J1810">
        <v>11046.37</v>
      </c>
      <c r="K1810">
        <v>17321.150000000001</v>
      </c>
      <c r="L1810" s="20">
        <f>tbl_Budget[[#This Row],[Actual]]-tbl_Budget[[#This Row],[Budget]]</f>
        <v>6274.7800000000007</v>
      </c>
      <c r="M1810" s="3">
        <f>tbl_Budget[[#This Row],[Variance]]/tbl_Budget[[#This Row],[Budget]]</f>
        <v>0.56803999866019339</v>
      </c>
      <c r="N1810" t="str">
        <f>IF(tbl_Budget[[#This Row],[Variance_%]]&gt;0.05,"Overspend",IF(tbl_Budget[[#This Row],[Variance_%]]&lt;-0.05,"Underspend","On Budget"))</f>
        <v>Overspend</v>
      </c>
    </row>
    <row r="1811" spans="1:14">
      <c r="A1811" s="1">
        <v>45474</v>
      </c>
      <c r="B1811">
        <v>7</v>
      </c>
      <c r="C1811" t="s">
        <v>42</v>
      </c>
      <c r="D1811" t="s">
        <v>60</v>
      </c>
      <c r="E1811">
        <v>2024</v>
      </c>
      <c r="F1811" t="s">
        <v>13</v>
      </c>
      <c r="G1811" t="s">
        <v>21</v>
      </c>
      <c r="H1811" t="s">
        <v>17</v>
      </c>
      <c r="I1811" t="s">
        <v>16</v>
      </c>
      <c r="J1811">
        <v>10219.36</v>
      </c>
      <c r="K1811">
        <v>15439.06</v>
      </c>
      <c r="L1811" s="20">
        <f>tbl_Budget[[#This Row],[Actual]]-tbl_Budget[[#This Row],[Budget]]</f>
        <v>5219.6999999999989</v>
      </c>
      <c r="M1811" s="3">
        <f>tbl_Budget[[#This Row],[Variance]]/tbl_Budget[[#This Row],[Budget]]</f>
        <v>0.51076584052230267</v>
      </c>
      <c r="N1811" t="str">
        <f>IF(tbl_Budget[[#This Row],[Variance_%]]&gt;0.05,"Overspend",IF(tbl_Budget[[#This Row],[Variance_%]]&lt;-0.05,"Underspend","On Budget"))</f>
        <v>Overspend</v>
      </c>
    </row>
    <row r="1812" spans="1:14">
      <c r="A1812" s="1">
        <v>45474</v>
      </c>
      <c r="B1812">
        <v>7</v>
      </c>
      <c r="C1812" t="s">
        <v>42</v>
      </c>
      <c r="D1812" t="s">
        <v>60</v>
      </c>
      <c r="E1812">
        <v>2024</v>
      </c>
      <c r="F1812" t="s">
        <v>13</v>
      </c>
      <c r="G1812" t="s">
        <v>21</v>
      </c>
      <c r="H1812" t="s">
        <v>18</v>
      </c>
      <c r="I1812" t="s">
        <v>16</v>
      </c>
      <c r="J1812">
        <v>10317.86</v>
      </c>
      <c r="K1812">
        <v>15588.31</v>
      </c>
      <c r="L1812" s="20">
        <f>tbl_Budget[[#This Row],[Actual]]-tbl_Budget[[#This Row],[Budget]]</f>
        <v>5270.4499999999989</v>
      </c>
      <c r="M1812" s="3">
        <f>tbl_Budget[[#This Row],[Variance]]/tbl_Budget[[#This Row],[Budget]]</f>
        <v>0.51080844283601434</v>
      </c>
      <c r="N1812" t="str">
        <f>IF(tbl_Budget[[#This Row],[Variance_%]]&gt;0.05,"Overspend",IF(tbl_Budget[[#This Row],[Variance_%]]&lt;-0.05,"Underspend","On Budget"))</f>
        <v>Overspend</v>
      </c>
    </row>
    <row r="1813" spans="1:14">
      <c r="A1813" s="1">
        <v>45474</v>
      </c>
      <c r="B1813">
        <v>7</v>
      </c>
      <c r="C1813" t="s">
        <v>42</v>
      </c>
      <c r="D1813" t="s">
        <v>60</v>
      </c>
      <c r="E1813">
        <v>2024</v>
      </c>
      <c r="F1813" t="s">
        <v>13</v>
      </c>
      <c r="G1813" t="s">
        <v>21</v>
      </c>
      <c r="H1813" t="s">
        <v>19</v>
      </c>
      <c r="I1813" t="s">
        <v>16</v>
      </c>
      <c r="J1813">
        <v>11529.52</v>
      </c>
      <c r="K1813">
        <v>16440.57</v>
      </c>
      <c r="L1813" s="20">
        <f>tbl_Budget[[#This Row],[Actual]]-tbl_Budget[[#This Row],[Budget]]</f>
        <v>4911.0499999999993</v>
      </c>
      <c r="M1813" s="3">
        <f>tbl_Budget[[#This Row],[Variance]]/tbl_Budget[[#This Row],[Budget]]</f>
        <v>0.42595441961157093</v>
      </c>
      <c r="N1813" t="str">
        <f>IF(tbl_Budget[[#This Row],[Variance_%]]&gt;0.05,"Overspend",IF(tbl_Budget[[#This Row],[Variance_%]]&lt;-0.05,"Underspend","On Budget"))</f>
        <v>Overspend</v>
      </c>
    </row>
    <row r="1814" spans="1:14" hidden="1">
      <c r="A1814" s="1">
        <v>45474</v>
      </c>
      <c r="B1814">
        <v>7</v>
      </c>
      <c r="C1814" t="s">
        <v>42</v>
      </c>
      <c r="D1814" t="s">
        <v>60</v>
      </c>
      <c r="E1814">
        <v>2024</v>
      </c>
      <c r="F1814" t="s">
        <v>13</v>
      </c>
      <c r="G1814" t="s">
        <v>22</v>
      </c>
      <c r="H1814" t="s">
        <v>15</v>
      </c>
      <c r="I1814" t="s">
        <v>16</v>
      </c>
      <c r="J1814">
        <v>8232.5300000000007</v>
      </c>
      <c r="K1814">
        <v>9399.65</v>
      </c>
      <c r="L1814" s="20">
        <f>tbl_Budget[[#This Row],[Actual]]-tbl_Budget[[#This Row],[Budget]]</f>
        <v>1167.119999999999</v>
      </c>
      <c r="M1814" s="3">
        <f>tbl_Budget[[#This Row],[Variance]]/tbl_Budget[[#This Row],[Budget]]</f>
        <v>0.14176929813799632</v>
      </c>
      <c r="N1814" t="str">
        <f>IF(tbl_Budget[[#This Row],[Variance_%]]&gt;0.05,"Overspend",IF(tbl_Budget[[#This Row],[Variance_%]]&lt;-0.05,"Underspend","On Budget"))</f>
        <v>Overspend</v>
      </c>
    </row>
    <row r="1815" spans="1:14" hidden="1">
      <c r="A1815" s="1">
        <v>45474</v>
      </c>
      <c r="B1815">
        <v>7</v>
      </c>
      <c r="C1815" t="s">
        <v>42</v>
      </c>
      <c r="D1815" t="s">
        <v>60</v>
      </c>
      <c r="E1815">
        <v>2024</v>
      </c>
      <c r="F1815" t="s">
        <v>13</v>
      </c>
      <c r="G1815" t="s">
        <v>22</v>
      </c>
      <c r="H1815" t="s">
        <v>17</v>
      </c>
      <c r="I1815" t="s">
        <v>16</v>
      </c>
      <c r="J1815">
        <v>8050.96</v>
      </c>
      <c r="K1815">
        <v>9534.15</v>
      </c>
      <c r="L1815" s="20">
        <f>tbl_Budget[[#This Row],[Actual]]-tbl_Budget[[#This Row],[Budget]]</f>
        <v>1483.1899999999996</v>
      </c>
      <c r="M1815" s="3">
        <f>tbl_Budget[[#This Row],[Variance]]/tbl_Budget[[#This Row],[Budget]]</f>
        <v>0.18422523525144821</v>
      </c>
      <c r="N1815" t="str">
        <f>IF(tbl_Budget[[#This Row],[Variance_%]]&gt;0.05,"Overspend",IF(tbl_Budget[[#This Row],[Variance_%]]&lt;-0.05,"Underspend","On Budget"))</f>
        <v>Overspend</v>
      </c>
    </row>
    <row r="1816" spans="1:14" hidden="1">
      <c r="A1816" s="1">
        <v>45474</v>
      </c>
      <c r="B1816">
        <v>7</v>
      </c>
      <c r="C1816" t="s">
        <v>42</v>
      </c>
      <c r="D1816" t="s">
        <v>60</v>
      </c>
      <c r="E1816">
        <v>2024</v>
      </c>
      <c r="F1816" t="s">
        <v>13</v>
      </c>
      <c r="G1816" t="s">
        <v>22</v>
      </c>
      <c r="H1816" t="s">
        <v>18</v>
      </c>
      <c r="I1816" t="s">
        <v>16</v>
      </c>
      <c r="J1816">
        <v>7991.42</v>
      </c>
      <c r="K1816">
        <v>9162.34</v>
      </c>
      <c r="L1816" s="20">
        <f>tbl_Budget[[#This Row],[Actual]]-tbl_Budget[[#This Row],[Budget]]</f>
        <v>1170.92</v>
      </c>
      <c r="M1816" s="3">
        <f>tbl_Budget[[#This Row],[Variance]]/tbl_Budget[[#This Row],[Budget]]</f>
        <v>0.14652214500051305</v>
      </c>
      <c r="N1816" t="str">
        <f>IF(tbl_Budget[[#This Row],[Variance_%]]&gt;0.05,"Overspend",IF(tbl_Budget[[#This Row],[Variance_%]]&lt;-0.05,"Underspend","On Budget"))</f>
        <v>Overspend</v>
      </c>
    </row>
    <row r="1817" spans="1:14" hidden="1">
      <c r="A1817" s="1">
        <v>45474</v>
      </c>
      <c r="B1817">
        <v>7</v>
      </c>
      <c r="C1817" t="s">
        <v>42</v>
      </c>
      <c r="D1817" t="s">
        <v>60</v>
      </c>
      <c r="E1817">
        <v>2024</v>
      </c>
      <c r="F1817" t="s">
        <v>13</v>
      </c>
      <c r="G1817" t="s">
        <v>22</v>
      </c>
      <c r="H1817" t="s">
        <v>19</v>
      </c>
      <c r="I1817" t="s">
        <v>16</v>
      </c>
      <c r="J1817">
        <v>8772.24</v>
      </c>
      <c r="K1817">
        <v>9745.43</v>
      </c>
      <c r="L1817" s="20">
        <f>tbl_Budget[[#This Row],[Actual]]-tbl_Budget[[#This Row],[Budget]]</f>
        <v>973.19000000000051</v>
      </c>
      <c r="M1817" s="3">
        <f>tbl_Budget[[#This Row],[Variance]]/tbl_Budget[[#This Row],[Budget]]</f>
        <v>0.1109397371708937</v>
      </c>
      <c r="N1817" t="str">
        <f>IF(tbl_Budget[[#This Row],[Variance_%]]&gt;0.05,"Overspend",IF(tbl_Budget[[#This Row],[Variance_%]]&lt;-0.05,"Underspend","On Budget"))</f>
        <v>Overspend</v>
      </c>
    </row>
    <row r="1818" spans="1:14" hidden="1">
      <c r="A1818" s="1">
        <v>45474</v>
      </c>
      <c r="B1818">
        <v>7</v>
      </c>
      <c r="C1818" t="s">
        <v>42</v>
      </c>
      <c r="D1818" t="s">
        <v>60</v>
      </c>
      <c r="E1818">
        <v>2024</v>
      </c>
      <c r="F1818" t="s">
        <v>13</v>
      </c>
      <c r="G1818" t="s">
        <v>23</v>
      </c>
      <c r="H1818" t="s">
        <v>15</v>
      </c>
      <c r="I1818" t="s">
        <v>16</v>
      </c>
      <c r="J1818">
        <v>8621.6200000000008</v>
      </c>
      <c r="K1818">
        <v>9689.66</v>
      </c>
      <c r="L1818" s="20">
        <f>tbl_Budget[[#This Row],[Actual]]-tbl_Budget[[#This Row],[Budget]]</f>
        <v>1068.0399999999991</v>
      </c>
      <c r="M1818" s="3">
        <f>tbl_Budget[[#This Row],[Variance]]/tbl_Budget[[#This Row],[Budget]]</f>
        <v>0.12387927094907905</v>
      </c>
      <c r="N1818" t="str">
        <f>IF(tbl_Budget[[#This Row],[Variance_%]]&gt;0.05,"Overspend",IF(tbl_Budget[[#This Row],[Variance_%]]&lt;-0.05,"Underspend","On Budget"))</f>
        <v>Overspend</v>
      </c>
    </row>
    <row r="1819" spans="1:14" hidden="1">
      <c r="A1819" s="1">
        <v>45474</v>
      </c>
      <c r="B1819">
        <v>7</v>
      </c>
      <c r="C1819" t="s">
        <v>42</v>
      </c>
      <c r="D1819" t="s">
        <v>60</v>
      </c>
      <c r="E1819">
        <v>2024</v>
      </c>
      <c r="F1819" t="s">
        <v>13</v>
      </c>
      <c r="G1819" t="s">
        <v>23</v>
      </c>
      <c r="H1819" t="s">
        <v>17</v>
      </c>
      <c r="I1819" t="s">
        <v>16</v>
      </c>
      <c r="J1819">
        <v>8456.08</v>
      </c>
      <c r="K1819">
        <v>9392.48</v>
      </c>
      <c r="L1819" s="20">
        <f>tbl_Budget[[#This Row],[Actual]]-tbl_Budget[[#This Row],[Budget]]</f>
        <v>936.39999999999964</v>
      </c>
      <c r="M1819" s="3">
        <f>tbl_Budget[[#This Row],[Variance]]/tbl_Budget[[#This Row],[Budget]]</f>
        <v>0.11073688990643414</v>
      </c>
      <c r="N1819" t="str">
        <f>IF(tbl_Budget[[#This Row],[Variance_%]]&gt;0.05,"Overspend",IF(tbl_Budget[[#This Row],[Variance_%]]&lt;-0.05,"Underspend","On Budget"))</f>
        <v>Overspend</v>
      </c>
    </row>
    <row r="1820" spans="1:14" hidden="1">
      <c r="A1820" s="1">
        <v>45474</v>
      </c>
      <c r="B1820">
        <v>7</v>
      </c>
      <c r="C1820" t="s">
        <v>42</v>
      </c>
      <c r="D1820" t="s">
        <v>60</v>
      </c>
      <c r="E1820">
        <v>2024</v>
      </c>
      <c r="F1820" t="s">
        <v>13</v>
      </c>
      <c r="G1820" t="s">
        <v>23</v>
      </c>
      <c r="H1820" t="s">
        <v>18</v>
      </c>
      <c r="I1820" t="s">
        <v>16</v>
      </c>
      <c r="J1820">
        <v>8208.2199999999993</v>
      </c>
      <c r="K1820">
        <v>9486.3700000000008</v>
      </c>
      <c r="L1820" s="20">
        <f>tbl_Budget[[#This Row],[Actual]]-tbl_Budget[[#This Row],[Budget]]</f>
        <v>1278.1500000000015</v>
      </c>
      <c r="M1820" s="3">
        <f>tbl_Budget[[#This Row],[Variance]]/tbl_Budget[[#This Row],[Budget]]</f>
        <v>0.15571585556917353</v>
      </c>
      <c r="N1820" t="str">
        <f>IF(tbl_Budget[[#This Row],[Variance_%]]&gt;0.05,"Overspend",IF(tbl_Budget[[#This Row],[Variance_%]]&lt;-0.05,"Underspend","On Budget"))</f>
        <v>Overspend</v>
      </c>
    </row>
    <row r="1821" spans="1:14" hidden="1">
      <c r="A1821" s="1">
        <v>45474</v>
      </c>
      <c r="B1821">
        <v>7</v>
      </c>
      <c r="C1821" t="s">
        <v>42</v>
      </c>
      <c r="D1821" t="s">
        <v>60</v>
      </c>
      <c r="E1821">
        <v>2024</v>
      </c>
      <c r="F1821" t="s">
        <v>13</v>
      </c>
      <c r="G1821" t="s">
        <v>23</v>
      </c>
      <c r="H1821" t="s">
        <v>19</v>
      </c>
      <c r="I1821" t="s">
        <v>16</v>
      </c>
      <c r="J1821">
        <v>8838.7800000000007</v>
      </c>
      <c r="K1821">
        <v>10137.27</v>
      </c>
      <c r="L1821" s="20">
        <f>tbl_Budget[[#This Row],[Actual]]-tbl_Budget[[#This Row],[Budget]]</f>
        <v>1298.4899999999998</v>
      </c>
      <c r="M1821" s="3">
        <f>tbl_Budget[[#This Row],[Variance]]/tbl_Budget[[#This Row],[Budget]]</f>
        <v>0.14690828372241416</v>
      </c>
      <c r="N1821" t="str">
        <f>IF(tbl_Budget[[#This Row],[Variance_%]]&gt;0.05,"Overspend",IF(tbl_Budget[[#This Row],[Variance_%]]&lt;-0.05,"Underspend","On Budget"))</f>
        <v>Overspend</v>
      </c>
    </row>
    <row r="1822" spans="1:14" hidden="1">
      <c r="A1822" s="1">
        <v>45474</v>
      </c>
      <c r="B1822">
        <v>7</v>
      </c>
      <c r="C1822" t="s">
        <v>42</v>
      </c>
      <c r="D1822" t="s">
        <v>60</v>
      </c>
      <c r="E1822">
        <v>2024</v>
      </c>
      <c r="F1822" t="s">
        <v>24</v>
      </c>
      <c r="G1822" t="s">
        <v>14</v>
      </c>
      <c r="H1822" t="s">
        <v>15</v>
      </c>
      <c r="I1822" t="s">
        <v>25</v>
      </c>
      <c r="J1822">
        <v>52393.32</v>
      </c>
      <c r="K1822">
        <v>46750.19</v>
      </c>
      <c r="L1822" s="20">
        <f>tbl_Budget[[#This Row],[Actual]]-tbl_Budget[[#This Row],[Budget]]</f>
        <v>-5643.1299999999974</v>
      </c>
      <c r="M1822" s="3">
        <f>tbl_Budget[[#This Row],[Variance]]/tbl_Budget[[#This Row],[Budget]]</f>
        <v>-0.10770705120423743</v>
      </c>
      <c r="N1822" t="str">
        <f>IF(tbl_Budget[[#This Row],[Variance_%]]&gt;0.05,"Overspend",IF(tbl_Budget[[#This Row],[Variance_%]]&lt;-0.05,"Underspend","On Budget"))</f>
        <v>Underspend</v>
      </c>
    </row>
    <row r="1823" spans="1:14" hidden="1">
      <c r="A1823" s="1">
        <v>45474</v>
      </c>
      <c r="B1823">
        <v>7</v>
      </c>
      <c r="C1823" t="s">
        <v>42</v>
      </c>
      <c r="D1823" t="s">
        <v>60</v>
      </c>
      <c r="E1823">
        <v>2024</v>
      </c>
      <c r="F1823" t="s">
        <v>24</v>
      </c>
      <c r="G1823" t="s">
        <v>14</v>
      </c>
      <c r="H1823" t="s">
        <v>17</v>
      </c>
      <c r="I1823" t="s">
        <v>25</v>
      </c>
      <c r="J1823">
        <v>49596.83</v>
      </c>
      <c r="K1823">
        <v>44801.03</v>
      </c>
      <c r="L1823" s="20">
        <f>tbl_Budget[[#This Row],[Actual]]-tbl_Budget[[#This Row],[Budget]]</f>
        <v>-4795.8000000000029</v>
      </c>
      <c r="M1823" s="3">
        <f>tbl_Budget[[#This Row],[Variance]]/tbl_Budget[[#This Row],[Budget]]</f>
        <v>-9.669569607573715E-2</v>
      </c>
      <c r="N1823" t="str">
        <f>IF(tbl_Budget[[#This Row],[Variance_%]]&gt;0.05,"Overspend",IF(tbl_Budget[[#This Row],[Variance_%]]&lt;-0.05,"Underspend","On Budget"))</f>
        <v>Underspend</v>
      </c>
    </row>
    <row r="1824" spans="1:14" hidden="1">
      <c r="A1824" s="1">
        <v>45474</v>
      </c>
      <c r="B1824">
        <v>7</v>
      </c>
      <c r="C1824" t="s">
        <v>42</v>
      </c>
      <c r="D1824" t="s">
        <v>60</v>
      </c>
      <c r="E1824">
        <v>2024</v>
      </c>
      <c r="F1824" t="s">
        <v>24</v>
      </c>
      <c r="G1824" t="s">
        <v>14</v>
      </c>
      <c r="H1824" t="s">
        <v>18</v>
      </c>
      <c r="I1824" t="s">
        <v>25</v>
      </c>
      <c r="J1824">
        <v>51057.3</v>
      </c>
      <c r="K1824">
        <v>45563.91</v>
      </c>
      <c r="L1824" s="20">
        <f>tbl_Budget[[#This Row],[Actual]]-tbl_Budget[[#This Row],[Budget]]</f>
        <v>-5493.3899999999994</v>
      </c>
      <c r="M1824" s="3">
        <f>tbl_Budget[[#This Row],[Variance]]/tbl_Budget[[#This Row],[Budget]]</f>
        <v>-0.10759264590959568</v>
      </c>
      <c r="N1824" t="str">
        <f>IF(tbl_Budget[[#This Row],[Variance_%]]&gt;0.05,"Overspend",IF(tbl_Budget[[#This Row],[Variance_%]]&lt;-0.05,"Underspend","On Budget"))</f>
        <v>Underspend</v>
      </c>
    </row>
    <row r="1825" spans="1:14" hidden="1">
      <c r="A1825" s="1">
        <v>45474</v>
      </c>
      <c r="B1825">
        <v>7</v>
      </c>
      <c r="C1825" t="s">
        <v>42</v>
      </c>
      <c r="D1825" t="s">
        <v>60</v>
      </c>
      <c r="E1825">
        <v>2024</v>
      </c>
      <c r="F1825" t="s">
        <v>24</v>
      </c>
      <c r="G1825" t="s">
        <v>14</v>
      </c>
      <c r="H1825" t="s">
        <v>19</v>
      </c>
      <c r="I1825" t="s">
        <v>25</v>
      </c>
      <c r="J1825">
        <v>54643.27</v>
      </c>
      <c r="K1825">
        <v>48986.55</v>
      </c>
      <c r="L1825" s="20">
        <f>tbl_Budget[[#This Row],[Actual]]-tbl_Budget[[#This Row],[Budget]]</f>
        <v>-5656.7199999999939</v>
      </c>
      <c r="M1825" s="3">
        <f>tbl_Budget[[#This Row],[Variance]]/tbl_Budget[[#This Row],[Budget]]</f>
        <v>-0.10352089104477083</v>
      </c>
      <c r="N1825" t="str">
        <f>IF(tbl_Budget[[#This Row],[Variance_%]]&gt;0.05,"Overspend",IF(tbl_Budget[[#This Row],[Variance_%]]&lt;-0.05,"Underspend","On Budget"))</f>
        <v>Underspend</v>
      </c>
    </row>
    <row r="1826" spans="1:14" hidden="1">
      <c r="A1826" s="1">
        <v>45474</v>
      </c>
      <c r="B1826">
        <v>7</v>
      </c>
      <c r="C1826" t="s">
        <v>42</v>
      </c>
      <c r="D1826" t="s">
        <v>60</v>
      </c>
      <c r="E1826">
        <v>2024</v>
      </c>
      <c r="F1826" t="s">
        <v>24</v>
      </c>
      <c r="G1826" t="s">
        <v>20</v>
      </c>
      <c r="H1826" t="s">
        <v>15</v>
      </c>
      <c r="I1826" t="s">
        <v>25</v>
      </c>
      <c r="J1826">
        <v>28969.53</v>
      </c>
      <c r="K1826">
        <v>25436.240000000002</v>
      </c>
      <c r="L1826" s="20">
        <f>tbl_Budget[[#This Row],[Actual]]-tbl_Budget[[#This Row],[Budget]]</f>
        <v>-3533.2899999999972</v>
      </c>
      <c r="M1826" s="3">
        <f>tbl_Budget[[#This Row],[Variance]]/tbl_Budget[[#This Row],[Budget]]</f>
        <v>-0.12196573434225537</v>
      </c>
      <c r="N1826" t="str">
        <f>IF(tbl_Budget[[#This Row],[Variance_%]]&gt;0.05,"Overspend",IF(tbl_Budget[[#This Row],[Variance_%]]&lt;-0.05,"Underspend","On Budget"))</f>
        <v>Underspend</v>
      </c>
    </row>
    <row r="1827" spans="1:14" hidden="1">
      <c r="A1827" s="1">
        <v>45474</v>
      </c>
      <c r="B1827">
        <v>7</v>
      </c>
      <c r="C1827" t="s">
        <v>42</v>
      </c>
      <c r="D1827" t="s">
        <v>60</v>
      </c>
      <c r="E1827">
        <v>2024</v>
      </c>
      <c r="F1827" t="s">
        <v>24</v>
      </c>
      <c r="G1827" t="s">
        <v>20</v>
      </c>
      <c r="H1827" t="s">
        <v>17</v>
      </c>
      <c r="I1827" t="s">
        <v>25</v>
      </c>
      <c r="J1827">
        <v>27066.33</v>
      </c>
      <c r="K1827">
        <v>24332.15</v>
      </c>
      <c r="L1827" s="20">
        <f>tbl_Budget[[#This Row],[Actual]]-tbl_Budget[[#This Row],[Budget]]</f>
        <v>-2734.1800000000003</v>
      </c>
      <c r="M1827" s="3">
        <f>tbl_Budget[[#This Row],[Variance]]/tbl_Budget[[#This Row],[Budget]]</f>
        <v>-0.1010177589647359</v>
      </c>
      <c r="N1827" t="str">
        <f>IF(tbl_Budget[[#This Row],[Variance_%]]&gt;0.05,"Overspend",IF(tbl_Budget[[#This Row],[Variance_%]]&lt;-0.05,"Underspend","On Budget"))</f>
        <v>Underspend</v>
      </c>
    </row>
    <row r="1828" spans="1:14" hidden="1">
      <c r="A1828" s="1">
        <v>45474</v>
      </c>
      <c r="B1828">
        <v>7</v>
      </c>
      <c r="C1828" t="s">
        <v>42</v>
      </c>
      <c r="D1828" t="s">
        <v>60</v>
      </c>
      <c r="E1828">
        <v>2024</v>
      </c>
      <c r="F1828" t="s">
        <v>24</v>
      </c>
      <c r="G1828" t="s">
        <v>20</v>
      </c>
      <c r="H1828" t="s">
        <v>18</v>
      </c>
      <c r="I1828" t="s">
        <v>25</v>
      </c>
      <c r="J1828">
        <v>28639.19</v>
      </c>
      <c r="K1828">
        <v>25227.86</v>
      </c>
      <c r="L1828" s="20">
        <f>tbl_Budget[[#This Row],[Actual]]-tbl_Budget[[#This Row],[Budget]]</f>
        <v>-3411.3299999999981</v>
      </c>
      <c r="M1828" s="3">
        <f>tbl_Budget[[#This Row],[Variance]]/tbl_Budget[[#This Row],[Budget]]</f>
        <v>-0.11911405315583291</v>
      </c>
      <c r="N1828" t="str">
        <f>IF(tbl_Budget[[#This Row],[Variance_%]]&gt;0.05,"Overspend",IF(tbl_Budget[[#This Row],[Variance_%]]&lt;-0.05,"Underspend","On Budget"))</f>
        <v>Underspend</v>
      </c>
    </row>
    <row r="1829" spans="1:14" hidden="1">
      <c r="A1829" s="1">
        <v>45474</v>
      </c>
      <c r="B1829">
        <v>7</v>
      </c>
      <c r="C1829" t="s">
        <v>42</v>
      </c>
      <c r="D1829" t="s">
        <v>60</v>
      </c>
      <c r="E1829">
        <v>2024</v>
      </c>
      <c r="F1829" t="s">
        <v>24</v>
      </c>
      <c r="G1829" t="s">
        <v>20</v>
      </c>
      <c r="H1829" t="s">
        <v>19</v>
      </c>
      <c r="I1829" t="s">
        <v>25</v>
      </c>
      <c r="J1829">
        <v>30080.25</v>
      </c>
      <c r="K1829">
        <v>27095.25</v>
      </c>
      <c r="L1829" s="20">
        <f>tbl_Budget[[#This Row],[Actual]]-tbl_Budget[[#This Row],[Budget]]</f>
        <v>-2985</v>
      </c>
      <c r="M1829" s="3">
        <f>tbl_Budget[[#This Row],[Variance]]/tbl_Budget[[#This Row],[Budget]]</f>
        <v>-9.9234547585209568E-2</v>
      </c>
      <c r="N1829" t="str">
        <f>IF(tbl_Budget[[#This Row],[Variance_%]]&gt;0.05,"Overspend",IF(tbl_Budget[[#This Row],[Variance_%]]&lt;-0.05,"Underspend","On Budget"))</f>
        <v>Underspend</v>
      </c>
    </row>
    <row r="1830" spans="1:14">
      <c r="A1830" s="1">
        <v>45474</v>
      </c>
      <c r="B1830">
        <v>7</v>
      </c>
      <c r="C1830" t="s">
        <v>42</v>
      </c>
      <c r="D1830" t="s">
        <v>60</v>
      </c>
      <c r="E1830">
        <v>2024</v>
      </c>
      <c r="F1830" t="s">
        <v>24</v>
      </c>
      <c r="G1830" t="s">
        <v>21</v>
      </c>
      <c r="H1830" t="s">
        <v>15</v>
      </c>
      <c r="I1830" t="s">
        <v>25</v>
      </c>
      <c r="J1830">
        <v>11492.81</v>
      </c>
      <c r="K1830">
        <v>13688.59</v>
      </c>
      <c r="L1830" s="20">
        <f>tbl_Budget[[#This Row],[Actual]]-tbl_Budget[[#This Row],[Budget]]</f>
        <v>2195.7800000000007</v>
      </c>
      <c r="M1830" s="3">
        <f>tbl_Budget[[#This Row],[Variance]]/tbl_Budget[[#This Row],[Budget]]</f>
        <v>0.19105684336554773</v>
      </c>
      <c r="N1830" t="str">
        <f>IF(tbl_Budget[[#This Row],[Variance_%]]&gt;0.05,"Overspend",IF(tbl_Budget[[#This Row],[Variance_%]]&lt;-0.05,"Underspend","On Budget"))</f>
        <v>Overspend</v>
      </c>
    </row>
    <row r="1831" spans="1:14">
      <c r="A1831" s="1">
        <v>45474</v>
      </c>
      <c r="B1831">
        <v>7</v>
      </c>
      <c r="C1831" t="s">
        <v>42</v>
      </c>
      <c r="D1831" t="s">
        <v>60</v>
      </c>
      <c r="E1831">
        <v>2024</v>
      </c>
      <c r="F1831" t="s">
        <v>24</v>
      </c>
      <c r="G1831" t="s">
        <v>21</v>
      </c>
      <c r="H1831" t="s">
        <v>17</v>
      </c>
      <c r="I1831" t="s">
        <v>25</v>
      </c>
      <c r="J1831">
        <v>10726.64</v>
      </c>
      <c r="K1831">
        <v>13239.89</v>
      </c>
      <c r="L1831" s="20">
        <f>tbl_Budget[[#This Row],[Actual]]-tbl_Budget[[#This Row],[Budget]]</f>
        <v>2513.25</v>
      </c>
      <c r="M1831" s="3">
        <f>tbl_Budget[[#This Row],[Variance]]/tbl_Budget[[#This Row],[Budget]]</f>
        <v>0.23429983666833232</v>
      </c>
      <c r="N1831" t="str">
        <f>IF(tbl_Budget[[#This Row],[Variance_%]]&gt;0.05,"Overspend",IF(tbl_Budget[[#This Row],[Variance_%]]&lt;-0.05,"Underspend","On Budget"))</f>
        <v>Overspend</v>
      </c>
    </row>
    <row r="1832" spans="1:14">
      <c r="A1832" s="1">
        <v>45474</v>
      </c>
      <c r="B1832">
        <v>7</v>
      </c>
      <c r="C1832" t="s">
        <v>42</v>
      </c>
      <c r="D1832" t="s">
        <v>60</v>
      </c>
      <c r="E1832">
        <v>2024</v>
      </c>
      <c r="F1832" t="s">
        <v>24</v>
      </c>
      <c r="G1832" t="s">
        <v>21</v>
      </c>
      <c r="H1832" t="s">
        <v>18</v>
      </c>
      <c r="I1832" t="s">
        <v>25</v>
      </c>
      <c r="J1832">
        <v>10914.09</v>
      </c>
      <c r="K1832">
        <v>13370.05</v>
      </c>
      <c r="L1832" s="20">
        <f>tbl_Budget[[#This Row],[Actual]]-tbl_Budget[[#This Row],[Budget]]</f>
        <v>2455.9599999999991</v>
      </c>
      <c r="M1832" s="3">
        <f>tbl_Budget[[#This Row],[Variance]]/tbl_Budget[[#This Row],[Budget]]</f>
        <v>0.2250265482509306</v>
      </c>
      <c r="N1832" t="str">
        <f>IF(tbl_Budget[[#This Row],[Variance_%]]&gt;0.05,"Overspend",IF(tbl_Budget[[#This Row],[Variance_%]]&lt;-0.05,"Underspend","On Budget"))</f>
        <v>Overspend</v>
      </c>
    </row>
    <row r="1833" spans="1:14">
      <c r="A1833" s="1">
        <v>45474</v>
      </c>
      <c r="B1833">
        <v>7</v>
      </c>
      <c r="C1833" t="s">
        <v>42</v>
      </c>
      <c r="D1833" t="s">
        <v>60</v>
      </c>
      <c r="E1833">
        <v>2024</v>
      </c>
      <c r="F1833" t="s">
        <v>24</v>
      </c>
      <c r="G1833" t="s">
        <v>21</v>
      </c>
      <c r="H1833" t="s">
        <v>19</v>
      </c>
      <c r="I1833" t="s">
        <v>25</v>
      </c>
      <c r="J1833">
        <v>12122.44</v>
      </c>
      <c r="K1833">
        <v>14191.08</v>
      </c>
      <c r="L1833" s="20">
        <f>tbl_Budget[[#This Row],[Actual]]-tbl_Budget[[#This Row],[Budget]]</f>
        <v>2068.6399999999994</v>
      </c>
      <c r="M1833" s="3">
        <f>tbl_Budget[[#This Row],[Variance]]/tbl_Budget[[#This Row],[Budget]]</f>
        <v>0.17064551360947131</v>
      </c>
      <c r="N1833" t="str">
        <f>IF(tbl_Budget[[#This Row],[Variance_%]]&gt;0.05,"Overspend",IF(tbl_Budget[[#This Row],[Variance_%]]&lt;-0.05,"Underspend","On Budget"))</f>
        <v>Overspend</v>
      </c>
    </row>
    <row r="1834" spans="1:14" hidden="1">
      <c r="A1834" s="1">
        <v>45474</v>
      </c>
      <c r="B1834">
        <v>7</v>
      </c>
      <c r="C1834" t="s">
        <v>42</v>
      </c>
      <c r="D1834" t="s">
        <v>60</v>
      </c>
      <c r="E1834">
        <v>2024</v>
      </c>
      <c r="F1834" t="s">
        <v>24</v>
      </c>
      <c r="G1834" t="s">
        <v>22</v>
      </c>
      <c r="H1834" t="s">
        <v>15</v>
      </c>
      <c r="I1834" t="s">
        <v>25</v>
      </c>
      <c r="J1834">
        <v>9077.85</v>
      </c>
      <c r="K1834">
        <v>7853.74</v>
      </c>
      <c r="L1834" s="20">
        <f>tbl_Budget[[#This Row],[Actual]]-tbl_Budget[[#This Row],[Budget]]</f>
        <v>-1224.1100000000006</v>
      </c>
      <c r="M1834" s="3">
        <f>tbl_Budget[[#This Row],[Variance]]/tbl_Budget[[#This Row],[Budget]]</f>
        <v>-0.13484580600031951</v>
      </c>
      <c r="N1834" t="str">
        <f>IF(tbl_Budget[[#This Row],[Variance_%]]&gt;0.05,"Overspend",IF(tbl_Budget[[#This Row],[Variance_%]]&lt;-0.05,"Underspend","On Budget"))</f>
        <v>Underspend</v>
      </c>
    </row>
    <row r="1835" spans="1:14" hidden="1">
      <c r="A1835" s="1">
        <v>45474</v>
      </c>
      <c r="B1835">
        <v>7</v>
      </c>
      <c r="C1835" t="s">
        <v>42</v>
      </c>
      <c r="D1835" t="s">
        <v>60</v>
      </c>
      <c r="E1835">
        <v>2024</v>
      </c>
      <c r="F1835" t="s">
        <v>24</v>
      </c>
      <c r="G1835" t="s">
        <v>22</v>
      </c>
      <c r="H1835" t="s">
        <v>17</v>
      </c>
      <c r="I1835" t="s">
        <v>25</v>
      </c>
      <c r="J1835">
        <v>8244.92</v>
      </c>
      <c r="K1835">
        <v>7141.96</v>
      </c>
      <c r="L1835" s="20">
        <f>tbl_Budget[[#This Row],[Actual]]-tbl_Budget[[#This Row],[Budget]]</f>
        <v>-1102.96</v>
      </c>
      <c r="M1835" s="3">
        <f>tbl_Budget[[#This Row],[Variance]]/tbl_Budget[[#This Row],[Budget]]</f>
        <v>-0.13377449387016491</v>
      </c>
      <c r="N1835" t="str">
        <f>IF(tbl_Budget[[#This Row],[Variance_%]]&gt;0.05,"Overspend",IF(tbl_Budget[[#This Row],[Variance_%]]&lt;-0.05,"Underspend","On Budget"))</f>
        <v>Underspend</v>
      </c>
    </row>
    <row r="1836" spans="1:14" hidden="1">
      <c r="A1836" s="1">
        <v>45474</v>
      </c>
      <c r="B1836">
        <v>7</v>
      </c>
      <c r="C1836" t="s">
        <v>42</v>
      </c>
      <c r="D1836" t="s">
        <v>60</v>
      </c>
      <c r="E1836">
        <v>2024</v>
      </c>
      <c r="F1836" t="s">
        <v>24</v>
      </c>
      <c r="G1836" t="s">
        <v>22</v>
      </c>
      <c r="H1836" t="s">
        <v>18</v>
      </c>
      <c r="I1836" t="s">
        <v>25</v>
      </c>
      <c r="J1836">
        <v>8408.99</v>
      </c>
      <c r="K1836">
        <v>7155.7</v>
      </c>
      <c r="L1836" s="20">
        <f>tbl_Budget[[#This Row],[Actual]]-tbl_Budget[[#This Row],[Budget]]</f>
        <v>-1253.29</v>
      </c>
      <c r="M1836" s="3">
        <f>tbl_Budget[[#This Row],[Variance]]/tbl_Budget[[#This Row],[Budget]]</f>
        <v>-0.14904168039205659</v>
      </c>
      <c r="N1836" t="str">
        <f>IF(tbl_Budget[[#This Row],[Variance_%]]&gt;0.05,"Overspend",IF(tbl_Budget[[#This Row],[Variance_%]]&lt;-0.05,"Underspend","On Budget"))</f>
        <v>Underspend</v>
      </c>
    </row>
    <row r="1837" spans="1:14" hidden="1">
      <c r="A1837" s="1">
        <v>45474</v>
      </c>
      <c r="B1837">
        <v>7</v>
      </c>
      <c r="C1837" t="s">
        <v>42</v>
      </c>
      <c r="D1837" t="s">
        <v>60</v>
      </c>
      <c r="E1837">
        <v>2024</v>
      </c>
      <c r="F1837" t="s">
        <v>24</v>
      </c>
      <c r="G1837" t="s">
        <v>22</v>
      </c>
      <c r="H1837" t="s">
        <v>19</v>
      </c>
      <c r="I1837" t="s">
        <v>25</v>
      </c>
      <c r="J1837">
        <v>9391.77</v>
      </c>
      <c r="K1837">
        <v>8075.58</v>
      </c>
      <c r="L1837" s="20">
        <f>tbl_Budget[[#This Row],[Actual]]-tbl_Budget[[#This Row],[Budget]]</f>
        <v>-1316.1900000000005</v>
      </c>
      <c r="M1837" s="3">
        <f>tbl_Budget[[#This Row],[Variance]]/tbl_Budget[[#This Row],[Budget]]</f>
        <v>-0.14014291235837339</v>
      </c>
      <c r="N1837" t="str">
        <f>IF(tbl_Budget[[#This Row],[Variance_%]]&gt;0.05,"Overspend",IF(tbl_Budget[[#This Row],[Variance_%]]&lt;-0.05,"Underspend","On Budget"))</f>
        <v>Underspend</v>
      </c>
    </row>
    <row r="1838" spans="1:14" hidden="1">
      <c r="A1838" s="1">
        <v>45474</v>
      </c>
      <c r="B1838">
        <v>7</v>
      </c>
      <c r="C1838" t="s">
        <v>42</v>
      </c>
      <c r="D1838" t="s">
        <v>60</v>
      </c>
      <c r="E1838">
        <v>2024</v>
      </c>
      <c r="F1838" t="s">
        <v>24</v>
      </c>
      <c r="G1838" t="s">
        <v>23</v>
      </c>
      <c r="H1838" t="s">
        <v>15</v>
      </c>
      <c r="I1838" t="s">
        <v>25</v>
      </c>
      <c r="J1838">
        <v>7803.53</v>
      </c>
      <c r="K1838">
        <v>6945.42</v>
      </c>
      <c r="L1838" s="20">
        <f>tbl_Budget[[#This Row],[Actual]]-tbl_Budget[[#This Row],[Budget]]</f>
        <v>-858.10999999999967</v>
      </c>
      <c r="M1838" s="3">
        <f>tbl_Budget[[#This Row],[Variance]]/tbl_Budget[[#This Row],[Budget]]</f>
        <v>-0.10996433665277121</v>
      </c>
      <c r="N1838" t="str">
        <f>IF(tbl_Budget[[#This Row],[Variance_%]]&gt;0.05,"Overspend",IF(tbl_Budget[[#This Row],[Variance_%]]&lt;-0.05,"Underspend","On Budget"))</f>
        <v>Underspend</v>
      </c>
    </row>
    <row r="1839" spans="1:14" hidden="1">
      <c r="A1839" s="1">
        <v>45474</v>
      </c>
      <c r="B1839">
        <v>7</v>
      </c>
      <c r="C1839" t="s">
        <v>42</v>
      </c>
      <c r="D1839" t="s">
        <v>60</v>
      </c>
      <c r="E1839">
        <v>2024</v>
      </c>
      <c r="F1839" t="s">
        <v>24</v>
      </c>
      <c r="G1839" t="s">
        <v>23</v>
      </c>
      <c r="H1839" t="s">
        <v>17</v>
      </c>
      <c r="I1839" t="s">
        <v>25</v>
      </c>
      <c r="J1839">
        <v>7325.1</v>
      </c>
      <c r="K1839">
        <v>6467.1</v>
      </c>
      <c r="L1839" s="20">
        <f>tbl_Budget[[#This Row],[Actual]]-tbl_Budget[[#This Row],[Budget]]</f>
        <v>-858</v>
      </c>
      <c r="M1839" s="3">
        <f>tbl_Budget[[#This Row],[Variance]]/tbl_Budget[[#This Row],[Budget]]</f>
        <v>-0.11713150673710938</v>
      </c>
      <c r="N1839" t="str">
        <f>IF(tbl_Budget[[#This Row],[Variance_%]]&gt;0.05,"Overspend",IF(tbl_Budget[[#This Row],[Variance_%]]&lt;-0.05,"Underspend","On Budget"))</f>
        <v>Underspend</v>
      </c>
    </row>
    <row r="1840" spans="1:14" hidden="1">
      <c r="A1840" s="1">
        <v>45474</v>
      </c>
      <c r="B1840">
        <v>7</v>
      </c>
      <c r="C1840" t="s">
        <v>42</v>
      </c>
      <c r="D1840" t="s">
        <v>60</v>
      </c>
      <c r="E1840">
        <v>2024</v>
      </c>
      <c r="F1840" t="s">
        <v>24</v>
      </c>
      <c r="G1840" t="s">
        <v>23</v>
      </c>
      <c r="H1840" t="s">
        <v>18</v>
      </c>
      <c r="I1840" t="s">
        <v>25</v>
      </c>
      <c r="J1840">
        <v>7285.59</v>
      </c>
      <c r="K1840">
        <v>6481.9</v>
      </c>
      <c r="L1840" s="20">
        <f>tbl_Budget[[#This Row],[Actual]]-tbl_Budget[[#This Row],[Budget]]</f>
        <v>-803.69000000000051</v>
      </c>
      <c r="M1840" s="3">
        <f>tbl_Budget[[#This Row],[Variance]]/tbl_Budget[[#This Row],[Budget]]</f>
        <v>-0.11031227395447733</v>
      </c>
      <c r="N1840" t="str">
        <f>IF(tbl_Budget[[#This Row],[Variance_%]]&gt;0.05,"Overspend",IF(tbl_Budget[[#This Row],[Variance_%]]&lt;-0.05,"Underspend","On Budget"))</f>
        <v>Underspend</v>
      </c>
    </row>
    <row r="1841" spans="1:14" hidden="1">
      <c r="A1841" s="1">
        <v>45474</v>
      </c>
      <c r="B1841">
        <v>7</v>
      </c>
      <c r="C1841" t="s">
        <v>42</v>
      </c>
      <c r="D1841" t="s">
        <v>60</v>
      </c>
      <c r="E1841">
        <v>2024</v>
      </c>
      <c r="F1841" t="s">
        <v>24</v>
      </c>
      <c r="G1841" t="s">
        <v>23</v>
      </c>
      <c r="H1841" t="s">
        <v>19</v>
      </c>
      <c r="I1841" t="s">
        <v>25</v>
      </c>
      <c r="J1841">
        <v>8091.62</v>
      </c>
      <c r="K1841">
        <v>7078.75</v>
      </c>
      <c r="L1841" s="20">
        <f>tbl_Budget[[#This Row],[Actual]]-tbl_Budget[[#This Row],[Budget]]</f>
        <v>-1012.8699999999999</v>
      </c>
      <c r="M1841" s="3">
        <f>tbl_Budget[[#This Row],[Variance]]/tbl_Budget[[#This Row],[Budget]]</f>
        <v>-0.12517518123688456</v>
      </c>
      <c r="N1841" t="str">
        <f>IF(tbl_Budget[[#This Row],[Variance_%]]&gt;0.05,"Overspend",IF(tbl_Budget[[#This Row],[Variance_%]]&lt;-0.05,"Underspend","On Budget"))</f>
        <v>Underspend</v>
      </c>
    </row>
    <row r="1842" spans="1:14" hidden="1">
      <c r="A1842" s="1">
        <v>45474</v>
      </c>
      <c r="B1842">
        <v>7</v>
      </c>
      <c r="C1842" t="s">
        <v>42</v>
      </c>
      <c r="D1842" t="s">
        <v>60</v>
      </c>
      <c r="E1842">
        <v>2024</v>
      </c>
      <c r="F1842" t="s">
        <v>26</v>
      </c>
      <c r="G1842" t="s">
        <v>14</v>
      </c>
      <c r="H1842" t="s">
        <v>15</v>
      </c>
      <c r="I1842" t="s">
        <v>27</v>
      </c>
      <c r="J1842">
        <v>46328.98</v>
      </c>
      <c r="K1842">
        <v>46576.72</v>
      </c>
      <c r="L1842" s="20">
        <f>tbl_Budget[[#This Row],[Actual]]-tbl_Budget[[#This Row],[Budget]]</f>
        <v>247.73999999999796</v>
      </c>
      <c r="M1842" s="3">
        <f>tbl_Budget[[#This Row],[Variance]]/tbl_Budget[[#This Row],[Budget]]</f>
        <v>5.3474089004333343E-3</v>
      </c>
      <c r="N1842" t="str">
        <f>IF(tbl_Budget[[#This Row],[Variance_%]]&gt;0.05,"Overspend",IF(tbl_Budget[[#This Row],[Variance_%]]&lt;-0.05,"Underspend","On Budget"))</f>
        <v>On Budget</v>
      </c>
    </row>
    <row r="1843" spans="1:14" hidden="1">
      <c r="A1843" s="1">
        <v>45474</v>
      </c>
      <c r="B1843">
        <v>7</v>
      </c>
      <c r="C1843" t="s">
        <v>42</v>
      </c>
      <c r="D1843" t="s">
        <v>60</v>
      </c>
      <c r="E1843">
        <v>2024</v>
      </c>
      <c r="F1843" t="s">
        <v>26</v>
      </c>
      <c r="G1843" t="s">
        <v>14</v>
      </c>
      <c r="H1843" t="s">
        <v>17</v>
      </c>
      <c r="I1843" t="s">
        <v>27</v>
      </c>
      <c r="J1843">
        <v>44878.19</v>
      </c>
      <c r="K1843">
        <v>44663.48</v>
      </c>
      <c r="L1843" s="20">
        <f>tbl_Budget[[#This Row],[Actual]]-tbl_Budget[[#This Row],[Budget]]</f>
        <v>-214.70999999999913</v>
      </c>
      <c r="M1843" s="3">
        <f>tbl_Budget[[#This Row],[Variance]]/tbl_Budget[[#This Row],[Budget]]</f>
        <v>-4.7842838581502308E-3</v>
      </c>
      <c r="N1843" t="str">
        <f>IF(tbl_Budget[[#This Row],[Variance_%]]&gt;0.05,"Overspend",IF(tbl_Budget[[#This Row],[Variance_%]]&lt;-0.05,"Underspend","On Budget"))</f>
        <v>On Budget</v>
      </c>
    </row>
    <row r="1844" spans="1:14" hidden="1">
      <c r="A1844" s="1">
        <v>45474</v>
      </c>
      <c r="B1844">
        <v>7</v>
      </c>
      <c r="C1844" t="s">
        <v>42</v>
      </c>
      <c r="D1844" t="s">
        <v>60</v>
      </c>
      <c r="E1844">
        <v>2024</v>
      </c>
      <c r="F1844" t="s">
        <v>26</v>
      </c>
      <c r="G1844" t="s">
        <v>14</v>
      </c>
      <c r="H1844" t="s">
        <v>18</v>
      </c>
      <c r="I1844" t="s">
        <v>27</v>
      </c>
      <c r="J1844">
        <v>45196.47</v>
      </c>
      <c r="K1844">
        <v>45937.15</v>
      </c>
      <c r="L1844" s="20">
        <f>tbl_Budget[[#This Row],[Actual]]-tbl_Budget[[#This Row],[Budget]]</f>
        <v>740.68000000000029</v>
      </c>
      <c r="M1844" s="3">
        <f>tbl_Budget[[#This Row],[Variance]]/tbl_Budget[[#This Row],[Budget]]</f>
        <v>1.6388005523440222E-2</v>
      </c>
      <c r="N1844" t="str">
        <f>IF(tbl_Budget[[#This Row],[Variance_%]]&gt;0.05,"Overspend",IF(tbl_Budget[[#This Row],[Variance_%]]&lt;-0.05,"Underspend","On Budget"))</f>
        <v>On Budget</v>
      </c>
    </row>
    <row r="1845" spans="1:14" hidden="1">
      <c r="A1845" s="1">
        <v>45474</v>
      </c>
      <c r="B1845">
        <v>7</v>
      </c>
      <c r="C1845" t="s">
        <v>42</v>
      </c>
      <c r="D1845" t="s">
        <v>60</v>
      </c>
      <c r="E1845">
        <v>2024</v>
      </c>
      <c r="F1845" t="s">
        <v>26</v>
      </c>
      <c r="G1845" t="s">
        <v>14</v>
      </c>
      <c r="H1845" t="s">
        <v>19</v>
      </c>
      <c r="I1845" t="s">
        <v>27</v>
      </c>
      <c r="J1845">
        <v>47909.120000000003</v>
      </c>
      <c r="K1845">
        <v>48099.12</v>
      </c>
      <c r="L1845" s="20">
        <f>tbl_Budget[[#This Row],[Actual]]-tbl_Budget[[#This Row],[Budget]]</f>
        <v>190</v>
      </c>
      <c r="M1845" s="3">
        <f>tbl_Budget[[#This Row],[Variance]]/tbl_Budget[[#This Row],[Budget]]</f>
        <v>3.9658419941756388E-3</v>
      </c>
      <c r="N1845" t="str">
        <f>IF(tbl_Budget[[#This Row],[Variance_%]]&gt;0.05,"Overspend",IF(tbl_Budget[[#This Row],[Variance_%]]&lt;-0.05,"Underspend","On Budget"))</f>
        <v>On Budget</v>
      </c>
    </row>
    <row r="1846" spans="1:14" hidden="1">
      <c r="A1846" s="1">
        <v>45474</v>
      </c>
      <c r="B1846">
        <v>7</v>
      </c>
      <c r="C1846" t="s">
        <v>42</v>
      </c>
      <c r="D1846" t="s">
        <v>60</v>
      </c>
      <c r="E1846">
        <v>2024</v>
      </c>
      <c r="F1846" t="s">
        <v>26</v>
      </c>
      <c r="G1846" t="s">
        <v>20</v>
      </c>
      <c r="H1846" t="s">
        <v>15</v>
      </c>
      <c r="I1846" t="s">
        <v>27</v>
      </c>
      <c r="J1846">
        <v>15798.01</v>
      </c>
      <c r="K1846">
        <v>15510.13</v>
      </c>
      <c r="L1846" s="20">
        <f>tbl_Budget[[#This Row],[Actual]]-tbl_Budget[[#This Row],[Budget]]</f>
        <v>-287.88000000000102</v>
      </c>
      <c r="M1846" s="3">
        <f>tbl_Budget[[#This Row],[Variance]]/tbl_Budget[[#This Row],[Budget]]</f>
        <v>-1.8222548282980009E-2</v>
      </c>
      <c r="N1846" t="str">
        <f>IF(tbl_Budget[[#This Row],[Variance_%]]&gt;0.05,"Overspend",IF(tbl_Budget[[#This Row],[Variance_%]]&lt;-0.05,"Underspend","On Budget"))</f>
        <v>On Budget</v>
      </c>
    </row>
    <row r="1847" spans="1:14" hidden="1">
      <c r="A1847" s="1">
        <v>45474</v>
      </c>
      <c r="B1847">
        <v>7</v>
      </c>
      <c r="C1847" t="s">
        <v>42</v>
      </c>
      <c r="D1847" t="s">
        <v>60</v>
      </c>
      <c r="E1847">
        <v>2024</v>
      </c>
      <c r="F1847" t="s">
        <v>26</v>
      </c>
      <c r="G1847" t="s">
        <v>20</v>
      </c>
      <c r="H1847" t="s">
        <v>17</v>
      </c>
      <c r="I1847" t="s">
        <v>27</v>
      </c>
      <c r="J1847">
        <v>15372.06</v>
      </c>
      <c r="K1847">
        <v>15433.82</v>
      </c>
      <c r="L1847" s="20">
        <f>tbl_Budget[[#This Row],[Actual]]-tbl_Budget[[#This Row],[Budget]]</f>
        <v>61.760000000000218</v>
      </c>
      <c r="M1847" s="3">
        <f>tbl_Budget[[#This Row],[Variance]]/tbl_Budget[[#This Row],[Budget]]</f>
        <v>4.0176788276912933E-3</v>
      </c>
      <c r="N1847" t="str">
        <f>IF(tbl_Budget[[#This Row],[Variance_%]]&gt;0.05,"Overspend",IF(tbl_Budget[[#This Row],[Variance_%]]&lt;-0.05,"Underspend","On Budget"))</f>
        <v>On Budget</v>
      </c>
    </row>
    <row r="1848" spans="1:14" hidden="1">
      <c r="A1848" s="1">
        <v>45474</v>
      </c>
      <c r="B1848">
        <v>7</v>
      </c>
      <c r="C1848" t="s">
        <v>42</v>
      </c>
      <c r="D1848" t="s">
        <v>60</v>
      </c>
      <c r="E1848">
        <v>2024</v>
      </c>
      <c r="F1848" t="s">
        <v>26</v>
      </c>
      <c r="G1848" t="s">
        <v>20</v>
      </c>
      <c r="H1848" t="s">
        <v>18</v>
      </c>
      <c r="I1848" t="s">
        <v>27</v>
      </c>
      <c r="J1848">
        <v>14902.4</v>
      </c>
      <c r="K1848">
        <v>14968.74</v>
      </c>
      <c r="L1848" s="20">
        <f>tbl_Budget[[#This Row],[Actual]]-tbl_Budget[[#This Row],[Budget]]</f>
        <v>66.340000000000146</v>
      </c>
      <c r="M1848" s="3">
        <f>tbl_Budget[[#This Row],[Variance]]/tbl_Budget[[#This Row],[Budget]]</f>
        <v>4.4516319519003747E-3</v>
      </c>
      <c r="N1848" t="str">
        <f>IF(tbl_Budget[[#This Row],[Variance_%]]&gt;0.05,"Overspend",IF(tbl_Budget[[#This Row],[Variance_%]]&lt;-0.05,"Underspend","On Budget"))</f>
        <v>On Budget</v>
      </c>
    </row>
    <row r="1849" spans="1:14" hidden="1">
      <c r="A1849" s="1">
        <v>45474</v>
      </c>
      <c r="B1849">
        <v>7</v>
      </c>
      <c r="C1849" t="s">
        <v>42</v>
      </c>
      <c r="D1849" t="s">
        <v>60</v>
      </c>
      <c r="E1849">
        <v>2024</v>
      </c>
      <c r="F1849" t="s">
        <v>26</v>
      </c>
      <c r="G1849" t="s">
        <v>20</v>
      </c>
      <c r="H1849" t="s">
        <v>19</v>
      </c>
      <c r="I1849" t="s">
        <v>27</v>
      </c>
      <c r="J1849">
        <v>16585.87</v>
      </c>
      <c r="K1849">
        <v>16203.24</v>
      </c>
      <c r="L1849" s="20">
        <f>tbl_Budget[[#This Row],[Actual]]-tbl_Budget[[#This Row],[Budget]]</f>
        <v>-382.6299999999992</v>
      </c>
      <c r="M1849" s="3">
        <f>tbl_Budget[[#This Row],[Variance]]/tbl_Budget[[#This Row],[Budget]]</f>
        <v>-2.3069636986181564E-2</v>
      </c>
      <c r="N1849" t="str">
        <f>IF(tbl_Budget[[#This Row],[Variance_%]]&gt;0.05,"Overspend",IF(tbl_Budget[[#This Row],[Variance_%]]&lt;-0.05,"Underspend","On Budget"))</f>
        <v>On Budget</v>
      </c>
    </row>
    <row r="1850" spans="1:14">
      <c r="A1850" s="1">
        <v>45474</v>
      </c>
      <c r="B1850">
        <v>7</v>
      </c>
      <c r="C1850" t="s">
        <v>42</v>
      </c>
      <c r="D1850" t="s">
        <v>60</v>
      </c>
      <c r="E1850">
        <v>2024</v>
      </c>
      <c r="F1850" t="s">
        <v>26</v>
      </c>
      <c r="G1850" t="s">
        <v>21</v>
      </c>
      <c r="H1850" t="s">
        <v>15</v>
      </c>
      <c r="I1850" t="s">
        <v>27</v>
      </c>
      <c r="J1850">
        <v>8756.1299999999992</v>
      </c>
      <c r="K1850">
        <v>11946.17</v>
      </c>
      <c r="L1850" s="20">
        <f>tbl_Budget[[#This Row],[Actual]]-tbl_Budget[[#This Row],[Budget]]</f>
        <v>3190.0400000000009</v>
      </c>
      <c r="M1850" s="3">
        <f>tbl_Budget[[#This Row],[Variance]]/tbl_Budget[[#This Row],[Budget]]</f>
        <v>0.36432076727960883</v>
      </c>
      <c r="N1850" t="str">
        <f>IF(tbl_Budget[[#This Row],[Variance_%]]&gt;0.05,"Overspend",IF(tbl_Budget[[#This Row],[Variance_%]]&lt;-0.05,"Underspend","On Budget"))</f>
        <v>Overspend</v>
      </c>
    </row>
    <row r="1851" spans="1:14">
      <c r="A1851" s="1">
        <v>45474</v>
      </c>
      <c r="B1851">
        <v>7</v>
      </c>
      <c r="C1851" t="s">
        <v>42</v>
      </c>
      <c r="D1851" t="s">
        <v>60</v>
      </c>
      <c r="E1851">
        <v>2024</v>
      </c>
      <c r="F1851" t="s">
        <v>26</v>
      </c>
      <c r="G1851" t="s">
        <v>21</v>
      </c>
      <c r="H1851" t="s">
        <v>17</v>
      </c>
      <c r="I1851" t="s">
        <v>27</v>
      </c>
      <c r="J1851">
        <v>8408.82</v>
      </c>
      <c r="K1851">
        <v>11509.89</v>
      </c>
      <c r="L1851" s="20">
        <f>tbl_Budget[[#This Row],[Actual]]-tbl_Budget[[#This Row],[Budget]]</f>
        <v>3101.0699999999997</v>
      </c>
      <c r="M1851" s="3">
        <f>tbl_Budget[[#This Row],[Variance]]/tbl_Budget[[#This Row],[Budget]]</f>
        <v>0.36878777283851955</v>
      </c>
      <c r="N1851" t="str">
        <f>IF(tbl_Budget[[#This Row],[Variance_%]]&gt;0.05,"Overspend",IF(tbl_Budget[[#This Row],[Variance_%]]&lt;-0.05,"Underspend","On Budget"))</f>
        <v>Overspend</v>
      </c>
    </row>
    <row r="1852" spans="1:14">
      <c r="A1852" s="1">
        <v>45474</v>
      </c>
      <c r="B1852">
        <v>7</v>
      </c>
      <c r="C1852" t="s">
        <v>42</v>
      </c>
      <c r="D1852" t="s">
        <v>60</v>
      </c>
      <c r="E1852">
        <v>2024</v>
      </c>
      <c r="F1852" t="s">
        <v>26</v>
      </c>
      <c r="G1852" t="s">
        <v>21</v>
      </c>
      <c r="H1852" t="s">
        <v>18</v>
      </c>
      <c r="I1852" t="s">
        <v>27</v>
      </c>
      <c r="J1852">
        <v>8581.7000000000007</v>
      </c>
      <c r="K1852">
        <v>11636.53</v>
      </c>
      <c r="L1852" s="20">
        <f>tbl_Budget[[#This Row],[Actual]]-tbl_Budget[[#This Row],[Budget]]</f>
        <v>3054.83</v>
      </c>
      <c r="M1852" s="3">
        <f>tbl_Budget[[#This Row],[Variance]]/tbl_Budget[[#This Row],[Budget]]</f>
        <v>0.35597026230234097</v>
      </c>
      <c r="N1852" t="str">
        <f>IF(tbl_Budget[[#This Row],[Variance_%]]&gt;0.05,"Overspend",IF(tbl_Budget[[#This Row],[Variance_%]]&lt;-0.05,"Underspend","On Budget"))</f>
        <v>Overspend</v>
      </c>
    </row>
    <row r="1853" spans="1:14">
      <c r="A1853" s="1">
        <v>45474</v>
      </c>
      <c r="B1853">
        <v>7</v>
      </c>
      <c r="C1853" t="s">
        <v>42</v>
      </c>
      <c r="D1853" t="s">
        <v>60</v>
      </c>
      <c r="E1853">
        <v>2024</v>
      </c>
      <c r="F1853" t="s">
        <v>26</v>
      </c>
      <c r="G1853" t="s">
        <v>21</v>
      </c>
      <c r="H1853" t="s">
        <v>19</v>
      </c>
      <c r="I1853" t="s">
        <v>27</v>
      </c>
      <c r="J1853">
        <v>8943.31</v>
      </c>
      <c r="K1853">
        <v>12407.62</v>
      </c>
      <c r="L1853" s="20">
        <f>tbl_Budget[[#This Row],[Actual]]-tbl_Budget[[#This Row],[Budget]]</f>
        <v>3464.3100000000013</v>
      </c>
      <c r="M1853" s="3">
        <f>tbl_Budget[[#This Row],[Variance]]/tbl_Budget[[#This Row],[Budget]]</f>
        <v>0.38736329166717931</v>
      </c>
      <c r="N1853" t="str">
        <f>IF(tbl_Budget[[#This Row],[Variance_%]]&gt;0.05,"Overspend",IF(tbl_Budget[[#This Row],[Variance_%]]&lt;-0.05,"Underspend","On Budget"))</f>
        <v>Overspend</v>
      </c>
    </row>
    <row r="1854" spans="1:14" hidden="1">
      <c r="A1854" s="1">
        <v>45474</v>
      </c>
      <c r="B1854">
        <v>7</v>
      </c>
      <c r="C1854" t="s">
        <v>42</v>
      </c>
      <c r="D1854" t="s">
        <v>60</v>
      </c>
      <c r="E1854">
        <v>2024</v>
      </c>
      <c r="F1854" t="s">
        <v>26</v>
      </c>
      <c r="G1854" t="s">
        <v>22</v>
      </c>
      <c r="H1854" t="s">
        <v>15</v>
      </c>
      <c r="I1854" t="s">
        <v>27</v>
      </c>
      <c r="J1854">
        <v>6715.98</v>
      </c>
      <c r="K1854">
        <v>6626.41</v>
      </c>
      <c r="L1854" s="20">
        <f>tbl_Budget[[#This Row],[Actual]]-tbl_Budget[[#This Row],[Budget]]</f>
        <v>-89.569999999999709</v>
      </c>
      <c r="M1854" s="3">
        <f>tbl_Budget[[#This Row],[Variance]]/tbl_Budget[[#This Row],[Budget]]</f>
        <v>-1.3336847340224318E-2</v>
      </c>
      <c r="N1854" t="str">
        <f>IF(tbl_Budget[[#This Row],[Variance_%]]&gt;0.05,"Overspend",IF(tbl_Budget[[#This Row],[Variance_%]]&lt;-0.05,"Underspend","On Budget"))</f>
        <v>On Budget</v>
      </c>
    </row>
    <row r="1855" spans="1:14" hidden="1">
      <c r="A1855" s="1">
        <v>45474</v>
      </c>
      <c r="B1855">
        <v>7</v>
      </c>
      <c r="C1855" t="s">
        <v>42</v>
      </c>
      <c r="D1855" t="s">
        <v>60</v>
      </c>
      <c r="E1855">
        <v>2024</v>
      </c>
      <c r="F1855" t="s">
        <v>26</v>
      </c>
      <c r="G1855" t="s">
        <v>22</v>
      </c>
      <c r="H1855" t="s">
        <v>17</v>
      </c>
      <c r="I1855" t="s">
        <v>27</v>
      </c>
      <c r="J1855">
        <v>6437.54</v>
      </c>
      <c r="K1855">
        <v>6351.97</v>
      </c>
      <c r="L1855" s="20">
        <f>tbl_Budget[[#This Row],[Actual]]-tbl_Budget[[#This Row],[Budget]]</f>
        <v>-85.569999999999709</v>
      </c>
      <c r="M1855" s="3">
        <f>tbl_Budget[[#This Row],[Variance]]/tbl_Budget[[#This Row],[Budget]]</f>
        <v>-1.3292344591256864E-2</v>
      </c>
      <c r="N1855" t="str">
        <f>IF(tbl_Budget[[#This Row],[Variance_%]]&gt;0.05,"Overspend",IF(tbl_Budget[[#This Row],[Variance_%]]&lt;-0.05,"Underspend","On Budget"))</f>
        <v>On Budget</v>
      </c>
    </row>
    <row r="1856" spans="1:14" hidden="1">
      <c r="A1856" s="1">
        <v>45474</v>
      </c>
      <c r="B1856">
        <v>7</v>
      </c>
      <c r="C1856" t="s">
        <v>42</v>
      </c>
      <c r="D1856" t="s">
        <v>60</v>
      </c>
      <c r="E1856">
        <v>2024</v>
      </c>
      <c r="F1856" t="s">
        <v>26</v>
      </c>
      <c r="G1856" t="s">
        <v>22</v>
      </c>
      <c r="H1856" t="s">
        <v>18</v>
      </c>
      <c r="I1856" t="s">
        <v>27</v>
      </c>
      <c r="J1856">
        <v>6542.17</v>
      </c>
      <c r="K1856">
        <v>6577.01</v>
      </c>
      <c r="L1856" s="20">
        <f>tbl_Budget[[#This Row],[Actual]]-tbl_Budget[[#This Row],[Budget]]</f>
        <v>34.840000000000146</v>
      </c>
      <c r="M1856" s="3">
        <f>tbl_Budget[[#This Row],[Variance]]/tbl_Budget[[#This Row],[Budget]]</f>
        <v>5.3254501182329632E-3</v>
      </c>
      <c r="N1856" t="str">
        <f>IF(tbl_Budget[[#This Row],[Variance_%]]&gt;0.05,"Overspend",IF(tbl_Budget[[#This Row],[Variance_%]]&lt;-0.05,"Underspend","On Budget"))</f>
        <v>On Budget</v>
      </c>
    </row>
    <row r="1857" spans="1:14" hidden="1">
      <c r="A1857" s="1">
        <v>45474</v>
      </c>
      <c r="B1857">
        <v>7</v>
      </c>
      <c r="C1857" t="s">
        <v>42</v>
      </c>
      <c r="D1857" t="s">
        <v>60</v>
      </c>
      <c r="E1857">
        <v>2024</v>
      </c>
      <c r="F1857" t="s">
        <v>26</v>
      </c>
      <c r="G1857" t="s">
        <v>22</v>
      </c>
      <c r="H1857" t="s">
        <v>19</v>
      </c>
      <c r="I1857" t="s">
        <v>27</v>
      </c>
      <c r="J1857">
        <v>7257.33</v>
      </c>
      <c r="K1857">
        <v>7069.41</v>
      </c>
      <c r="L1857" s="20">
        <f>tbl_Budget[[#This Row],[Actual]]-tbl_Budget[[#This Row],[Budget]]</f>
        <v>-187.92000000000007</v>
      </c>
      <c r="M1857" s="3">
        <f>tbl_Budget[[#This Row],[Variance]]/tbl_Budget[[#This Row],[Budget]]</f>
        <v>-2.5893820454630019E-2</v>
      </c>
      <c r="N1857" t="str">
        <f>IF(tbl_Budget[[#This Row],[Variance_%]]&gt;0.05,"Overspend",IF(tbl_Budget[[#This Row],[Variance_%]]&lt;-0.05,"Underspend","On Budget"))</f>
        <v>On Budget</v>
      </c>
    </row>
    <row r="1858" spans="1:14" hidden="1">
      <c r="A1858" s="1">
        <v>45474</v>
      </c>
      <c r="B1858">
        <v>7</v>
      </c>
      <c r="C1858" t="s">
        <v>42</v>
      </c>
      <c r="D1858" t="s">
        <v>60</v>
      </c>
      <c r="E1858">
        <v>2024</v>
      </c>
      <c r="F1858" t="s">
        <v>26</v>
      </c>
      <c r="G1858" t="s">
        <v>23</v>
      </c>
      <c r="H1858" t="s">
        <v>15</v>
      </c>
      <c r="I1858" t="s">
        <v>27</v>
      </c>
      <c r="J1858">
        <v>5874.51</v>
      </c>
      <c r="K1858">
        <v>6013.14</v>
      </c>
      <c r="L1858" s="20">
        <f>tbl_Budget[[#This Row],[Actual]]-tbl_Budget[[#This Row],[Budget]]</f>
        <v>138.63000000000011</v>
      </c>
      <c r="M1858" s="3">
        <f>tbl_Budget[[#This Row],[Variance]]/tbl_Budget[[#This Row],[Budget]]</f>
        <v>2.3598563965334999E-2</v>
      </c>
      <c r="N1858" t="str">
        <f>IF(tbl_Budget[[#This Row],[Variance_%]]&gt;0.05,"Overspend",IF(tbl_Budget[[#This Row],[Variance_%]]&lt;-0.05,"Underspend","On Budget"))</f>
        <v>On Budget</v>
      </c>
    </row>
    <row r="1859" spans="1:14" hidden="1">
      <c r="A1859" s="1">
        <v>45474</v>
      </c>
      <c r="B1859">
        <v>7</v>
      </c>
      <c r="C1859" t="s">
        <v>42</v>
      </c>
      <c r="D1859" t="s">
        <v>60</v>
      </c>
      <c r="E1859">
        <v>2024</v>
      </c>
      <c r="F1859" t="s">
        <v>26</v>
      </c>
      <c r="G1859" t="s">
        <v>23</v>
      </c>
      <c r="H1859" t="s">
        <v>17</v>
      </c>
      <c r="I1859" t="s">
        <v>27</v>
      </c>
      <c r="J1859">
        <v>5583.98</v>
      </c>
      <c r="K1859">
        <v>5594.44</v>
      </c>
      <c r="L1859" s="20">
        <f>tbl_Budget[[#This Row],[Actual]]-tbl_Budget[[#This Row],[Budget]]</f>
        <v>10.460000000000036</v>
      </c>
      <c r="M1859" s="3">
        <f>tbl_Budget[[#This Row],[Variance]]/tbl_Budget[[#This Row],[Budget]]</f>
        <v>1.873215878280373E-3</v>
      </c>
      <c r="N1859" t="str">
        <f>IF(tbl_Budget[[#This Row],[Variance_%]]&gt;0.05,"Overspend",IF(tbl_Budget[[#This Row],[Variance_%]]&lt;-0.05,"Underspend","On Budget"))</f>
        <v>On Budget</v>
      </c>
    </row>
    <row r="1860" spans="1:14" hidden="1">
      <c r="A1860" s="1">
        <v>45474</v>
      </c>
      <c r="B1860">
        <v>7</v>
      </c>
      <c r="C1860" t="s">
        <v>42</v>
      </c>
      <c r="D1860" t="s">
        <v>60</v>
      </c>
      <c r="E1860">
        <v>2024</v>
      </c>
      <c r="F1860" t="s">
        <v>26</v>
      </c>
      <c r="G1860" t="s">
        <v>23</v>
      </c>
      <c r="H1860" t="s">
        <v>18</v>
      </c>
      <c r="I1860" t="s">
        <v>27</v>
      </c>
      <c r="J1860">
        <v>5768.5</v>
      </c>
      <c r="K1860">
        <v>5616.22</v>
      </c>
      <c r="L1860" s="20">
        <f>tbl_Budget[[#This Row],[Actual]]-tbl_Budget[[#This Row],[Budget]]</f>
        <v>-152.27999999999975</v>
      </c>
      <c r="M1860" s="3">
        <f>tbl_Budget[[#This Row],[Variance]]/tbl_Budget[[#This Row],[Budget]]</f>
        <v>-2.6398543815549926E-2</v>
      </c>
      <c r="N1860" t="str">
        <f>IF(tbl_Budget[[#This Row],[Variance_%]]&gt;0.05,"Overspend",IF(tbl_Budget[[#This Row],[Variance_%]]&lt;-0.05,"Underspend","On Budget"))</f>
        <v>On Budget</v>
      </c>
    </row>
    <row r="1861" spans="1:14" hidden="1">
      <c r="A1861" s="1">
        <v>45474</v>
      </c>
      <c r="B1861">
        <v>7</v>
      </c>
      <c r="C1861" t="s">
        <v>42</v>
      </c>
      <c r="D1861" t="s">
        <v>60</v>
      </c>
      <c r="E1861">
        <v>2024</v>
      </c>
      <c r="F1861" t="s">
        <v>26</v>
      </c>
      <c r="G1861" t="s">
        <v>23</v>
      </c>
      <c r="H1861" t="s">
        <v>19</v>
      </c>
      <c r="I1861" t="s">
        <v>27</v>
      </c>
      <c r="J1861">
        <v>6025.72</v>
      </c>
      <c r="K1861">
        <v>6157.54</v>
      </c>
      <c r="L1861" s="20">
        <f>tbl_Budget[[#This Row],[Actual]]-tbl_Budget[[#This Row],[Budget]]</f>
        <v>131.81999999999971</v>
      </c>
      <c r="M1861" s="3">
        <f>tbl_Budget[[#This Row],[Variance]]/tbl_Budget[[#This Row],[Budget]]</f>
        <v>2.1876223920128997E-2</v>
      </c>
      <c r="N1861" t="str">
        <f>IF(tbl_Budget[[#This Row],[Variance_%]]&gt;0.05,"Overspend",IF(tbl_Budget[[#This Row],[Variance_%]]&lt;-0.05,"Underspend","On Budget"))</f>
        <v>On Budget</v>
      </c>
    </row>
    <row r="1862" spans="1:14" hidden="1">
      <c r="A1862" s="1">
        <v>45474</v>
      </c>
      <c r="B1862">
        <v>7</v>
      </c>
      <c r="C1862" t="s">
        <v>42</v>
      </c>
      <c r="D1862" t="s">
        <v>60</v>
      </c>
      <c r="E1862">
        <v>2024</v>
      </c>
      <c r="F1862" t="s">
        <v>28</v>
      </c>
      <c r="G1862" t="s">
        <v>14</v>
      </c>
      <c r="H1862" t="s">
        <v>15</v>
      </c>
      <c r="I1862" t="s">
        <v>29</v>
      </c>
      <c r="J1862">
        <v>56544.3</v>
      </c>
      <c r="K1862">
        <v>54915.9</v>
      </c>
      <c r="L1862" s="20">
        <f>tbl_Budget[[#This Row],[Actual]]-tbl_Budget[[#This Row],[Budget]]</f>
        <v>-1628.4000000000015</v>
      </c>
      <c r="M1862" s="3">
        <f>tbl_Budget[[#This Row],[Variance]]/tbl_Budget[[#This Row],[Budget]]</f>
        <v>-2.8798658750749436E-2</v>
      </c>
      <c r="N1862" t="str">
        <f>IF(tbl_Budget[[#This Row],[Variance_%]]&gt;0.05,"Overspend",IF(tbl_Budget[[#This Row],[Variance_%]]&lt;-0.05,"Underspend","On Budget"))</f>
        <v>On Budget</v>
      </c>
    </row>
    <row r="1863" spans="1:14" hidden="1">
      <c r="A1863" s="1">
        <v>45474</v>
      </c>
      <c r="B1863">
        <v>7</v>
      </c>
      <c r="C1863" t="s">
        <v>42</v>
      </c>
      <c r="D1863" t="s">
        <v>60</v>
      </c>
      <c r="E1863">
        <v>2024</v>
      </c>
      <c r="F1863" t="s">
        <v>28</v>
      </c>
      <c r="G1863" t="s">
        <v>14</v>
      </c>
      <c r="H1863" t="s">
        <v>17</v>
      </c>
      <c r="I1863" t="s">
        <v>29</v>
      </c>
      <c r="J1863">
        <v>52554.23</v>
      </c>
      <c r="K1863">
        <v>60894.45</v>
      </c>
      <c r="L1863" s="20">
        <f>tbl_Budget[[#This Row],[Actual]]-tbl_Budget[[#This Row],[Budget]]</f>
        <v>8340.2199999999939</v>
      </c>
      <c r="M1863" s="3">
        <f>tbl_Budget[[#This Row],[Variance]]/tbl_Budget[[#This Row],[Budget]]</f>
        <v>0.15869740646946959</v>
      </c>
      <c r="N1863" t="str">
        <f>IF(tbl_Budget[[#This Row],[Variance_%]]&gt;0.05,"Overspend",IF(tbl_Budget[[#This Row],[Variance_%]]&lt;-0.05,"Underspend","On Budget"))</f>
        <v>Overspend</v>
      </c>
    </row>
    <row r="1864" spans="1:14" hidden="1">
      <c r="A1864" s="1">
        <v>45474</v>
      </c>
      <c r="B1864">
        <v>7</v>
      </c>
      <c r="C1864" t="s">
        <v>42</v>
      </c>
      <c r="D1864" t="s">
        <v>60</v>
      </c>
      <c r="E1864">
        <v>2024</v>
      </c>
      <c r="F1864" t="s">
        <v>28</v>
      </c>
      <c r="G1864" t="s">
        <v>14</v>
      </c>
      <c r="H1864" t="s">
        <v>18</v>
      </c>
      <c r="I1864" t="s">
        <v>29</v>
      </c>
      <c r="J1864">
        <v>53398.559999999998</v>
      </c>
      <c r="K1864">
        <v>58586.84</v>
      </c>
      <c r="L1864" s="20">
        <f>tbl_Budget[[#This Row],[Actual]]-tbl_Budget[[#This Row],[Budget]]</f>
        <v>5188.2799999999988</v>
      </c>
      <c r="M1864" s="3">
        <f>tbl_Budget[[#This Row],[Variance]]/tbl_Budget[[#This Row],[Budget]]</f>
        <v>9.7161421581405921E-2</v>
      </c>
      <c r="N1864" t="str">
        <f>IF(tbl_Budget[[#This Row],[Variance_%]]&gt;0.05,"Overspend",IF(tbl_Budget[[#This Row],[Variance_%]]&lt;-0.05,"Underspend","On Budget"))</f>
        <v>Overspend</v>
      </c>
    </row>
    <row r="1865" spans="1:14" hidden="1">
      <c r="A1865" s="1">
        <v>45474</v>
      </c>
      <c r="B1865">
        <v>7</v>
      </c>
      <c r="C1865" t="s">
        <v>42</v>
      </c>
      <c r="D1865" t="s">
        <v>60</v>
      </c>
      <c r="E1865">
        <v>2024</v>
      </c>
      <c r="F1865" t="s">
        <v>28</v>
      </c>
      <c r="G1865" t="s">
        <v>14</v>
      </c>
      <c r="H1865" t="s">
        <v>19</v>
      </c>
      <c r="I1865" t="s">
        <v>29</v>
      </c>
      <c r="J1865">
        <v>56723.31</v>
      </c>
      <c r="K1865">
        <v>57940.78</v>
      </c>
      <c r="L1865" s="20">
        <f>tbl_Budget[[#This Row],[Actual]]-tbl_Budget[[#This Row],[Budget]]</f>
        <v>1217.4700000000012</v>
      </c>
      <c r="M1865" s="3">
        <f>tbl_Budget[[#This Row],[Variance]]/tbl_Budget[[#This Row],[Budget]]</f>
        <v>2.1463310233482517E-2</v>
      </c>
      <c r="N1865" t="str">
        <f>IF(tbl_Budget[[#This Row],[Variance_%]]&gt;0.05,"Overspend",IF(tbl_Budget[[#This Row],[Variance_%]]&lt;-0.05,"Underspend","On Budget"))</f>
        <v>On Budget</v>
      </c>
    </row>
    <row r="1866" spans="1:14" hidden="1">
      <c r="A1866" s="1">
        <v>45474</v>
      </c>
      <c r="B1866">
        <v>7</v>
      </c>
      <c r="C1866" t="s">
        <v>42</v>
      </c>
      <c r="D1866" t="s">
        <v>60</v>
      </c>
      <c r="E1866">
        <v>2024</v>
      </c>
      <c r="F1866" t="s">
        <v>28</v>
      </c>
      <c r="G1866" t="s">
        <v>20</v>
      </c>
      <c r="H1866" t="s">
        <v>15</v>
      </c>
      <c r="I1866" t="s">
        <v>29</v>
      </c>
      <c r="J1866">
        <v>21051.14</v>
      </c>
      <c r="K1866">
        <v>22682.06</v>
      </c>
      <c r="L1866" s="20">
        <f>tbl_Budget[[#This Row],[Actual]]-tbl_Budget[[#This Row],[Budget]]</f>
        <v>1630.9200000000019</v>
      </c>
      <c r="M1866" s="3">
        <f>tbl_Budget[[#This Row],[Variance]]/tbl_Budget[[#This Row],[Budget]]</f>
        <v>7.7474189046294023E-2</v>
      </c>
      <c r="N1866" t="str">
        <f>IF(tbl_Budget[[#This Row],[Variance_%]]&gt;0.05,"Overspend",IF(tbl_Budget[[#This Row],[Variance_%]]&lt;-0.05,"Underspend","On Budget"))</f>
        <v>Overspend</v>
      </c>
    </row>
    <row r="1867" spans="1:14" hidden="1">
      <c r="A1867" s="1">
        <v>45474</v>
      </c>
      <c r="B1867">
        <v>7</v>
      </c>
      <c r="C1867" t="s">
        <v>42</v>
      </c>
      <c r="D1867" t="s">
        <v>60</v>
      </c>
      <c r="E1867">
        <v>2024</v>
      </c>
      <c r="F1867" t="s">
        <v>28</v>
      </c>
      <c r="G1867" t="s">
        <v>20</v>
      </c>
      <c r="H1867" t="s">
        <v>17</v>
      </c>
      <c r="I1867" t="s">
        <v>29</v>
      </c>
      <c r="J1867">
        <v>20863.29</v>
      </c>
      <c r="K1867">
        <v>22478.26</v>
      </c>
      <c r="L1867" s="20">
        <f>tbl_Budget[[#This Row],[Actual]]-tbl_Budget[[#This Row],[Budget]]</f>
        <v>1614.9699999999975</v>
      </c>
      <c r="M1867" s="3">
        <f>tbl_Budget[[#This Row],[Variance]]/tbl_Budget[[#This Row],[Budget]]</f>
        <v>7.7407254560522207E-2</v>
      </c>
      <c r="N1867" t="str">
        <f>IF(tbl_Budget[[#This Row],[Variance_%]]&gt;0.05,"Overspend",IF(tbl_Budget[[#This Row],[Variance_%]]&lt;-0.05,"Underspend","On Budget"))</f>
        <v>Overspend</v>
      </c>
    </row>
    <row r="1868" spans="1:14" hidden="1">
      <c r="A1868" s="1">
        <v>45474</v>
      </c>
      <c r="B1868">
        <v>7</v>
      </c>
      <c r="C1868" t="s">
        <v>42</v>
      </c>
      <c r="D1868" t="s">
        <v>60</v>
      </c>
      <c r="E1868">
        <v>2024</v>
      </c>
      <c r="F1868" t="s">
        <v>28</v>
      </c>
      <c r="G1868" t="s">
        <v>20</v>
      </c>
      <c r="H1868" t="s">
        <v>18</v>
      </c>
      <c r="I1868" t="s">
        <v>29</v>
      </c>
      <c r="J1868">
        <v>20943.759999999998</v>
      </c>
      <c r="K1868">
        <v>23768.73</v>
      </c>
      <c r="L1868" s="20">
        <f>tbl_Budget[[#This Row],[Actual]]-tbl_Budget[[#This Row],[Budget]]</f>
        <v>2824.9700000000012</v>
      </c>
      <c r="M1868" s="3">
        <f>tbl_Budget[[#This Row],[Variance]]/tbl_Budget[[#This Row],[Budget]]</f>
        <v>0.13488361211167438</v>
      </c>
      <c r="N1868" t="str">
        <f>IF(tbl_Budget[[#This Row],[Variance_%]]&gt;0.05,"Overspend",IF(tbl_Budget[[#This Row],[Variance_%]]&lt;-0.05,"Underspend","On Budget"))</f>
        <v>Overspend</v>
      </c>
    </row>
    <row r="1869" spans="1:14" hidden="1">
      <c r="A1869" s="1">
        <v>45474</v>
      </c>
      <c r="B1869">
        <v>7</v>
      </c>
      <c r="C1869" t="s">
        <v>42</v>
      </c>
      <c r="D1869" t="s">
        <v>60</v>
      </c>
      <c r="E1869">
        <v>2024</v>
      </c>
      <c r="F1869" t="s">
        <v>28</v>
      </c>
      <c r="G1869" t="s">
        <v>20</v>
      </c>
      <c r="H1869" t="s">
        <v>19</v>
      </c>
      <c r="I1869" t="s">
        <v>29</v>
      </c>
      <c r="J1869">
        <v>22321.62</v>
      </c>
      <c r="K1869">
        <v>23066.34</v>
      </c>
      <c r="L1869" s="20">
        <f>tbl_Budget[[#This Row],[Actual]]-tbl_Budget[[#This Row],[Budget]]</f>
        <v>744.72000000000116</v>
      </c>
      <c r="M1869" s="3">
        <f>tbl_Budget[[#This Row],[Variance]]/tbl_Budget[[#This Row],[Budget]]</f>
        <v>3.3363169877455183E-2</v>
      </c>
      <c r="N1869" t="str">
        <f>IF(tbl_Budget[[#This Row],[Variance_%]]&gt;0.05,"Overspend",IF(tbl_Budget[[#This Row],[Variance_%]]&lt;-0.05,"Underspend","On Budget"))</f>
        <v>On Budget</v>
      </c>
    </row>
    <row r="1870" spans="1:14">
      <c r="A1870" s="1">
        <v>45474</v>
      </c>
      <c r="B1870">
        <v>7</v>
      </c>
      <c r="C1870" t="s">
        <v>42</v>
      </c>
      <c r="D1870" t="s">
        <v>60</v>
      </c>
      <c r="E1870">
        <v>2024</v>
      </c>
      <c r="F1870" t="s">
        <v>28</v>
      </c>
      <c r="G1870" t="s">
        <v>21</v>
      </c>
      <c r="H1870" t="s">
        <v>15</v>
      </c>
      <c r="I1870" t="s">
        <v>29</v>
      </c>
      <c r="J1870">
        <v>11808.71</v>
      </c>
      <c r="K1870">
        <v>16729.759999999998</v>
      </c>
      <c r="L1870" s="20">
        <f>tbl_Budget[[#This Row],[Actual]]-tbl_Budget[[#This Row],[Budget]]</f>
        <v>4921.0499999999993</v>
      </c>
      <c r="M1870" s="3">
        <f>tbl_Budget[[#This Row],[Variance]]/tbl_Budget[[#This Row],[Budget]]</f>
        <v>0.41673053195480281</v>
      </c>
      <c r="N1870" t="str">
        <f>IF(tbl_Budget[[#This Row],[Variance_%]]&gt;0.05,"Overspend",IF(tbl_Budget[[#This Row],[Variance_%]]&lt;-0.05,"Underspend","On Budget"))</f>
        <v>Overspend</v>
      </c>
    </row>
    <row r="1871" spans="1:14">
      <c r="A1871" s="1">
        <v>45474</v>
      </c>
      <c r="B1871">
        <v>7</v>
      </c>
      <c r="C1871" t="s">
        <v>42</v>
      </c>
      <c r="D1871" t="s">
        <v>60</v>
      </c>
      <c r="E1871">
        <v>2024</v>
      </c>
      <c r="F1871" t="s">
        <v>28</v>
      </c>
      <c r="G1871" t="s">
        <v>21</v>
      </c>
      <c r="H1871" t="s">
        <v>17</v>
      </c>
      <c r="I1871" t="s">
        <v>29</v>
      </c>
      <c r="J1871">
        <v>11718.88</v>
      </c>
      <c r="K1871">
        <v>15221.36</v>
      </c>
      <c r="L1871" s="20">
        <f>tbl_Budget[[#This Row],[Actual]]-tbl_Budget[[#This Row],[Budget]]</f>
        <v>3502.4800000000014</v>
      </c>
      <c r="M1871" s="3">
        <f>tbl_Budget[[#This Row],[Variance]]/tbl_Budget[[#This Row],[Budget]]</f>
        <v>0.29887497781357958</v>
      </c>
      <c r="N1871" t="str">
        <f>IF(tbl_Budget[[#This Row],[Variance_%]]&gt;0.05,"Overspend",IF(tbl_Budget[[#This Row],[Variance_%]]&lt;-0.05,"Underspend","On Budget"))</f>
        <v>Overspend</v>
      </c>
    </row>
    <row r="1872" spans="1:14">
      <c r="A1872" s="1">
        <v>45474</v>
      </c>
      <c r="B1872">
        <v>7</v>
      </c>
      <c r="C1872" t="s">
        <v>42</v>
      </c>
      <c r="D1872" t="s">
        <v>60</v>
      </c>
      <c r="E1872">
        <v>2024</v>
      </c>
      <c r="F1872" t="s">
        <v>28</v>
      </c>
      <c r="G1872" t="s">
        <v>21</v>
      </c>
      <c r="H1872" t="s">
        <v>18</v>
      </c>
      <c r="I1872" t="s">
        <v>29</v>
      </c>
      <c r="J1872">
        <v>11644.24</v>
      </c>
      <c r="K1872">
        <v>13562.08</v>
      </c>
      <c r="L1872" s="20">
        <f>tbl_Budget[[#This Row],[Actual]]-tbl_Budget[[#This Row],[Budget]]</f>
        <v>1917.8400000000001</v>
      </c>
      <c r="M1872" s="3">
        <f>tbl_Budget[[#This Row],[Variance]]/tbl_Budget[[#This Row],[Budget]]</f>
        <v>0.16470289173016017</v>
      </c>
      <c r="N1872" t="str">
        <f>IF(tbl_Budget[[#This Row],[Variance_%]]&gt;0.05,"Overspend",IF(tbl_Budget[[#This Row],[Variance_%]]&lt;-0.05,"Underspend","On Budget"))</f>
        <v>Overspend</v>
      </c>
    </row>
    <row r="1873" spans="1:14">
      <c r="A1873" s="1">
        <v>45474</v>
      </c>
      <c r="B1873">
        <v>7</v>
      </c>
      <c r="C1873" t="s">
        <v>42</v>
      </c>
      <c r="D1873" t="s">
        <v>60</v>
      </c>
      <c r="E1873">
        <v>2024</v>
      </c>
      <c r="F1873" t="s">
        <v>28</v>
      </c>
      <c r="G1873" t="s">
        <v>21</v>
      </c>
      <c r="H1873" t="s">
        <v>19</v>
      </c>
      <c r="I1873" t="s">
        <v>29</v>
      </c>
      <c r="J1873">
        <v>12721.3</v>
      </c>
      <c r="K1873">
        <v>18931.63</v>
      </c>
      <c r="L1873" s="20">
        <f>tbl_Budget[[#This Row],[Actual]]-tbl_Budget[[#This Row],[Budget]]</f>
        <v>6210.3300000000017</v>
      </c>
      <c r="M1873" s="3">
        <f>tbl_Budget[[#This Row],[Variance]]/tbl_Budget[[#This Row],[Budget]]</f>
        <v>0.48818359758829694</v>
      </c>
      <c r="N1873" t="str">
        <f>IF(tbl_Budget[[#This Row],[Variance_%]]&gt;0.05,"Overspend",IF(tbl_Budget[[#This Row],[Variance_%]]&lt;-0.05,"Underspend","On Budget"))</f>
        <v>Overspend</v>
      </c>
    </row>
    <row r="1874" spans="1:14" hidden="1">
      <c r="A1874" s="1">
        <v>45474</v>
      </c>
      <c r="B1874">
        <v>7</v>
      </c>
      <c r="C1874" t="s">
        <v>42</v>
      </c>
      <c r="D1874" t="s">
        <v>60</v>
      </c>
      <c r="E1874">
        <v>2024</v>
      </c>
      <c r="F1874" t="s">
        <v>28</v>
      </c>
      <c r="G1874" t="s">
        <v>22</v>
      </c>
      <c r="H1874" t="s">
        <v>15</v>
      </c>
      <c r="I1874" t="s">
        <v>29</v>
      </c>
      <c r="J1874">
        <v>12679.68</v>
      </c>
      <c r="K1874">
        <v>14447.87</v>
      </c>
      <c r="L1874" s="20">
        <f>tbl_Budget[[#This Row],[Actual]]-tbl_Budget[[#This Row],[Budget]]</f>
        <v>1768.1900000000005</v>
      </c>
      <c r="M1874" s="3">
        <f>tbl_Budget[[#This Row],[Variance]]/tbl_Budget[[#This Row],[Budget]]</f>
        <v>0.13945068014334749</v>
      </c>
      <c r="N1874" t="str">
        <f>IF(tbl_Budget[[#This Row],[Variance_%]]&gt;0.05,"Overspend",IF(tbl_Budget[[#This Row],[Variance_%]]&lt;-0.05,"Underspend","On Budget"))</f>
        <v>Overspend</v>
      </c>
    </row>
    <row r="1875" spans="1:14" hidden="1">
      <c r="A1875" s="1">
        <v>45474</v>
      </c>
      <c r="B1875">
        <v>7</v>
      </c>
      <c r="C1875" t="s">
        <v>42</v>
      </c>
      <c r="D1875" t="s">
        <v>60</v>
      </c>
      <c r="E1875">
        <v>2024</v>
      </c>
      <c r="F1875" t="s">
        <v>28</v>
      </c>
      <c r="G1875" t="s">
        <v>22</v>
      </c>
      <c r="H1875" t="s">
        <v>17</v>
      </c>
      <c r="I1875" t="s">
        <v>29</v>
      </c>
      <c r="J1875">
        <v>11888.4</v>
      </c>
      <c r="K1875">
        <v>10781.05</v>
      </c>
      <c r="L1875" s="20">
        <f>tbl_Budget[[#This Row],[Actual]]-tbl_Budget[[#This Row],[Budget]]</f>
        <v>-1107.3500000000004</v>
      </c>
      <c r="M1875" s="3">
        <f>tbl_Budget[[#This Row],[Variance]]/tbl_Budget[[#This Row],[Budget]]</f>
        <v>-9.3145419063961538E-2</v>
      </c>
      <c r="N1875" t="str">
        <f>IF(tbl_Budget[[#This Row],[Variance_%]]&gt;0.05,"Overspend",IF(tbl_Budget[[#This Row],[Variance_%]]&lt;-0.05,"Underspend","On Budget"))</f>
        <v>Underspend</v>
      </c>
    </row>
    <row r="1876" spans="1:14" hidden="1">
      <c r="A1876" s="1">
        <v>45474</v>
      </c>
      <c r="B1876">
        <v>7</v>
      </c>
      <c r="C1876" t="s">
        <v>42</v>
      </c>
      <c r="D1876" t="s">
        <v>60</v>
      </c>
      <c r="E1876">
        <v>2024</v>
      </c>
      <c r="F1876" t="s">
        <v>28</v>
      </c>
      <c r="G1876" t="s">
        <v>22</v>
      </c>
      <c r="H1876" t="s">
        <v>18</v>
      </c>
      <c r="I1876" t="s">
        <v>29</v>
      </c>
      <c r="J1876">
        <v>12546</v>
      </c>
      <c r="K1876">
        <v>11076.45</v>
      </c>
      <c r="L1876" s="20">
        <f>tbl_Budget[[#This Row],[Actual]]-tbl_Budget[[#This Row],[Budget]]</f>
        <v>-1469.5499999999993</v>
      </c>
      <c r="M1876" s="3">
        <f>tbl_Budget[[#This Row],[Variance]]/tbl_Budget[[#This Row],[Budget]]</f>
        <v>-0.11713295074127206</v>
      </c>
      <c r="N1876" t="str">
        <f>IF(tbl_Budget[[#This Row],[Variance_%]]&gt;0.05,"Overspend",IF(tbl_Budget[[#This Row],[Variance_%]]&lt;-0.05,"Underspend","On Budget"))</f>
        <v>Underspend</v>
      </c>
    </row>
    <row r="1877" spans="1:14" hidden="1">
      <c r="A1877" s="1">
        <v>45474</v>
      </c>
      <c r="B1877">
        <v>7</v>
      </c>
      <c r="C1877" t="s">
        <v>42</v>
      </c>
      <c r="D1877" t="s">
        <v>60</v>
      </c>
      <c r="E1877">
        <v>2024</v>
      </c>
      <c r="F1877" t="s">
        <v>28</v>
      </c>
      <c r="G1877" t="s">
        <v>22</v>
      </c>
      <c r="H1877" t="s">
        <v>19</v>
      </c>
      <c r="I1877" t="s">
        <v>29</v>
      </c>
      <c r="J1877">
        <v>12827.27</v>
      </c>
      <c r="K1877">
        <v>11349.61</v>
      </c>
      <c r="L1877" s="20">
        <f>tbl_Budget[[#This Row],[Actual]]-tbl_Budget[[#This Row],[Budget]]</f>
        <v>-1477.6599999999999</v>
      </c>
      <c r="M1877" s="3">
        <f>tbl_Budget[[#This Row],[Variance]]/tbl_Budget[[#This Row],[Budget]]</f>
        <v>-0.11519676439335882</v>
      </c>
      <c r="N1877" t="str">
        <f>IF(tbl_Budget[[#This Row],[Variance_%]]&gt;0.05,"Overspend",IF(tbl_Budget[[#This Row],[Variance_%]]&lt;-0.05,"Underspend","On Budget"))</f>
        <v>Underspend</v>
      </c>
    </row>
    <row r="1878" spans="1:14" hidden="1">
      <c r="A1878" s="1">
        <v>45474</v>
      </c>
      <c r="B1878">
        <v>7</v>
      </c>
      <c r="C1878" t="s">
        <v>42</v>
      </c>
      <c r="D1878" t="s">
        <v>60</v>
      </c>
      <c r="E1878">
        <v>2024</v>
      </c>
      <c r="F1878" t="s">
        <v>28</v>
      </c>
      <c r="G1878" t="s">
        <v>23</v>
      </c>
      <c r="H1878" t="s">
        <v>15</v>
      </c>
      <c r="I1878" t="s">
        <v>29</v>
      </c>
      <c r="J1878">
        <v>8051.5</v>
      </c>
      <c r="K1878">
        <v>8056.92</v>
      </c>
      <c r="L1878" s="20">
        <f>tbl_Budget[[#This Row],[Actual]]-tbl_Budget[[#This Row],[Budget]]</f>
        <v>5.4200000000000728</v>
      </c>
      <c r="M1878" s="3">
        <f>tbl_Budget[[#This Row],[Variance]]/tbl_Budget[[#This Row],[Budget]]</f>
        <v>6.7316649071602467E-4</v>
      </c>
      <c r="N1878" t="str">
        <f>IF(tbl_Budget[[#This Row],[Variance_%]]&gt;0.05,"Overspend",IF(tbl_Budget[[#This Row],[Variance_%]]&lt;-0.05,"Underspend","On Budget"))</f>
        <v>On Budget</v>
      </c>
    </row>
    <row r="1879" spans="1:14" hidden="1">
      <c r="A1879" s="1">
        <v>45474</v>
      </c>
      <c r="B1879">
        <v>7</v>
      </c>
      <c r="C1879" t="s">
        <v>42</v>
      </c>
      <c r="D1879" t="s">
        <v>60</v>
      </c>
      <c r="E1879">
        <v>2024</v>
      </c>
      <c r="F1879" t="s">
        <v>28</v>
      </c>
      <c r="G1879" t="s">
        <v>23</v>
      </c>
      <c r="H1879" t="s">
        <v>17</v>
      </c>
      <c r="I1879" t="s">
        <v>29</v>
      </c>
      <c r="J1879">
        <v>7799.62</v>
      </c>
      <c r="K1879">
        <v>6867.4</v>
      </c>
      <c r="L1879" s="20">
        <f>tbl_Budget[[#This Row],[Actual]]-tbl_Budget[[#This Row],[Budget]]</f>
        <v>-932.22000000000025</v>
      </c>
      <c r="M1879" s="3">
        <f>tbl_Budget[[#This Row],[Variance]]/tbl_Budget[[#This Row],[Budget]]</f>
        <v>-0.11952120744343958</v>
      </c>
      <c r="N1879" t="str">
        <f>IF(tbl_Budget[[#This Row],[Variance_%]]&gt;0.05,"Overspend",IF(tbl_Budget[[#This Row],[Variance_%]]&lt;-0.05,"Underspend","On Budget"))</f>
        <v>Underspend</v>
      </c>
    </row>
    <row r="1880" spans="1:14" hidden="1">
      <c r="A1880" s="1">
        <v>45474</v>
      </c>
      <c r="B1880">
        <v>7</v>
      </c>
      <c r="C1880" t="s">
        <v>42</v>
      </c>
      <c r="D1880" t="s">
        <v>60</v>
      </c>
      <c r="E1880">
        <v>2024</v>
      </c>
      <c r="F1880" t="s">
        <v>28</v>
      </c>
      <c r="G1880" t="s">
        <v>23</v>
      </c>
      <c r="H1880" t="s">
        <v>18</v>
      </c>
      <c r="I1880" t="s">
        <v>29</v>
      </c>
      <c r="J1880">
        <v>7927.42</v>
      </c>
      <c r="K1880">
        <v>8293.4</v>
      </c>
      <c r="L1880" s="20">
        <f>tbl_Budget[[#This Row],[Actual]]-tbl_Budget[[#This Row],[Budget]]</f>
        <v>365.97999999999956</v>
      </c>
      <c r="M1880" s="3">
        <f>tbl_Budget[[#This Row],[Variance]]/tbl_Budget[[#This Row],[Budget]]</f>
        <v>4.6166344157367666E-2</v>
      </c>
      <c r="N1880" t="str">
        <f>IF(tbl_Budget[[#This Row],[Variance_%]]&gt;0.05,"Overspend",IF(tbl_Budget[[#This Row],[Variance_%]]&lt;-0.05,"Underspend","On Budget"))</f>
        <v>On Budget</v>
      </c>
    </row>
    <row r="1881" spans="1:14" hidden="1">
      <c r="A1881" s="1">
        <v>45474</v>
      </c>
      <c r="B1881">
        <v>7</v>
      </c>
      <c r="C1881" t="s">
        <v>42</v>
      </c>
      <c r="D1881" t="s">
        <v>60</v>
      </c>
      <c r="E1881">
        <v>2024</v>
      </c>
      <c r="F1881" t="s">
        <v>28</v>
      </c>
      <c r="G1881" t="s">
        <v>23</v>
      </c>
      <c r="H1881" t="s">
        <v>19</v>
      </c>
      <c r="I1881" t="s">
        <v>29</v>
      </c>
      <c r="J1881">
        <v>8439.17</v>
      </c>
      <c r="K1881">
        <v>7493.44</v>
      </c>
      <c r="L1881" s="20">
        <f>tbl_Budget[[#This Row],[Actual]]-tbl_Budget[[#This Row],[Budget]]</f>
        <v>-945.73000000000047</v>
      </c>
      <c r="M1881" s="3">
        <f>tbl_Budget[[#This Row],[Variance]]/tbl_Budget[[#This Row],[Budget]]</f>
        <v>-0.11206433808064069</v>
      </c>
      <c r="N1881" t="str">
        <f>IF(tbl_Budget[[#This Row],[Variance_%]]&gt;0.05,"Overspend",IF(tbl_Budget[[#This Row],[Variance_%]]&lt;-0.05,"Underspend","On Budget"))</f>
        <v>Underspend</v>
      </c>
    </row>
    <row r="1882" spans="1:14" hidden="1">
      <c r="A1882" s="1">
        <v>45474</v>
      </c>
      <c r="B1882">
        <v>7</v>
      </c>
      <c r="C1882" t="s">
        <v>42</v>
      </c>
      <c r="D1882" t="s">
        <v>60</v>
      </c>
      <c r="E1882">
        <v>2024</v>
      </c>
      <c r="F1882" t="s">
        <v>30</v>
      </c>
      <c r="G1882" t="s">
        <v>14</v>
      </c>
      <c r="H1882" t="s">
        <v>15</v>
      </c>
      <c r="I1882" t="s">
        <v>31</v>
      </c>
      <c r="J1882">
        <v>45871.08</v>
      </c>
      <c r="K1882">
        <v>47762.96</v>
      </c>
      <c r="L1882" s="20">
        <f>tbl_Budget[[#This Row],[Actual]]-tbl_Budget[[#This Row],[Budget]]</f>
        <v>1891.8799999999974</v>
      </c>
      <c r="M1882" s="3">
        <f>tbl_Budget[[#This Row],[Variance]]/tbl_Budget[[#This Row],[Budget]]</f>
        <v>4.1243415241149703E-2</v>
      </c>
      <c r="N1882" t="str">
        <f>IF(tbl_Budget[[#This Row],[Variance_%]]&gt;0.05,"Overspend",IF(tbl_Budget[[#This Row],[Variance_%]]&lt;-0.05,"Underspend","On Budget"))</f>
        <v>On Budget</v>
      </c>
    </row>
    <row r="1883" spans="1:14" hidden="1">
      <c r="A1883" s="1">
        <v>45474</v>
      </c>
      <c r="B1883">
        <v>7</v>
      </c>
      <c r="C1883" t="s">
        <v>42</v>
      </c>
      <c r="D1883" t="s">
        <v>60</v>
      </c>
      <c r="E1883">
        <v>2024</v>
      </c>
      <c r="F1883" t="s">
        <v>30</v>
      </c>
      <c r="G1883" t="s">
        <v>14</v>
      </c>
      <c r="H1883" t="s">
        <v>17</v>
      </c>
      <c r="I1883" t="s">
        <v>31</v>
      </c>
      <c r="J1883">
        <v>41779.89</v>
      </c>
      <c r="K1883">
        <v>42506.71</v>
      </c>
      <c r="L1883" s="20">
        <f>tbl_Budget[[#This Row],[Actual]]-tbl_Budget[[#This Row],[Budget]]</f>
        <v>726.81999999999971</v>
      </c>
      <c r="M1883" s="3">
        <f>tbl_Budget[[#This Row],[Variance]]/tbl_Budget[[#This Row],[Budget]]</f>
        <v>1.73964076975789E-2</v>
      </c>
      <c r="N1883" t="str">
        <f>IF(tbl_Budget[[#This Row],[Variance_%]]&gt;0.05,"Overspend",IF(tbl_Budget[[#This Row],[Variance_%]]&lt;-0.05,"Underspend","On Budget"))</f>
        <v>On Budget</v>
      </c>
    </row>
    <row r="1884" spans="1:14" hidden="1">
      <c r="A1884" s="1">
        <v>45474</v>
      </c>
      <c r="B1884">
        <v>7</v>
      </c>
      <c r="C1884" t="s">
        <v>42</v>
      </c>
      <c r="D1884" t="s">
        <v>60</v>
      </c>
      <c r="E1884">
        <v>2024</v>
      </c>
      <c r="F1884" t="s">
        <v>30</v>
      </c>
      <c r="G1884" t="s">
        <v>14</v>
      </c>
      <c r="H1884" t="s">
        <v>18</v>
      </c>
      <c r="I1884" t="s">
        <v>31</v>
      </c>
      <c r="J1884">
        <v>42549.279999999999</v>
      </c>
      <c r="K1884">
        <v>44469.29</v>
      </c>
      <c r="L1884" s="20">
        <f>tbl_Budget[[#This Row],[Actual]]-tbl_Budget[[#This Row],[Budget]]</f>
        <v>1920.010000000002</v>
      </c>
      <c r="M1884" s="3">
        <f>tbl_Budget[[#This Row],[Variance]]/tbl_Budget[[#This Row],[Budget]]</f>
        <v>4.5124382833270082E-2</v>
      </c>
      <c r="N1884" t="str">
        <f>IF(tbl_Budget[[#This Row],[Variance_%]]&gt;0.05,"Overspend",IF(tbl_Budget[[#This Row],[Variance_%]]&lt;-0.05,"Underspend","On Budget"))</f>
        <v>On Budget</v>
      </c>
    </row>
    <row r="1885" spans="1:14" hidden="1">
      <c r="A1885" s="1">
        <v>45474</v>
      </c>
      <c r="B1885">
        <v>7</v>
      </c>
      <c r="C1885" t="s">
        <v>42</v>
      </c>
      <c r="D1885" t="s">
        <v>60</v>
      </c>
      <c r="E1885">
        <v>2024</v>
      </c>
      <c r="F1885" t="s">
        <v>30</v>
      </c>
      <c r="G1885" t="s">
        <v>14</v>
      </c>
      <c r="H1885" t="s">
        <v>19</v>
      </c>
      <c r="I1885" t="s">
        <v>31</v>
      </c>
      <c r="J1885">
        <v>47807.6</v>
      </c>
      <c r="K1885">
        <v>48354.93</v>
      </c>
      <c r="L1885" s="20">
        <f>tbl_Budget[[#This Row],[Actual]]-tbl_Budget[[#This Row],[Budget]]</f>
        <v>547.33000000000175</v>
      </c>
      <c r="M1885" s="3">
        <f>tbl_Budget[[#This Row],[Variance]]/tbl_Budget[[#This Row],[Budget]]</f>
        <v>1.1448598130841158E-2</v>
      </c>
      <c r="N1885" t="str">
        <f>IF(tbl_Budget[[#This Row],[Variance_%]]&gt;0.05,"Overspend",IF(tbl_Budget[[#This Row],[Variance_%]]&lt;-0.05,"Underspend","On Budget"))</f>
        <v>On Budget</v>
      </c>
    </row>
    <row r="1886" spans="1:14" hidden="1">
      <c r="A1886" s="1">
        <v>45474</v>
      </c>
      <c r="B1886">
        <v>7</v>
      </c>
      <c r="C1886" t="s">
        <v>42</v>
      </c>
      <c r="D1886" t="s">
        <v>60</v>
      </c>
      <c r="E1886">
        <v>2024</v>
      </c>
      <c r="F1886" t="s">
        <v>30</v>
      </c>
      <c r="G1886" t="s">
        <v>20</v>
      </c>
      <c r="H1886" t="s">
        <v>15</v>
      </c>
      <c r="I1886" t="s">
        <v>31</v>
      </c>
      <c r="J1886">
        <v>17557.03</v>
      </c>
      <c r="K1886">
        <v>17126.41</v>
      </c>
      <c r="L1886" s="20">
        <f>tbl_Budget[[#This Row],[Actual]]-tbl_Budget[[#This Row],[Budget]]</f>
        <v>-430.61999999999898</v>
      </c>
      <c r="M1886" s="3">
        <f>tbl_Budget[[#This Row],[Variance]]/tbl_Budget[[#This Row],[Budget]]</f>
        <v>-2.4526927390338741E-2</v>
      </c>
      <c r="N1886" t="str">
        <f>IF(tbl_Budget[[#This Row],[Variance_%]]&gt;0.05,"Overspend",IF(tbl_Budget[[#This Row],[Variance_%]]&lt;-0.05,"Underspend","On Budget"))</f>
        <v>On Budget</v>
      </c>
    </row>
    <row r="1887" spans="1:14" hidden="1">
      <c r="A1887" s="1">
        <v>45474</v>
      </c>
      <c r="B1887">
        <v>7</v>
      </c>
      <c r="C1887" t="s">
        <v>42</v>
      </c>
      <c r="D1887" t="s">
        <v>60</v>
      </c>
      <c r="E1887">
        <v>2024</v>
      </c>
      <c r="F1887" t="s">
        <v>30</v>
      </c>
      <c r="G1887" t="s">
        <v>20</v>
      </c>
      <c r="H1887" t="s">
        <v>17</v>
      </c>
      <c r="I1887" t="s">
        <v>31</v>
      </c>
      <c r="J1887">
        <v>16685.27</v>
      </c>
      <c r="K1887">
        <v>17121.400000000001</v>
      </c>
      <c r="L1887" s="20">
        <f>tbl_Budget[[#This Row],[Actual]]-tbl_Budget[[#This Row],[Budget]]</f>
        <v>436.13000000000102</v>
      </c>
      <c r="M1887" s="3">
        <f>tbl_Budget[[#This Row],[Variance]]/tbl_Budget[[#This Row],[Budget]]</f>
        <v>2.6138624067815565E-2</v>
      </c>
      <c r="N1887" t="str">
        <f>IF(tbl_Budget[[#This Row],[Variance_%]]&gt;0.05,"Overspend",IF(tbl_Budget[[#This Row],[Variance_%]]&lt;-0.05,"Underspend","On Budget"))</f>
        <v>On Budget</v>
      </c>
    </row>
    <row r="1888" spans="1:14" hidden="1">
      <c r="A1888" s="1">
        <v>45474</v>
      </c>
      <c r="B1888">
        <v>7</v>
      </c>
      <c r="C1888" t="s">
        <v>42</v>
      </c>
      <c r="D1888" t="s">
        <v>60</v>
      </c>
      <c r="E1888">
        <v>2024</v>
      </c>
      <c r="F1888" t="s">
        <v>30</v>
      </c>
      <c r="G1888" t="s">
        <v>20</v>
      </c>
      <c r="H1888" t="s">
        <v>18</v>
      </c>
      <c r="I1888" t="s">
        <v>31</v>
      </c>
      <c r="J1888">
        <v>16296.45</v>
      </c>
      <c r="K1888">
        <v>17071.939999999999</v>
      </c>
      <c r="L1888" s="20">
        <f>tbl_Budget[[#This Row],[Actual]]-tbl_Budget[[#This Row],[Budget]]</f>
        <v>775.48999999999796</v>
      </c>
      <c r="M1888" s="3">
        <f>tbl_Budget[[#This Row],[Variance]]/tbl_Budget[[#This Row],[Budget]]</f>
        <v>4.7586437537009467E-2</v>
      </c>
      <c r="N1888" t="str">
        <f>IF(tbl_Budget[[#This Row],[Variance_%]]&gt;0.05,"Overspend",IF(tbl_Budget[[#This Row],[Variance_%]]&lt;-0.05,"Underspend","On Budget"))</f>
        <v>On Budget</v>
      </c>
    </row>
    <row r="1889" spans="1:14" hidden="1">
      <c r="A1889" s="1">
        <v>45474</v>
      </c>
      <c r="B1889">
        <v>7</v>
      </c>
      <c r="C1889" t="s">
        <v>42</v>
      </c>
      <c r="D1889" t="s">
        <v>60</v>
      </c>
      <c r="E1889">
        <v>2024</v>
      </c>
      <c r="F1889" t="s">
        <v>30</v>
      </c>
      <c r="G1889" t="s">
        <v>20</v>
      </c>
      <c r="H1889" t="s">
        <v>19</v>
      </c>
      <c r="I1889" t="s">
        <v>31</v>
      </c>
      <c r="J1889">
        <v>17984.310000000001</v>
      </c>
      <c r="K1889">
        <v>18684.3</v>
      </c>
      <c r="L1889" s="20">
        <f>tbl_Budget[[#This Row],[Actual]]-tbl_Budget[[#This Row],[Budget]]</f>
        <v>699.98999999999796</v>
      </c>
      <c r="M1889" s="3">
        <f>tbl_Budget[[#This Row],[Variance]]/tbl_Budget[[#This Row],[Budget]]</f>
        <v>3.8922260570463808E-2</v>
      </c>
      <c r="N1889" t="str">
        <f>IF(tbl_Budget[[#This Row],[Variance_%]]&gt;0.05,"Overspend",IF(tbl_Budget[[#This Row],[Variance_%]]&lt;-0.05,"Underspend","On Budget"))</f>
        <v>On Budget</v>
      </c>
    </row>
    <row r="1890" spans="1:14">
      <c r="A1890" s="1">
        <v>45474</v>
      </c>
      <c r="B1890">
        <v>7</v>
      </c>
      <c r="C1890" t="s">
        <v>42</v>
      </c>
      <c r="D1890" t="s">
        <v>60</v>
      </c>
      <c r="E1890">
        <v>2024</v>
      </c>
      <c r="F1890" t="s">
        <v>30</v>
      </c>
      <c r="G1890" t="s">
        <v>21</v>
      </c>
      <c r="H1890" t="s">
        <v>15</v>
      </c>
      <c r="I1890" t="s">
        <v>31</v>
      </c>
      <c r="J1890">
        <v>7325.86</v>
      </c>
      <c r="K1890">
        <v>10284.530000000001</v>
      </c>
      <c r="L1890" s="20">
        <f>tbl_Budget[[#This Row],[Actual]]-tbl_Budget[[#This Row],[Budget]]</f>
        <v>2958.670000000001</v>
      </c>
      <c r="M1890" s="3">
        <f>tbl_Budget[[#This Row],[Variance]]/tbl_Budget[[#This Row],[Budget]]</f>
        <v>0.40386657675685872</v>
      </c>
      <c r="N1890" t="str">
        <f>IF(tbl_Budget[[#This Row],[Variance_%]]&gt;0.05,"Overspend",IF(tbl_Budget[[#This Row],[Variance_%]]&lt;-0.05,"Underspend","On Budget"))</f>
        <v>Overspend</v>
      </c>
    </row>
    <row r="1891" spans="1:14">
      <c r="A1891" s="1">
        <v>45474</v>
      </c>
      <c r="B1891">
        <v>7</v>
      </c>
      <c r="C1891" t="s">
        <v>42</v>
      </c>
      <c r="D1891" t="s">
        <v>60</v>
      </c>
      <c r="E1891">
        <v>2024</v>
      </c>
      <c r="F1891" t="s">
        <v>30</v>
      </c>
      <c r="G1891" t="s">
        <v>21</v>
      </c>
      <c r="H1891" t="s">
        <v>17</v>
      </c>
      <c r="I1891" t="s">
        <v>31</v>
      </c>
      <c r="J1891">
        <v>6953.92</v>
      </c>
      <c r="K1891">
        <v>8947.2999999999993</v>
      </c>
      <c r="L1891" s="20">
        <f>tbl_Budget[[#This Row],[Actual]]-tbl_Budget[[#This Row],[Budget]]</f>
        <v>1993.3799999999992</v>
      </c>
      <c r="M1891" s="3">
        <f>tbl_Budget[[#This Row],[Variance]]/tbl_Budget[[#This Row],[Budget]]</f>
        <v>0.28665558418848636</v>
      </c>
      <c r="N1891" t="str">
        <f>IF(tbl_Budget[[#This Row],[Variance_%]]&gt;0.05,"Overspend",IF(tbl_Budget[[#This Row],[Variance_%]]&lt;-0.05,"Underspend","On Budget"))</f>
        <v>Overspend</v>
      </c>
    </row>
    <row r="1892" spans="1:14">
      <c r="A1892" s="1">
        <v>45474</v>
      </c>
      <c r="B1892">
        <v>7</v>
      </c>
      <c r="C1892" t="s">
        <v>42</v>
      </c>
      <c r="D1892" t="s">
        <v>60</v>
      </c>
      <c r="E1892">
        <v>2024</v>
      </c>
      <c r="F1892" t="s">
        <v>30</v>
      </c>
      <c r="G1892" t="s">
        <v>21</v>
      </c>
      <c r="H1892" t="s">
        <v>18</v>
      </c>
      <c r="I1892" t="s">
        <v>31</v>
      </c>
      <c r="J1892">
        <v>7217.4</v>
      </c>
      <c r="K1892">
        <v>9723.6200000000008</v>
      </c>
      <c r="L1892" s="20">
        <f>tbl_Budget[[#This Row],[Actual]]-tbl_Budget[[#This Row],[Budget]]</f>
        <v>2506.2200000000012</v>
      </c>
      <c r="M1892" s="3">
        <f>tbl_Budget[[#This Row],[Variance]]/tbl_Budget[[#This Row],[Budget]]</f>
        <v>0.34724693102779414</v>
      </c>
      <c r="N1892" t="str">
        <f>IF(tbl_Budget[[#This Row],[Variance_%]]&gt;0.05,"Overspend",IF(tbl_Budget[[#This Row],[Variance_%]]&lt;-0.05,"Underspend","On Budget"))</f>
        <v>Overspend</v>
      </c>
    </row>
    <row r="1893" spans="1:14">
      <c r="A1893" s="1">
        <v>45474</v>
      </c>
      <c r="B1893">
        <v>7</v>
      </c>
      <c r="C1893" t="s">
        <v>42</v>
      </c>
      <c r="D1893" t="s">
        <v>60</v>
      </c>
      <c r="E1893">
        <v>2024</v>
      </c>
      <c r="F1893" t="s">
        <v>30</v>
      </c>
      <c r="G1893" t="s">
        <v>21</v>
      </c>
      <c r="H1893" t="s">
        <v>19</v>
      </c>
      <c r="I1893" t="s">
        <v>31</v>
      </c>
      <c r="J1893">
        <v>7628.43</v>
      </c>
      <c r="K1893">
        <v>10197.69</v>
      </c>
      <c r="L1893" s="20">
        <f>tbl_Budget[[#This Row],[Actual]]-tbl_Budget[[#This Row],[Budget]]</f>
        <v>2569.2600000000002</v>
      </c>
      <c r="M1893" s="3">
        <f>tbl_Budget[[#This Row],[Variance]]/tbl_Budget[[#This Row],[Budget]]</f>
        <v>0.33680062607902284</v>
      </c>
      <c r="N1893" t="str">
        <f>IF(tbl_Budget[[#This Row],[Variance_%]]&gt;0.05,"Overspend",IF(tbl_Budget[[#This Row],[Variance_%]]&lt;-0.05,"Underspend","On Budget"))</f>
        <v>Overspend</v>
      </c>
    </row>
    <row r="1894" spans="1:14" hidden="1">
      <c r="A1894" s="1">
        <v>45474</v>
      </c>
      <c r="B1894">
        <v>7</v>
      </c>
      <c r="C1894" t="s">
        <v>42</v>
      </c>
      <c r="D1894" t="s">
        <v>60</v>
      </c>
      <c r="E1894">
        <v>2024</v>
      </c>
      <c r="F1894" t="s">
        <v>30</v>
      </c>
      <c r="G1894" t="s">
        <v>22</v>
      </c>
      <c r="H1894" t="s">
        <v>15</v>
      </c>
      <c r="I1894" t="s">
        <v>31</v>
      </c>
      <c r="J1894">
        <v>7337.73</v>
      </c>
      <c r="K1894">
        <v>7294.57</v>
      </c>
      <c r="L1894" s="20">
        <f>tbl_Budget[[#This Row],[Actual]]-tbl_Budget[[#This Row],[Budget]]</f>
        <v>-43.159999999999854</v>
      </c>
      <c r="M1894" s="3">
        <f>tbl_Budget[[#This Row],[Variance]]/tbl_Budget[[#This Row],[Budget]]</f>
        <v>-5.8819280622208585E-3</v>
      </c>
      <c r="N1894" t="str">
        <f>IF(tbl_Budget[[#This Row],[Variance_%]]&gt;0.05,"Overspend",IF(tbl_Budget[[#This Row],[Variance_%]]&lt;-0.05,"Underspend","On Budget"))</f>
        <v>On Budget</v>
      </c>
    </row>
    <row r="1895" spans="1:14" hidden="1">
      <c r="A1895" s="1">
        <v>45474</v>
      </c>
      <c r="B1895">
        <v>7</v>
      </c>
      <c r="C1895" t="s">
        <v>42</v>
      </c>
      <c r="D1895" t="s">
        <v>60</v>
      </c>
      <c r="E1895">
        <v>2024</v>
      </c>
      <c r="F1895" t="s">
        <v>30</v>
      </c>
      <c r="G1895" t="s">
        <v>22</v>
      </c>
      <c r="H1895" t="s">
        <v>17</v>
      </c>
      <c r="I1895" t="s">
        <v>31</v>
      </c>
      <c r="J1895">
        <v>6943.12</v>
      </c>
      <c r="K1895">
        <v>6706.18</v>
      </c>
      <c r="L1895" s="20">
        <f>tbl_Budget[[#This Row],[Actual]]-tbl_Budget[[#This Row],[Budget]]</f>
        <v>-236.9399999999996</v>
      </c>
      <c r="M1895" s="3">
        <f>tbl_Budget[[#This Row],[Variance]]/tbl_Budget[[#This Row],[Budget]]</f>
        <v>-3.4125868485637527E-2</v>
      </c>
      <c r="N1895" t="str">
        <f>IF(tbl_Budget[[#This Row],[Variance_%]]&gt;0.05,"Overspend",IF(tbl_Budget[[#This Row],[Variance_%]]&lt;-0.05,"Underspend","On Budget"))</f>
        <v>On Budget</v>
      </c>
    </row>
    <row r="1896" spans="1:14" hidden="1">
      <c r="A1896" s="1">
        <v>45474</v>
      </c>
      <c r="B1896">
        <v>7</v>
      </c>
      <c r="C1896" t="s">
        <v>42</v>
      </c>
      <c r="D1896" t="s">
        <v>60</v>
      </c>
      <c r="E1896">
        <v>2024</v>
      </c>
      <c r="F1896" t="s">
        <v>30</v>
      </c>
      <c r="G1896" t="s">
        <v>22</v>
      </c>
      <c r="H1896" t="s">
        <v>18</v>
      </c>
      <c r="I1896" t="s">
        <v>31</v>
      </c>
      <c r="J1896">
        <v>7386.86</v>
      </c>
      <c r="K1896">
        <v>7701.22</v>
      </c>
      <c r="L1896" s="20">
        <f>tbl_Budget[[#This Row],[Actual]]-tbl_Budget[[#This Row],[Budget]]</f>
        <v>314.36000000000058</v>
      </c>
      <c r="M1896" s="3">
        <f>tbl_Budget[[#This Row],[Variance]]/tbl_Budget[[#This Row],[Budget]]</f>
        <v>4.2556647885569863E-2</v>
      </c>
      <c r="N1896" t="str">
        <f>IF(tbl_Budget[[#This Row],[Variance_%]]&gt;0.05,"Overspend",IF(tbl_Budget[[#This Row],[Variance_%]]&lt;-0.05,"Underspend","On Budget"))</f>
        <v>On Budget</v>
      </c>
    </row>
    <row r="1897" spans="1:14" hidden="1">
      <c r="A1897" s="1">
        <v>45474</v>
      </c>
      <c r="B1897">
        <v>7</v>
      </c>
      <c r="C1897" t="s">
        <v>42</v>
      </c>
      <c r="D1897" t="s">
        <v>60</v>
      </c>
      <c r="E1897">
        <v>2024</v>
      </c>
      <c r="F1897" t="s">
        <v>30</v>
      </c>
      <c r="G1897" t="s">
        <v>22</v>
      </c>
      <c r="H1897" t="s">
        <v>19</v>
      </c>
      <c r="I1897" t="s">
        <v>31</v>
      </c>
      <c r="J1897">
        <v>7749.07</v>
      </c>
      <c r="K1897">
        <v>7657.12</v>
      </c>
      <c r="L1897" s="20">
        <f>tbl_Budget[[#This Row],[Actual]]-tbl_Budget[[#This Row],[Budget]]</f>
        <v>-91.949999999999818</v>
      </c>
      <c r="M1897" s="3">
        <f>tbl_Budget[[#This Row],[Variance]]/tbl_Budget[[#This Row],[Budget]]</f>
        <v>-1.1865940041837256E-2</v>
      </c>
      <c r="N1897" t="str">
        <f>IF(tbl_Budget[[#This Row],[Variance_%]]&gt;0.05,"Overspend",IF(tbl_Budget[[#This Row],[Variance_%]]&lt;-0.05,"Underspend","On Budget"))</f>
        <v>On Budget</v>
      </c>
    </row>
    <row r="1898" spans="1:14" hidden="1">
      <c r="A1898" s="1">
        <v>45474</v>
      </c>
      <c r="B1898">
        <v>7</v>
      </c>
      <c r="C1898" t="s">
        <v>42</v>
      </c>
      <c r="D1898" t="s">
        <v>60</v>
      </c>
      <c r="E1898">
        <v>2024</v>
      </c>
      <c r="F1898" t="s">
        <v>30</v>
      </c>
      <c r="G1898" t="s">
        <v>23</v>
      </c>
      <c r="H1898" t="s">
        <v>15</v>
      </c>
      <c r="I1898" t="s">
        <v>31</v>
      </c>
      <c r="J1898">
        <v>6369.96</v>
      </c>
      <c r="K1898">
        <v>6566.17</v>
      </c>
      <c r="L1898" s="20">
        <f>tbl_Budget[[#This Row],[Actual]]-tbl_Budget[[#This Row],[Budget]]</f>
        <v>196.21000000000004</v>
      </c>
      <c r="M1898" s="3">
        <f>tbl_Budget[[#This Row],[Variance]]/tbl_Budget[[#This Row],[Budget]]</f>
        <v>3.0802391223806749E-2</v>
      </c>
      <c r="N1898" t="str">
        <f>IF(tbl_Budget[[#This Row],[Variance_%]]&gt;0.05,"Overspend",IF(tbl_Budget[[#This Row],[Variance_%]]&lt;-0.05,"Underspend","On Budget"))</f>
        <v>On Budget</v>
      </c>
    </row>
    <row r="1899" spans="1:14" hidden="1">
      <c r="A1899" s="1">
        <v>45474</v>
      </c>
      <c r="B1899">
        <v>7</v>
      </c>
      <c r="C1899" t="s">
        <v>42</v>
      </c>
      <c r="D1899" t="s">
        <v>60</v>
      </c>
      <c r="E1899">
        <v>2024</v>
      </c>
      <c r="F1899" t="s">
        <v>30</v>
      </c>
      <c r="G1899" t="s">
        <v>23</v>
      </c>
      <c r="H1899" t="s">
        <v>17</v>
      </c>
      <c r="I1899" t="s">
        <v>31</v>
      </c>
      <c r="J1899">
        <v>6253.1</v>
      </c>
      <c r="K1899">
        <v>6095.56</v>
      </c>
      <c r="L1899" s="20">
        <f>tbl_Budget[[#This Row],[Actual]]-tbl_Budget[[#This Row],[Budget]]</f>
        <v>-157.53999999999996</v>
      </c>
      <c r="M1899" s="3">
        <f>tbl_Budget[[#This Row],[Variance]]/tbl_Budget[[#This Row],[Budget]]</f>
        <v>-2.5193903823703435E-2</v>
      </c>
      <c r="N1899" t="str">
        <f>IF(tbl_Budget[[#This Row],[Variance_%]]&gt;0.05,"Overspend",IF(tbl_Budget[[#This Row],[Variance_%]]&lt;-0.05,"Underspend","On Budget"))</f>
        <v>On Budget</v>
      </c>
    </row>
    <row r="1900" spans="1:14" hidden="1">
      <c r="A1900" s="1">
        <v>45474</v>
      </c>
      <c r="B1900">
        <v>7</v>
      </c>
      <c r="C1900" t="s">
        <v>42</v>
      </c>
      <c r="D1900" t="s">
        <v>60</v>
      </c>
      <c r="E1900">
        <v>2024</v>
      </c>
      <c r="F1900" t="s">
        <v>30</v>
      </c>
      <c r="G1900" t="s">
        <v>23</v>
      </c>
      <c r="H1900" t="s">
        <v>18</v>
      </c>
      <c r="I1900" t="s">
        <v>31</v>
      </c>
      <c r="J1900">
        <v>6136.46</v>
      </c>
      <c r="K1900">
        <v>5877.01</v>
      </c>
      <c r="L1900" s="20">
        <f>tbl_Budget[[#This Row],[Actual]]-tbl_Budget[[#This Row],[Budget]]</f>
        <v>-259.44999999999982</v>
      </c>
      <c r="M1900" s="3">
        <f>tbl_Budget[[#This Row],[Variance]]/tbl_Budget[[#This Row],[Budget]]</f>
        <v>-4.2280076786942282E-2</v>
      </c>
      <c r="N1900" t="str">
        <f>IF(tbl_Budget[[#This Row],[Variance_%]]&gt;0.05,"Overspend",IF(tbl_Budget[[#This Row],[Variance_%]]&lt;-0.05,"Underspend","On Budget"))</f>
        <v>On Budget</v>
      </c>
    </row>
    <row r="1901" spans="1:14" hidden="1">
      <c r="A1901" s="1">
        <v>45474</v>
      </c>
      <c r="B1901">
        <v>7</v>
      </c>
      <c r="C1901" t="s">
        <v>42</v>
      </c>
      <c r="D1901" t="s">
        <v>60</v>
      </c>
      <c r="E1901">
        <v>2024</v>
      </c>
      <c r="F1901" t="s">
        <v>30</v>
      </c>
      <c r="G1901" t="s">
        <v>23</v>
      </c>
      <c r="H1901" t="s">
        <v>19</v>
      </c>
      <c r="I1901" t="s">
        <v>31</v>
      </c>
      <c r="J1901">
        <v>6696.42</v>
      </c>
      <c r="K1901">
        <v>6789.91</v>
      </c>
      <c r="L1901" s="20">
        <f>tbl_Budget[[#This Row],[Actual]]-tbl_Budget[[#This Row],[Budget]]</f>
        <v>93.489999999999782</v>
      </c>
      <c r="M1901" s="3">
        <f>tbl_Budget[[#This Row],[Variance]]/tbl_Budget[[#This Row],[Budget]]</f>
        <v>1.3961191203658041E-2</v>
      </c>
      <c r="N1901" t="str">
        <f>IF(tbl_Budget[[#This Row],[Variance_%]]&gt;0.05,"Overspend",IF(tbl_Budget[[#This Row],[Variance_%]]&lt;-0.05,"Underspend","On Budget"))</f>
        <v>On Budget</v>
      </c>
    </row>
    <row r="1902" spans="1:14" hidden="1">
      <c r="A1902" s="1">
        <v>45505</v>
      </c>
      <c r="B1902">
        <v>8</v>
      </c>
      <c r="C1902" t="s">
        <v>44</v>
      </c>
      <c r="D1902" t="s">
        <v>61</v>
      </c>
      <c r="E1902">
        <v>2024</v>
      </c>
      <c r="F1902" t="s">
        <v>13</v>
      </c>
      <c r="G1902" t="s">
        <v>14</v>
      </c>
      <c r="H1902" t="s">
        <v>15</v>
      </c>
      <c r="I1902" t="s">
        <v>16</v>
      </c>
      <c r="J1902">
        <v>51368.53</v>
      </c>
      <c r="K1902">
        <v>61570.080000000002</v>
      </c>
      <c r="L1902" s="20">
        <f>tbl_Budget[[#This Row],[Actual]]-tbl_Budget[[#This Row],[Budget]]</f>
        <v>10201.550000000003</v>
      </c>
      <c r="M1902" s="3">
        <f>tbl_Budget[[#This Row],[Variance]]/tbl_Budget[[#This Row],[Budget]]</f>
        <v>0.19859532674966565</v>
      </c>
      <c r="N1902" t="str">
        <f>IF(tbl_Budget[[#This Row],[Variance_%]]&gt;0.05,"Overspend",IF(tbl_Budget[[#This Row],[Variance_%]]&lt;-0.05,"Underspend","On Budget"))</f>
        <v>Overspend</v>
      </c>
    </row>
    <row r="1903" spans="1:14" hidden="1">
      <c r="A1903" s="1">
        <v>45505</v>
      </c>
      <c r="B1903">
        <v>8</v>
      </c>
      <c r="C1903" t="s">
        <v>44</v>
      </c>
      <c r="D1903" t="s">
        <v>61</v>
      </c>
      <c r="E1903">
        <v>2024</v>
      </c>
      <c r="F1903" t="s">
        <v>13</v>
      </c>
      <c r="G1903" t="s">
        <v>14</v>
      </c>
      <c r="H1903" t="s">
        <v>17</v>
      </c>
      <c r="I1903" t="s">
        <v>16</v>
      </c>
      <c r="J1903">
        <v>48506.21</v>
      </c>
      <c r="K1903">
        <v>54797.42</v>
      </c>
      <c r="L1903" s="20">
        <f>tbl_Budget[[#This Row],[Actual]]-tbl_Budget[[#This Row],[Budget]]</f>
        <v>6291.2099999999991</v>
      </c>
      <c r="M1903" s="3">
        <f>tbl_Budget[[#This Row],[Variance]]/tbl_Budget[[#This Row],[Budget]]</f>
        <v>0.12969906327457864</v>
      </c>
      <c r="N1903" t="str">
        <f>IF(tbl_Budget[[#This Row],[Variance_%]]&gt;0.05,"Overspend",IF(tbl_Budget[[#This Row],[Variance_%]]&lt;-0.05,"Underspend","On Budget"))</f>
        <v>Overspend</v>
      </c>
    </row>
    <row r="1904" spans="1:14" hidden="1">
      <c r="A1904" s="1">
        <v>45505</v>
      </c>
      <c r="B1904">
        <v>8</v>
      </c>
      <c r="C1904" t="s">
        <v>44</v>
      </c>
      <c r="D1904" t="s">
        <v>61</v>
      </c>
      <c r="E1904">
        <v>2024</v>
      </c>
      <c r="F1904" t="s">
        <v>13</v>
      </c>
      <c r="G1904" t="s">
        <v>14</v>
      </c>
      <c r="H1904" t="s">
        <v>18</v>
      </c>
      <c r="I1904" t="s">
        <v>16</v>
      </c>
      <c r="J1904">
        <v>49534.39</v>
      </c>
      <c r="K1904">
        <v>58888.15</v>
      </c>
      <c r="L1904" s="20">
        <f>tbl_Budget[[#This Row],[Actual]]-tbl_Budget[[#This Row],[Budget]]</f>
        <v>9353.760000000002</v>
      </c>
      <c r="M1904" s="3">
        <f>tbl_Budget[[#This Row],[Variance]]/tbl_Budget[[#This Row],[Budget]]</f>
        <v>0.18883365677865421</v>
      </c>
      <c r="N1904" t="str">
        <f>IF(tbl_Budget[[#This Row],[Variance_%]]&gt;0.05,"Overspend",IF(tbl_Budget[[#This Row],[Variance_%]]&lt;-0.05,"Underspend","On Budget"))</f>
        <v>Overspend</v>
      </c>
    </row>
    <row r="1905" spans="1:14" hidden="1">
      <c r="A1905" s="1">
        <v>45505</v>
      </c>
      <c r="B1905">
        <v>8</v>
      </c>
      <c r="C1905" t="s">
        <v>44</v>
      </c>
      <c r="D1905" t="s">
        <v>61</v>
      </c>
      <c r="E1905">
        <v>2024</v>
      </c>
      <c r="F1905" t="s">
        <v>13</v>
      </c>
      <c r="G1905" t="s">
        <v>14</v>
      </c>
      <c r="H1905" t="s">
        <v>19</v>
      </c>
      <c r="I1905" t="s">
        <v>16</v>
      </c>
      <c r="J1905">
        <v>51707.69</v>
      </c>
      <c r="K1905">
        <v>61351.55</v>
      </c>
      <c r="L1905" s="20">
        <f>tbl_Budget[[#This Row],[Actual]]-tbl_Budget[[#This Row],[Budget]]</f>
        <v>9643.86</v>
      </c>
      <c r="M1905" s="3">
        <f>tbl_Budget[[#This Row],[Variance]]/tbl_Budget[[#This Row],[Budget]]</f>
        <v>0.1865072680678638</v>
      </c>
      <c r="N1905" t="str">
        <f>IF(tbl_Budget[[#This Row],[Variance_%]]&gt;0.05,"Overspend",IF(tbl_Budget[[#This Row],[Variance_%]]&lt;-0.05,"Underspend","On Budget"))</f>
        <v>Overspend</v>
      </c>
    </row>
    <row r="1906" spans="1:14" hidden="1">
      <c r="A1906" s="1">
        <v>45505</v>
      </c>
      <c r="B1906">
        <v>8</v>
      </c>
      <c r="C1906" t="s">
        <v>44</v>
      </c>
      <c r="D1906" t="s">
        <v>61</v>
      </c>
      <c r="E1906">
        <v>2024</v>
      </c>
      <c r="F1906" t="s">
        <v>13</v>
      </c>
      <c r="G1906" t="s">
        <v>20</v>
      </c>
      <c r="H1906" t="s">
        <v>15</v>
      </c>
      <c r="I1906" t="s">
        <v>16</v>
      </c>
      <c r="J1906">
        <v>18584.849999999999</v>
      </c>
      <c r="K1906">
        <v>20767.88</v>
      </c>
      <c r="L1906" s="20">
        <f>tbl_Budget[[#This Row],[Actual]]-tbl_Budget[[#This Row],[Budget]]</f>
        <v>2183.0300000000025</v>
      </c>
      <c r="M1906" s="3">
        <f>tbl_Budget[[#This Row],[Variance]]/tbl_Budget[[#This Row],[Budget]]</f>
        <v>0.11746287971116273</v>
      </c>
      <c r="N1906" t="str">
        <f>IF(tbl_Budget[[#This Row],[Variance_%]]&gt;0.05,"Overspend",IF(tbl_Budget[[#This Row],[Variance_%]]&lt;-0.05,"Underspend","On Budget"))</f>
        <v>Overspend</v>
      </c>
    </row>
    <row r="1907" spans="1:14" hidden="1">
      <c r="A1907" s="1">
        <v>45505</v>
      </c>
      <c r="B1907">
        <v>8</v>
      </c>
      <c r="C1907" t="s">
        <v>44</v>
      </c>
      <c r="D1907" t="s">
        <v>61</v>
      </c>
      <c r="E1907">
        <v>2024</v>
      </c>
      <c r="F1907" t="s">
        <v>13</v>
      </c>
      <c r="G1907" t="s">
        <v>20</v>
      </c>
      <c r="H1907" t="s">
        <v>17</v>
      </c>
      <c r="I1907" t="s">
        <v>16</v>
      </c>
      <c r="J1907">
        <v>18217.54</v>
      </c>
      <c r="K1907">
        <v>21156.400000000001</v>
      </c>
      <c r="L1907" s="20">
        <f>tbl_Budget[[#This Row],[Actual]]-tbl_Budget[[#This Row],[Budget]]</f>
        <v>2938.8600000000006</v>
      </c>
      <c r="M1907" s="3">
        <f>tbl_Budget[[#This Row],[Variance]]/tbl_Budget[[#This Row],[Budget]]</f>
        <v>0.16132035390069133</v>
      </c>
      <c r="N1907" t="str">
        <f>IF(tbl_Budget[[#This Row],[Variance_%]]&gt;0.05,"Overspend",IF(tbl_Budget[[#This Row],[Variance_%]]&lt;-0.05,"Underspend","On Budget"))</f>
        <v>Overspend</v>
      </c>
    </row>
    <row r="1908" spans="1:14" hidden="1">
      <c r="A1908" s="1">
        <v>45505</v>
      </c>
      <c r="B1908">
        <v>8</v>
      </c>
      <c r="C1908" t="s">
        <v>44</v>
      </c>
      <c r="D1908" t="s">
        <v>61</v>
      </c>
      <c r="E1908">
        <v>2024</v>
      </c>
      <c r="F1908" t="s">
        <v>13</v>
      </c>
      <c r="G1908" t="s">
        <v>20</v>
      </c>
      <c r="H1908" t="s">
        <v>18</v>
      </c>
      <c r="I1908" t="s">
        <v>16</v>
      </c>
      <c r="J1908">
        <v>18627.099999999999</v>
      </c>
      <c r="K1908">
        <v>21191.18</v>
      </c>
      <c r="L1908" s="20">
        <f>tbl_Budget[[#This Row],[Actual]]-tbl_Budget[[#This Row],[Budget]]</f>
        <v>2564.0800000000017</v>
      </c>
      <c r="M1908" s="3">
        <f>tbl_Budget[[#This Row],[Variance]]/tbl_Budget[[#This Row],[Budget]]</f>
        <v>0.13765320420247928</v>
      </c>
      <c r="N1908" t="str">
        <f>IF(tbl_Budget[[#This Row],[Variance_%]]&gt;0.05,"Overspend",IF(tbl_Budget[[#This Row],[Variance_%]]&lt;-0.05,"Underspend","On Budget"))</f>
        <v>Overspend</v>
      </c>
    </row>
    <row r="1909" spans="1:14" hidden="1">
      <c r="A1909" s="1">
        <v>45505</v>
      </c>
      <c r="B1909">
        <v>8</v>
      </c>
      <c r="C1909" t="s">
        <v>44</v>
      </c>
      <c r="D1909" t="s">
        <v>61</v>
      </c>
      <c r="E1909">
        <v>2024</v>
      </c>
      <c r="F1909" t="s">
        <v>13</v>
      </c>
      <c r="G1909" t="s">
        <v>20</v>
      </c>
      <c r="H1909" t="s">
        <v>19</v>
      </c>
      <c r="I1909" t="s">
        <v>16</v>
      </c>
      <c r="J1909">
        <v>19866.63</v>
      </c>
      <c r="K1909">
        <v>23393.77</v>
      </c>
      <c r="L1909" s="20">
        <f>tbl_Budget[[#This Row],[Actual]]-tbl_Budget[[#This Row],[Budget]]</f>
        <v>3527.1399999999994</v>
      </c>
      <c r="M1909" s="3">
        <f>tbl_Budget[[#This Row],[Variance]]/tbl_Budget[[#This Row],[Budget]]</f>
        <v>0.17754093170306182</v>
      </c>
      <c r="N1909" t="str">
        <f>IF(tbl_Budget[[#This Row],[Variance_%]]&gt;0.05,"Overspend",IF(tbl_Budget[[#This Row],[Variance_%]]&lt;-0.05,"Underspend","On Budget"))</f>
        <v>Overspend</v>
      </c>
    </row>
    <row r="1910" spans="1:14">
      <c r="A1910" s="1">
        <v>45505</v>
      </c>
      <c r="B1910">
        <v>8</v>
      </c>
      <c r="C1910" t="s">
        <v>44</v>
      </c>
      <c r="D1910" t="s">
        <v>61</v>
      </c>
      <c r="E1910">
        <v>2024</v>
      </c>
      <c r="F1910" t="s">
        <v>13</v>
      </c>
      <c r="G1910" t="s">
        <v>21</v>
      </c>
      <c r="H1910" t="s">
        <v>15</v>
      </c>
      <c r="I1910" t="s">
        <v>16</v>
      </c>
      <c r="J1910">
        <v>10695.34</v>
      </c>
      <c r="K1910">
        <v>16614.27</v>
      </c>
      <c r="L1910" s="20">
        <f>tbl_Budget[[#This Row],[Actual]]-tbl_Budget[[#This Row],[Budget]]</f>
        <v>5918.93</v>
      </c>
      <c r="M1910" s="3">
        <f>tbl_Budget[[#This Row],[Variance]]/tbl_Budget[[#This Row],[Budget]]</f>
        <v>0.55341204674185207</v>
      </c>
      <c r="N1910" t="str">
        <f>IF(tbl_Budget[[#This Row],[Variance_%]]&gt;0.05,"Overspend",IF(tbl_Budget[[#This Row],[Variance_%]]&lt;-0.05,"Underspend","On Budget"))</f>
        <v>Overspend</v>
      </c>
    </row>
    <row r="1911" spans="1:14">
      <c r="A1911" s="1">
        <v>45505</v>
      </c>
      <c r="B1911">
        <v>8</v>
      </c>
      <c r="C1911" t="s">
        <v>44</v>
      </c>
      <c r="D1911" t="s">
        <v>61</v>
      </c>
      <c r="E1911">
        <v>2024</v>
      </c>
      <c r="F1911" t="s">
        <v>13</v>
      </c>
      <c r="G1911" t="s">
        <v>21</v>
      </c>
      <c r="H1911" t="s">
        <v>17</v>
      </c>
      <c r="I1911" t="s">
        <v>16</v>
      </c>
      <c r="J1911">
        <v>9903.85</v>
      </c>
      <c r="K1911">
        <v>14993.27</v>
      </c>
      <c r="L1911" s="20">
        <f>tbl_Budget[[#This Row],[Actual]]-tbl_Budget[[#This Row],[Budget]]</f>
        <v>5089.42</v>
      </c>
      <c r="M1911" s="3">
        <f>tbl_Budget[[#This Row],[Variance]]/tbl_Budget[[#This Row],[Budget]]</f>
        <v>0.51388298489981166</v>
      </c>
      <c r="N1911" t="str">
        <f>IF(tbl_Budget[[#This Row],[Variance_%]]&gt;0.05,"Overspend",IF(tbl_Budget[[#This Row],[Variance_%]]&lt;-0.05,"Underspend","On Budget"))</f>
        <v>Overspend</v>
      </c>
    </row>
    <row r="1912" spans="1:14">
      <c r="A1912" s="1">
        <v>45505</v>
      </c>
      <c r="B1912">
        <v>8</v>
      </c>
      <c r="C1912" t="s">
        <v>44</v>
      </c>
      <c r="D1912" t="s">
        <v>61</v>
      </c>
      <c r="E1912">
        <v>2024</v>
      </c>
      <c r="F1912" t="s">
        <v>13</v>
      </c>
      <c r="G1912" t="s">
        <v>21</v>
      </c>
      <c r="H1912" t="s">
        <v>18</v>
      </c>
      <c r="I1912" t="s">
        <v>16</v>
      </c>
      <c r="J1912">
        <v>10489.84</v>
      </c>
      <c r="K1912">
        <v>16080.63</v>
      </c>
      <c r="L1912" s="20">
        <f>tbl_Budget[[#This Row],[Actual]]-tbl_Budget[[#This Row],[Budget]]</f>
        <v>5590.7899999999991</v>
      </c>
      <c r="M1912" s="3">
        <f>tbl_Budget[[#This Row],[Variance]]/tbl_Budget[[#This Row],[Budget]]</f>
        <v>0.53297190424258134</v>
      </c>
      <c r="N1912" t="str">
        <f>IF(tbl_Budget[[#This Row],[Variance_%]]&gt;0.05,"Overspend",IF(tbl_Budget[[#This Row],[Variance_%]]&lt;-0.05,"Underspend","On Budget"))</f>
        <v>Overspend</v>
      </c>
    </row>
    <row r="1913" spans="1:14">
      <c r="A1913" s="1">
        <v>45505</v>
      </c>
      <c r="B1913">
        <v>8</v>
      </c>
      <c r="C1913" t="s">
        <v>44</v>
      </c>
      <c r="D1913" t="s">
        <v>61</v>
      </c>
      <c r="E1913">
        <v>2024</v>
      </c>
      <c r="F1913" t="s">
        <v>13</v>
      </c>
      <c r="G1913" t="s">
        <v>21</v>
      </c>
      <c r="H1913" t="s">
        <v>19</v>
      </c>
      <c r="I1913" t="s">
        <v>16</v>
      </c>
      <c r="J1913">
        <v>10971.76</v>
      </c>
      <c r="K1913">
        <v>15938.08</v>
      </c>
      <c r="L1913" s="20">
        <f>tbl_Budget[[#This Row],[Actual]]-tbl_Budget[[#This Row],[Budget]]</f>
        <v>4966.32</v>
      </c>
      <c r="M1913" s="3">
        <f>tbl_Budget[[#This Row],[Variance]]/tbl_Budget[[#This Row],[Budget]]</f>
        <v>0.45264570132777238</v>
      </c>
      <c r="N1913" t="str">
        <f>IF(tbl_Budget[[#This Row],[Variance_%]]&gt;0.05,"Overspend",IF(tbl_Budget[[#This Row],[Variance_%]]&lt;-0.05,"Underspend","On Budget"))</f>
        <v>Overspend</v>
      </c>
    </row>
    <row r="1914" spans="1:14" hidden="1">
      <c r="A1914" s="1">
        <v>45505</v>
      </c>
      <c r="B1914">
        <v>8</v>
      </c>
      <c r="C1914" t="s">
        <v>44</v>
      </c>
      <c r="D1914" t="s">
        <v>61</v>
      </c>
      <c r="E1914">
        <v>2024</v>
      </c>
      <c r="F1914" t="s">
        <v>13</v>
      </c>
      <c r="G1914" t="s">
        <v>22</v>
      </c>
      <c r="H1914" t="s">
        <v>15</v>
      </c>
      <c r="I1914" t="s">
        <v>16</v>
      </c>
      <c r="J1914">
        <v>8411.9699999999993</v>
      </c>
      <c r="K1914">
        <v>10008.44</v>
      </c>
      <c r="L1914" s="20">
        <f>tbl_Budget[[#This Row],[Actual]]-tbl_Budget[[#This Row],[Budget]]</f>
        <v>1596.4700000000012</v>
      </c>
      <c r="M1914" s="3">
        <f>tbl_Budget[[#This Row],[Variance]]/tbl_Budget[[#This Row],[Budget]]</f>
        <v>0.18978550803200692</v>
      </c>
      <c r="N1914" t="str">
        <f>IF(tbl_Budget[[#This Row],[Variance_%]]&gt;0.05,"Overspend",IF(tbl_Budget[[#This Row],[Variance_%]]&lt;-0.05,"Underspend","On Budget"))</f>
        <v>Overspend</v>
      </c>
    </row>
    <row r="1915" spans="1:14" hidden="1">
      <c r="A1915" s="1">
        <v>45505</v>
      </c>
      <c r="B1915">
        <v>8</v>
      </c>
      <c r="C1915" t="s">
        <v>44</v>
      </c>
      <c r="D1915" t="s">
        <v>61</v>
      </c>
      <c r="E1915">
        <v>2024</v>
      </c>
      <c r="F1915" t="s">
        <v>13</v>
      </c>
      <c r="G1915" t="s">
        <v>22</v>
      </c>
      <c r="H1915" t="s">
        <v>17</v>
      </c>
      <c r="I1915" t="s">
        <v>16</v>
      </c>
      <c r="J1915">
        <v>7755.89</v>
      </c>
      <c r="K1915">
        <v>8755.2900000000009</v>
      </c>
      <c r="L1915" s="20">
        <f>tbl_Budget[[#This Row],[Actual]]-tbl_Budget[[#This Row],[Budget]]</f>
        <v>999.40000000000055</v>
      </c>
      <c r="M1915" s="3">
        <f>tbl_Budget[[#This Row],[Variance]]/tbl_Budget[[#This Row],[Budget]]</f>
        <v>0.12885690746000789</v>
      </c>
      <c r="N1915" t="str">
        <f>IF(tbl_Budget[[#This Row],[Variance_%]]&gt;0.05,"Overspend",IF(tbl_Budget[[#This Row],[Variance_%]]&lt;-0.05,"Underspend","On Budget"))</f>
        <v>Overspend</v>
      </c>
    </row>
    <row r="1916" spans="1:14" hidden="1">
      <c r="A1916" s="1">
        <v>45505</v>
      </c>
      <c r="B1916">
        <v>8</v>
      </c>
      <c r="C1916" t="s">
        <v>44</v>
      </c>
      <c r="D1916" t="s">
        <v>61</v>
      </c>
      <c r="E1916">
        <v>2024</v>
      </c>
      <c r="F1916" t="s">
        <v>13</v>
      </c>
      <c r="G1916" t="s">
        <v>22</v>
      </c>
      <c r="H1916" t="s">
        <v>18</v>
      </c>
      <c r="I1916" t="s">
        <v>16</v>
      </c>
      <c r="J1916">
        <v>8162.5</v>
      </c>
      <c r="K1916">
        <v>9185.98</v>
      </c>
      <c r="L1916" s="20">
        <f>tbl_Budget[[#This Row],[Actual]]-tbl_Budget[[#This Row],[Budget]]</f>
        <v>1023.4799999999996</v>
      </c>
      <c r="M1916" s="3">
        <f>tbl_Budget[[#This Row],[Variance]]/tbl_Budget[[#This Row],[Budget]]</f>
        <v>0.1253880551301684</v>
      </c>
      <c r="N1916" t="str">
        <f>IF(tbl_Budget[[#This Row],[Variance_%]]&gt;0.05,"Overspend",IF(tbl_Budget[[#This Row],[Variance_%]]&lt;-0.05,"Underspend","On Budget"))</f>
        <v>Overspend</v>
      </c>
    </row>
    <row r="1917" spans="1:14" hidden="1">
      <c r="A1917" s="1">
        <v>45505</v>
      </c>
      <c r="B1917">
        <v>8</v>
      </c>
      <c r="C1917" t="s">
        <v>44</v>
      </c>
      <c r="D1917" t="s">
        <v>61</v>
      </c>
      <c r="E1917">
        <v>2024</v>
      </c>
      <c r="F1917" t="s">
        <v>13</v>
      </c>
      <c r="G1917" t="s">
        <v>22</v>
      </c>
      <c r="H1917" t="s">
        <v>19</v>
      </c>
      <c r="I1917" t="s">
        <v>16</v>
      </c>
      <c r="J1917">
        <v>8788.34</v>
      </c>
      <c r="K1917">
        <v>10215.459999999999</v>
      </c>
      <c r="L1917" s="20">
        <f>tbl_Budget[[#This Row],[Actual]]-tbl_Budget[[#This Row],[Budget]]</f>
        <v>1427.119999999999</v>
      </c>
      <c r="M1917" s="3">
        <f>tbl_Budget[[#This Row],[Variance]]/tbl_Budget[[#This Row],[Budget]]</f>
        <v>0.16238789122860506</v>
      </c>
      <c r="N1917" t="str">
        <f>IF(tbl_Budget[[#This Row],[Variance_%]]&gt;0.05,"Overspend",IF(tbl_Budget[[#This Row],[Variance_%]]&lt;-0.05,"Underspend","On Budget"))</f>
        <v>Overspend</v>
      </c>
    </row>
    <row r="1918" spans="1:14" hidden="1">
      <c r="A1918" s="1">
        <v>45505</v>
      </c>
      <c r="B1918">
        <v>8</v>
      </c>
      <c r="C1918" t="s">
        <v>44</v>
      </c>
      <c r="D1918" t="s">
        <v>61</v>
      </c>
      <c r="E1918">
        <v>2024</v>
      </c>
      <c r="F1918" t="s">
        <v>13</v>
      </c>
      <c r="G1918" t="s">
        <v>23</v>
      </c>
      <c r="H1918" t="s">
        <v>15</v>
      </c>
      <c r="I1918" t="s">
        <v>16</v>
      </c>
      <c r="J1918">
        <v>8466.02</v>
      </c>
      <c r="K1918">
        <v>9875.52</v>
      </c>
      <c r="L1918" s="20">
        <f>tbl_Budget[[#This Row],[Actual]]-tbl_Budget[[#This Row],[Budget]]</f>
        <v>1409.5</v>
      </c>
      <c r="M1918" s="3">
        <f>tbl_Budget[[#This Row],[Variance]]/tbl_Budget[[#This Row],[Budget]]</f>
        <v>0.16648909404891554</v>
      </c>
      <c r="N1918" t="str">
        <f>IF(tbl_Budget[[#This Row],[Variance_%]]&gt;0.05,"Overspend",IF(tbl_Budget[[#This Row],[Variance_%]]&lt;-0.05,"Underspend","On Budget"))</f>
        <v>Overspend</v>
      </c>
    </row>
    <row r="1919" spans="1:14" hidden="1">
      <c r="A1919" s="1">
        <v>45505</v>
      </c>
      <c r="B1919">
        <v>8</v>
      </c>
      <c r="C1919" t="s">
        <v>44</v>
      </c>
      <c r="D1919" t="s">
        <v>61</v>
      </c>
      <c r="E1919">
        <v>2024</v>
      </c>
      <c r="F1919" t="s">
        <v>13</v>
      </c>
      <c r="G1919" t="s">
        <v>23</v>
      </c>
      <c r="H1919" t="s">
        <v>17</v>
      </c>
      <c r="I1919" t="s">
        <v>16</v>
      </c>
      <c r="J1919">
        <v>7939.6</v>
      </c>
      <c r="K1919">
        <v>9429.85</v>
      </c>
      <c r="L1919" s="20">
        <f>tbl_Budget[[#This Row],[Actual]]-tbl_Budget[[#This Row],[Budget]]</f>
        <v>1490.25</v>
      </c>
      <c r="M1919" s="3">
        <f>tbl_Budget[[#This Row],[Variance]]/tbl_Budget[[#This Row],[Budget]]</f>
        <v>0.18769837271399062</v>
      </c>
      <c r="N1919" t="str">
        <f>IF(tbl_Budget[[#This Row],[Variance_%]]&gt;0.05,"Overspend",IF(tbl_Budget[[#This Row],[Variance_%]]&lt;-0.05,"Underspend","On Budget"))</f>
        <v>Overspend</v>
      </c>
    </row>
    <row r="1920" spans="1:14" hidden="1">
      <c r="A1920" s="1">
        <v>45505</v>
      </c>
      <c r="B1920">
        <v>8</v>
      </c>
      <c r="C1920" t="s">
        <v>44</v>
      </c>
      <c r="D1920" t="s">
        <v>61</v>
      </c>
      <c r="E1920">
        <v>2024</v>
      </c>
      <c r="F1920" t="s">
        <v>13</v>
      </c>
      <c r="G1920" t="s">
        <v>23</v>
      </c>
      <c r="H1920" t="s">
        <v>18</v>
      </c>
      <c r="I1920" t="s">
        <v>16</v>
      </c>
      <c r="J1920">
        <v>8289.42</v>
      </c>
      <c r="K1920">
        <v>9260.02</v>
      </c>
      <c r="L1920" s="20">
        <f>tbl_Budget[[#This Row],[Actual]]-tbl_Budget[[#This Row],[Budget]]</f>
        <v>970.60000000000036</v>
      </c>
      <c r="M1920" s="3">
        <f>tbl_Budget[[#This Row],[Variance]]/tbl_Budget[[#This Row],[Budget]]</f>
        <v>0.11708901225900006</v>
      </c>
      <c r="N1920" t="str">
        <f>IF(tbl_Budget[[#This Row],[Variance_%]]&gt;0.05,"Overspend",IF(tbl_Budget[[#This Row],[Variance_%]]&lt;-0.05,"Underspend","On Budget"))</f>
        <v>Overspend</v>
      </c>
    </row>
    <row r="1921" spans="1:14" hidden="1">
      <c r="A1921" s="1">
        <v>45505</v>
      </c>
      <c r="B1921">
        <v>8</v>
      </c>
      <c r="C1921" t="s">
        <v>44</v>
      </c>
      <c r="D1921" t="s">
        <v>61</v>
      </c>
      <c r="E1921">
        <v>2024</v>
      </c>
      <c r="F1921" t="s">
        <v>13</v>
      </c>
      <c r="G1921" t="s">
        <v>23</v>
      </c>
      <c r="H1921" t="s">
        <v>19</v>
      </c>
      <c r="I1921" t="s">
        <v>16</v>
      </c>
      <c r="J1921">
        <v>8794.77</v>
      </c>
      <c r="K1921">
        <v>9925.7199999999993</v>
      </c>
      <c r="L1921" s="20">
        <f>tbl_Budget[[#This Row],[Actual]]-tbl_Budget[[#This Row],[Budget]]</f>
        <v>1130.9499999999989</v>
      </c>
      <c r="M1921" s="3">
        <f>tbl_Budget[[#This Row],[Variance]]/tbl_Budget[[#This Row],[Budget]]</f>
        <v>0.12859347089235976</v>
      </c>
      <c r="N1921" t="str">
        <f>IF(tbl_Budget[[#This Row],[Variance_%]]&gt;0.05,"Overspend",IF(tbl_Budget[[#This Row],[Variance_%]]&lt;-0.05,"Underspend","On Budget"))</f>
        <v>Overspend</v>
      </c>
    </row>
    <row r="1922" spans="1:14" hidden="1">
      <c r="A1922" s="1">
        <v>45505</v>
      </c>
      <c r="B1922">
        <v>8</v>
      </c>
      <c r="C1922" t="s">
        <v>44</v>
      </c>
      <c r="D1922" t="s">
        <v>61</v>
      </c>
      <c r="E1922">
        <v>2024</v>
      </c>
      <c r="F1922" t="s">
        <v>24</v>
      </c>
      <c r="G1922" t="s">
        <v>14</v>
      </c>
      <c r="H1922" t="s">
        <v>15</v>
      </c>
      <c r="I1922" t="s">
        <v>25</v>
      </c>
      <c r="J1922">
        <v>52438.82</v>
      </c>
      <c r="K1922">
        <v>47318.44</v>
      </c>
      <c r="L1922" s="20">
        <f>tbl_Budget[[#This Row],[Actual]]-tbl_Budget[[#This Row],[Budget]]</f>
        <v>-5120.3799999999974</v>
      </c>
      <c r="M1922" s="3">
        <f>tbl_Budget[[#This Row],[Variance]]/tbl_Budget[[#This Row],[Budget]]</f>
        <v>-9.7644836401734394E-2</v>
      </c>
      <c r="N1922" t="str">
        <f>IF(tbl_Budget[[#This Row],[Variance_%]]&gt;0.05,"Overspend",IF(tbl_Budget[[#This Row],[Variance_%]]&lt;-0.05,"Underspend","On Budget"))</f>
        <v>Underspend</v>
      </c>
    </row>
    <row r="1923" spans="1:14" hidden="1">
      <c r="A1923" s="1">
        <v>45505</v>
      </c>
      <c r="B1923">
        <v>8</v>
      </c>
      <c r="C1923" t="s">
        <v>44</v>
      </c>
      <c r="D1923" t="s">
        <v>61</v>
      </c>
      <c r="E1923">
        <v>2024</v>
      </c>
      <c r="F1923" t="s">
        <v>24</v>
      </c>
      <c r="G1923" t="s">
        <v>14</v>
      </c>
      <c r="H1923" t="s">
        <v>17</v>
      </c>
      <c r="I1923" t="s">
        <v>25</v>
      </c>
      <c r="J1923">
        <v>49164.75</v>
      </c>
      <c r="K1923">
        <v>42276.01</v>
      </c>
      <c r="L1923" s="20">
        <f>tbl_Budget[[#This Row],[Actual]]-tbl_Budget[[#This Row],[Budget]]</f>
        <v>-6888.739999999998</v>
      </c>
      <c r="M1923" s="3">
        <f>tbl_Budget[[#This Row],[Variance]]/tbl_Budget[[#This Row],[Budget]]</f>
        <v>-0.14011542822855802</v>
      </c>
      <c r="N1923" t="str">
        <f>IF(tbl_Budget[[#This Row],[Variance_%]]&gt;0.05,"Overspend",IF(tbl_Budget[[#This Row],[Variance_%]]&lt;-0.05,"Underspend","On Budget"))</f>
        <v>Underspend</v>
      </c>
    </row>
    <row r="1924" spans="1:14" hidden="1">
      <c r="A1924" s="1">
        <v>45505</v>
      </c>
      <c r="B1924">
        <v>8</v>
      </c>
      <c r="C1924" t="s">
        <v>44</v>
      </c>
      <c r="D1924" t="s">
        <v>61</v>
      </c>
      <c r="E1924">
        <v>2024</v>
      </c>
      <c r="F1924" t="s">
        <v>24</v>
      </c>
      <c r="G1924" t="s">
        <v>14</v>
      </c>
      <c r="H1924" t="s">
        <v>18</v>
      </c>
      <c r="I1924" t="s">
        <v>25</v>
      </c>
      <c r="J1924">
        <v>52542.05</v>
      </c>
      <c r="K1924">
        <v>46482.46</v>
      </c>
      <c r="L1924" s="20">
        <f>tbl_Budget[[#This Row],[Actual]]-tbl_Budget[[#This Row],[Budget]]</f>
        <v>-6059.5900000000038</v>
      </c>
      <c r="M1924" s="3">
        <f>tbl_Budget[[#This Row],[Variance]]/tbl_Budget[[#This Row],[Budget]]</f>
        <v>-0.1153283893567153</v>
      </c>
      <c r="N1924" t="str">
        <f>IF(tbl_Budget[[#This Row],[Variance_%]]&gt;0.05,"Overspend",IF(tbl_Budget[[#This Row],[Variance_%]]&lt;-0.05,"Underspend","On Budget"))</f>
        <v>Underspend</v>
      </c>
    </row>
    <row r="1925" spans="1:14" hidden="1">
      <c r="A1925" s="1">
        <v>45505</v>
      </c>
      <c r="B1925">
        <v>8</v>
      </c>
      <c r="C1925" t="s">
        <v>44</v>
      </c>
      <c r="D1925" t="s">
        <v>61</v>
      </c>
      <c r="E1925">
        <v>2024</v>
      </c>
      <c r="F1925" t="s">
        <v>24</v>
      </c>
      <c r="G1925" t="s">
        <v>14</v>
      </c>
      <c r="H1925" t="s">
        <v>19</v>
      </c>
      <c r="I1925" t="s">
        <v>25</v>
      </c>
      <c r="J1925">
        <v>53784.02</v>
      </c>
      <c r="K1925">
        <v>46127.02</v>
      </c>
      <c r="L1925" s="20">
        <f>tbl_Budget[[#This Row],[Actual]]-tbl_Budget[[#This Row],[Budget]]</f>
        <v>-7657</v>
      </c>
      <c r="M1925" s="3">
        <f>tbl_Budget[[#This Row],[Variance]]/tbl_Budget[[#This Row],[Budget]]</f>
        <v>-0.14236570639383223</v>
      </c>
      <c r="N1925" t="str">
        <f>IF(tbl_Budget[[#This Row],[Variance_%]]&gt;0.05,"Overspend",IF(tbl_Budget[[#This Row],[Variance_%]]&lt;-0.05,"Underspend","On Budget"))</f>
        <v>Underspend</v>
      </c>
    </row>
    <row r="1926" spans="1:14" hidden="1">
      <c r="A1926" s="1">
        <v>45505</v>
      </c>
      <c r="B1926">
        <v>8</v>
      </c>
      <c r="C1926" t="s">
        <v>44</v>
      </c>
      <c r="D1926" t="s">
        <v>61</v>
      </c>
      <c r="E1926">
        <v>2024</v>
      </c>
      <c r="F1926" t="s">
        <v>24</v>
      </c>
      <c r="G1926" t="s">
        <v>20</v>
      </c>
      <c r="H1926" t="s">
        <v>15</v>
      </c>
      <c r="I1926" t="s">
        <v>25</v>
      </c>
      <c r="J1926">
        <v>29173.72</v>
      </c>
      <c r="K1926">
        <v>25574.84</v>
      </c>
      <c r="L1926" s="20">
        <f>tbl_Budget[[#This Row],[Actual]]-tbl_Budget[[#This Row],[Budget]]</f>
        <v>-3598.880000000001</v>
      </c>
      <c r="M1926" s="3">
        <f>tbl_Budget[[#This Row],[Variance]]/tbl_Budget[[#This Row],[Budget]]</f>
        <v>-0.12336033937392972</v>
      </c>
      <c r="N1926" t="str">
        <f>IF(tbl_Budget[[#This Row],[Variance_%]]&gt;0.05,"Overspend",IF(tbl_Budget[[#This Row],[Variance_%]]&lt;-0.05,"Underspend","On Budget"))</f>
        <v>Underspend</v>
      </c>
    </row>
    <row r="1927" spans="1:14" hidden="1">
      <c r="A1927" s="1">
        <v>45505</v>
      </c>
      <c r="B1927">
        <v>8</v>
      </c>
      <c r="C1927" t="s">
        <v>44</v>
      </c>
      <c r="D1927" t="s">
        <v>61</v>
      </c>
      <c r="E1927">
        <v>2024</v>
      </c>
      <c r="F1927" t="s">
        <v>24</v>
      </c>
      <c r="G1927" t="s">
        <v>20</v>
      </c>
      <c r="H1927" t="s">
        <v>17</v>
      </c>
      <c r="I1927" t="s">
        <v>25</v>
      </c>
      <c r="J1927">
        <v>27212.33</v>
      </c>
      <c r="K1927">
        <v>23724.28</v>
      </c>
      <c r="L1927" s="20">
        <f>tbl_Budget[[#This Row],[Actual]]-tbl_Budget[[#This Row],[Budget]]</f>
        <v>-3488.0500000000029</v>
      </c>
      <c r="M1927" s="3">
        <f>tbl_Budget[[#This Row],[Variance]]/tbl_Budget[[#This Row],[Budget]]</f>
        <v>-0.12817902766870762</v>
      </c>
      <c r="N1927" t="str">
        <f>IF(tbl_Budget[[#This Row],[Variance_%]]&gt;0.05,"Overspend",IF(tbl_Budget[[#This Row],[Variance_%]]&lt;-0.05,"Underspend","On Budget"))</f>
        <v>Underspend</v>
      </c>
    </row>
    <row r="1928" spans="1:14" hidden="1">
      <c r="A1928" s="1">
        <v>45505</v>
      </c>
      <c r="B1928">
        <v>8</v>
      </c>
      <c r="C1928" t="s">
        <v>44</v>
      </c>
      <c r="D1928" t="s">
        <v>61</v>
      </c>
      <c r="E1928">
        <v>2024</v>
      </c>
      <c r="F1928" t="s">
        <v>24</v>
      </c>
      <c r="G1928" t="s">
        <v>20</v>
      </c>
      <c r="H1928" t="s">
        <v>18</v>
      </c>
      <c r="I1928" t="s">
        <v>25</v>
      </c>
      <c r="J1928">
        <v>28433.26</v>
      </c>
      <c r="K1928">
        <v>25299.64</v>
      </c>
      <c r="L1928" s="20">
        <f>tbl_Budget[[#This Row],[Actual]]-tbl_Budget[[#This Row],[Budget]]</f>
        <v>-3133.619999999999</v>
      </c>
      <c r="M1928" s="3">
        <f>tbl_Budget[[#This Row],[Variance]]/tbl_Budget[[#This Row],[Budget]]</f>
        <v>-0.11020966290886093</v>
      </c>
      <c r="N1928" t="str">
        <f>IF(tbl_Budget[[#This Row],[Variance_%]]&gt;0.05,"Overspend",IF(tbl_Budget[[#This Row],[Variance_%]]&lt;-0.05,"Underspend","On Budget"))</f>
        <v>Underspend</v>
      </c>
    </row>
    <row r="1929" spans="1:14" hidden="1">
      <c r="A1929" s="1">
        <v>45505</v>
      </c>
      <c r="B1929">
        <v>8</v>
      </c>
      <c r="C1929" t="s">
        <v>44</v>
      </c>
      <c r="D1929" t="s">
        <v>61</v>
      </c>
      <c r="E1929">
        <v>2024</v>
      </c>
      <c r="F1929" t="s">
        <v>24</v>
      </c>
      <c r="G1929" t="s">
        <v>20</v>
      </c>
      <c r="H1929" t="s">
        <v>19</v>
      </c>
      <c r="I1929" t="s">
        <v>25</v>
      </c>
      <c r="J1929">
        <v>29855.58</v>
      </c>
      <c r="K1929">
        <v>26725.39</v>
      </c>
      <c r="L1929" s="20">
        <f>tbl_Budget[[#This Row],[Actual]]-tbl_Budget[[#This Row],[Budget]]</f>
        <v>-3130.1900000000023</v>
      </c>
      <c r="M1929" s="3">
        <f>tbl_Budget[[#This Row],[Variance]]/tbl_Budget[[#This Row],[Budget]]</f>
        <v>-0.10484438754832437</v>
      </c>
      <c r="N1929" t="str">
        <f>IF(tbl_Budget[[#This Row],[Variance_%]]&gt;0.05,"Overspend",IF(tbl_Budget[[#This Row],[Variance_%]]&lt;-0.05,"Underspend","On Budget"))</f>
        <v>Underspend</v>
      </c>
    </row>
    <row r="1930" spans="1:14">
      <c r="A1930" s="1">
        <v>45505</v>
      </c>
      <c r="B1930">
        <v>8</v>
      </c>
      <c r="C1930" t="s">
        <v>44</v>
      </c>
      <c r="D1930" t="s">
        <v>61</v>
      </c>
      <c r="E1930">
        <v>2024</v>
      </c>
      <c r="F1930" t="s">
        <v>24</v>
      </c>
      <c r="G1930" t="s">
        <v>21</v>
      </c>
      <c r="H1930" t="s">
        <v>15</v>
      </c>
      <c r="I1930" t="s">
        <v>25</v>
      </c>
      <c r="J1930">
        <v>11011.21</v>
      </c>
      <c r="K1930">
        <v>13415.12</v>
      </c>
      <c r="L1930" s="20">
        <f>tbl_Budget[[#This Row],[Actual]]-tbl_Budget[[#This Row],[Budget]]</f>
        <v>2403.9100000000017</v>
      </c>
      <c r="M1930" s="3">
        <f>tbl_Budget[[#This Row],[Variance]]/tbl_Budget[[#This Row],[Budget]]</f>
        <v>0.21831479010935237</v>
      </c>
      <c r="N1930" t="str">
        <f>IF(tbl_Budget[[#This Row],[Variance_%]]&gt;0.05,"Overspend",IF(tbl_Budget[[#This Row],[Variance_%]]&lt;-0.05,"Underspend","On Budget"))</f>
        <v>Overspend</v>
      </c>
    </row>
    <row r="1931" spans="1:14">
      <c r="A1931" s="1">
        <v>45505</v>
      </c>
      <c r="B1931">
        <v>8</v>
      </c>
      <c r="C1931" t="s">
        <v>44</v>
      </c>
      <c r="D1931" t="s">
        <v>61</v>
      </c>
      <c r="E1931">
        <v>2024</v>
      </c>
      <c r="F1931" t="s">
        <v>24</v>
      </c>
      <c r="G1931" t="s">
        <v>21</v>
      </c>
      <c r="H1931" t="s">
        <v>17</v>
      </c>
      <c r="I1931" t="s">
        <v>25</v>
      </c>
      <c r="J1931">
        <v>10470.98</v>
      </c>
      <c r="K1931">
        <v>12290.72</v>
      </c>
      <c r="L1931" s="20">
        <f>tbl_Budget[[#This Row],[Actual]]-tbl_Budget[[#This Row],[Budget]]</f>
        <v>1819.7399999999998</v>
      </c>
      <c r="M1931" s="3">
        <f>tbl_Budget[[#This Row],[Variance]]/tbl_Budget[[#This Row],[Budget]]</f>
        <v>0.17378889082015245</v>
      </c>
      <c r="N1931" t="str">
        <f>IF(tbl_Budget[[#This Row],[Variance_%]]&gt;0.05,"Overspend",IF(tbl_Budget[[#This Row],[Variance_%]]&lt;-0.05,"Underspend","On Budget"))</f>
        <v>Overspend</v>
      </c>
    </row>
    <row r="1932" spans="1:14">
      <c r="A1932" s="1">
        <v>45505</v>
      </c>
      <c r="B1932">
        <v>8</v>
      </c>
      <c r="C1932" t="s">
        <v>44</v>
      </c>
      <c r="D1932" t="s">
        <v>61</v>
      </c>
      <c r="E1932">
        <v>2024</v>
      </c>
      <c r="F1932" t="s">
        <v>24</v>
      </c>
      <c r="G1932" t="s">
        <v>21</v>
      </c>
      <c r="H1932" t="s">
        <v>18</v>
      </c>
      <c r="I1932" t="s">
        <v>25</v>
      </c>
      <c r="J1932">
        <v>11004.8</v>
      </c>
      <c r="K1932">
        <v>13477.38</v>
      </c>
      <c r="L1932" s="20">
        <f>tbl_Budget[[#This Row],[Actual]]-tbl_Budget[[#This Row],[Budget]]</f>
        <v>2472.58</v>
      </c>
      <c r="M1932" s="3">
        <f>tbl_Budget[[#This Row],[Variance]]/tbl_Budget[[#This Row],[Budget]]</f>
        <v>0.22468195696423379</v>
      </c>
      <c r="N1932" t="str">
        <f>IF(tbl_Budget[[#This Row],[Variance_%]]&gt;0.05,"Overspend",IF(tbl_Budget[[#This Row],[Variance_%]]&lt;-0.05,"Underspend","On Budget"))</f>
        <v>Overspend</v>
      </c>
    </row>
    <row r="1933" spans="1:14">
      <c r="A1933" s="1">
        <v>45505</v>
      </c>
      <c r="B1933">
        <v>8</v>
      </c>
      <c r="C1933" t="s">
        <v>44</v>
      </c>
      <c r="D1933" t="s">
        <v>61</v>
      </c>
      <c r="E1933">
        <v>2024</v>
      </c>
      <c r="F1933" t="s">
        <v>24</v>
      </c>
      <c r="G1933" t="s">
        <v>21</v>
      </c>
      <c r="H1933" t="s">
        <v>19</v>
      </c>
      <c r="I1933" t="s">
        <v>25</v>
      </c>
      <c r="J1933">
        <v>11567.47</v>
      </c>
      <c r="K1933">
        <v>14472.02</v>
      </c>
      <c r="L1933" s="20">
        <f>tbl_Budget[[#This Row],[Actual]]-tbl_Budget[[#This Row],[Budget]]</f>
        <v>2904.5500000000011</v>
      </c>
      <c r="M1933" s="3">
        <f>tbl_Budget[[#This Row],[Variance]]/tbl_Budget[[#This Row],[Budget]]</f>
        <v>0.25109639359341335</v>
      </c>
      <c r="N1933" t="str">
        <f>IF(tbl_Budget[[#This Row],[Variance_%]]&gt;0.05,"Overspend",IF(tbl_Budget[[#This Row],[Variance_%]]&lt;-0.05,"Underspend","On Budget"))</f>
        <v>Overspend</v>
      </c>
    </row>
    <row r="1934" spans="1:14" hidden="1">
      <c r="A1934" s="1">
        <v>45505</v>
      </c>
      <c r="B1934">
        <v>8</v>
      </c>
      <c r="C1934" t="s">
        <v>44</v>
      </c>
      <c r="D1934" t="s">
        <v>61</v>
      </c>
      <c r="E1934">
        <v>2024</v>
      </c>
      <c r="F1934" t="s">
        <v>24</v>
      </c>
      <c r="G1934" t="s">
        <v>22</v>
      </c>
      <c r="H1934" t="s">
        <v>15</v>
      </c>
      <c r="I1934" t="s">
        <v>25</v>
      </c>
      <c r="J1934">
        <v>8755.69</v>
      </c>
      <c r="K1934">
        <v>7425.01</v>
      </c>
      <c r="L1934" s="20">
        <f>tbl_Budget[[#This Row],[Actual]]-tbl_Budget[[#This Row],[Budget]]</f>
        <v>-1330.6800000000003</v>
      </c>
      <c r="M1934" s="3">
        <f>tbl_Budget[[#This Row],[Variance]]/tbl_Budget[[#This Row],[Budget]]</f>
        <v>-0.15197888458819353</v>
      </c>
      <c r="N1934" t="str">
        <f>IF(tbl_Budget[[#This Row],[Variance_%]]&gt;0.05,"Overspend",IF(tbl_Budget[[#This Row],[Variance_%]]&lt;-0.05,"Underspend","On Budget"))</f>
        <v>Underspend</v>
      </c>
    </row>
    <row r="1935" spans="1:14" hidden="1">
      <c r="A1935" s="1">
        <v>45505</v>
      </c>
      <c r="B1935">
        <v>8</v>
      </c>
      <c r="C1935" t="s">
        <v>44</v>
      </c>
      <c r="D1935" t="s">
        <v>61</v>
      </c>
      <c r="E1935">
        <v>2024</v>
      </c>
      <c r="F1935" t="s">
        <v>24</v>
      </c>
      <c r="G1935" t="s">
        <v>22</v>
      </c>
      <c r="H1935" t="s">
        <v>17</v>
      </c>
      <c r="I1935" t="s">
        <v>25</v>
      </c>
      <c r="J1935">
        <v>8163.41</v>
      </c>
      <c r="K1935">
        <v>7222.42</v>
      </c>
      <c r="L1935" s="20">
        <f>tbl_Budget[[#This Row],[Actual]]-tbl_Budget[[#This Row],[Budget]]</f>
        <v>-940.98999999999978</v>
      </c>
      <c r="M1935" s="3">
        <f>tbl_Budget[[#This Row],[Variance]]/tbl_Budget[[#This Row],[Budget]]</f>
        <v>-0.11526923185286539</v>
      </c>
      <c r="N1935" t="str">
        <f>IF(tbl_Budget[[#This Row],[Variance_%]]&gt;0.05,"Overspend",IF(tbl_Budget[[#This Row],[Variance_%]]&lt;-0.05,"Underspend","On Budget"))</f>
        <v>Underspend</v>
      </c>
    </row>
    <row r="1936" spans="1:14" hidden="1">
      <c r="A1936" s="1">
        <v>45505</v>
      </c>
      <c r="B1936">
        <v>8</v>
      </c>
      <c r="C1936" t="s">
        <v>44</v>
      </c>
      <c r="D1936" t="s">
        <v>61</v>
      </c>
      <c r="E1936">
        <v>2024</v>
      </c>
      <c r="F1936" t="s">
        <v>24</v>
      </c>
      <c r="G1936" t="s">
        <v>22</v>
      </c>
      <c r="H1936" t="s">
        <v>18</v>
      </c>
      <c r="I1936" t="s">
        <v>25</v>
      </c>
      <c r="J1936">
        <v>8742.52</v>
      </c>
      <c r="K1936">
        <v>7691.12</v>
      </c>
      <c r="L1936" s="20">
        <f>tbl_Budget[[#This Row],[Actual]]-tbl_Budget[[#This Row],[Budget]]</f>
        <v>-1051.4000000000005</v>
      </c>
      <c r="M1936" s="3">
        <f>tbl_Budget[[#This Row],[Variance]]/tbl_Budget[[#This Row],[Budget]]</f>
        <v>-0.1202628075200286</v>
      </c>
      <c r="N1936" t="str">
        <f>IF(tbl_Budget[[#This Row],[Variance_%]]&gt;0.05,"Overspend",IF(tbl_Budget[[#This Row],[Variance_%]]&lt;-0.05,"Underspend","On Budget"))</f>
        <v>Underspend</v>
      </c>
    </row>
    <row r="1937" spans="1:14" hidden="1">
      <c r="A1937" s="1">
        <v>45505</v>
      </c>
      <c r="B1937">
        <v>8</v>
      </c>
      <c r="C1937" t="s">
        <v>44</v>
      </c>
      <c r="D1937" t="s">
        <v>61</v>
      </c>
      <c r="E1937">
        <v>2024</v>
      </c>
      <c r="F1937" t="s">
        <v>24</v>
      </c>
      <c r="G1937" t="s">
        <v>22</v>
      </c>
      <c r="H1937" t="s">
        <v>19</v>
      </c>
      <c r="I1937" t="s">
        <v>25</v>
      </c>
      <c r="J1937">
        <v>9289.4599999999991</v>
      </c>
      <c r="K1937">
        <v>7952.68</v>
      </c>
      <c r="L1937" s="20">
        <f>tbl_Budget[[#This Row],[Actual]]-tbl_Budget[[#This Row],[Budget]]</f>
        <v>-1336.7799999999988</v>
      </c>
      <c r="M1937" s="3">
        <f>tbl_Budget[[#This Row],[Variance]]/tbl_Budget[[#This Row],[Budget]]</f>
        <v>-0.14390287487109035</v>
      </c>
      <c r="N1937" t="str">
        <f>IF(tbl_Budget[[#This Row],[Variance_%]]&gt;0.05,"Overspend",IF(tbl_Budget[[#This Row],[Variance_%]]&lt;-0.05,"Underspend","On Budget"))</f>
        <v>Underspend</v>
      </c>
    </row>
    <row r="1938" spans="1:14" hidden="1">
      <c r="A1938" s="1">
        <v>45505</v>
      </c>
      <c r="B1938">
        <v>8</v>
      </c>
      <c r="C1938" t="s">
        <v>44</v>
      </c>
      <c r="D1938" t="s">
        <v>61</v>
      </c>
      <c r="E1938">
        <v>2024</v>
      </c>
      <c r="F1938" t="s">
        <v>24</v>
      </c>
      <c r="G1938" t="s">
        <v>23</v>
      </c>
      <c r="H1938" t="s">
        <v>15</v>
      </c>
      <c r="I1938" t="s">
        <v>25</v>
      </c>
      <c r="J1938">
        <v>7335.54</v>
      </c>
      <c r="K1938">
        <v>6547.41</v>
      </c>
      <c r="L1938" s="20">
        <f>tbl_Budget[[#This Row],[Actual]]-tbl_Budget[[#This Row],[Budget]]</f>
        <v>-788.13000000000011</v>
      </c>
      <c r="M1938" s="3">
        <f>tbl_Budget[[#This Row],[Variance]]/tbl_Budget[[#This Row],[Budget]]</f>
        <v>-0.10743994307167572</v>
      </c>
      <c r="N1938" t="str">
        <f>IF(tbl_Budget[[#This Row],[Variance_%]]&gt;0.05,"Overspend",IF(tbl_Budget[[#This Row],[Variance_%]]&lt;-0.05,"Underspend","On Budget"))</f>
        <v>Underspend</v>
      </c>
    </row>
    <row r="1939" spans="1:14" hidden="1">
      <c r="A1939" s="1">
        <v>45505</v>
      </c>
      <c r="B1939">
        <v>8</v>
      </c>
      <c r="C1939" t="s">
        <v>44</v>
      </c>
      <c r="D1939" t="s">
        <v>61</v>
      </c>
      <c r="E1939">
        <v>2024</v>
      </c>
      <c r="F1939" t="s">
        <v>24</v>
      </c>
      <c r="G1939" t="s">
        <v>23</v>
      </c>
      <c r="H1939" t="s">
        <v>17</v>
      </c>
      <c r="I1939" t="s">
        <v>25</v>
      </c>
      <c r="J1939">
        <v>6955.67</v>
      </c>
      <c r="K1939">
        <v>6143.48</v>
      </c>
      <c r="L1939" s="20">
        <f>tbl_Budget[[#This Row],[Actual]]-tbl_Budget[[#This Row],[Budget]]</f>
        <v>-812.19000000000051</v>
      </c>
      <c r="M1939" s="3">
        <f>tbl_Budget[[#This Row],[Variance]]/tbl_Budget[[#This Row],[Budget]]</f>
        <v>-0.11676660911170318</v>
      </c>
      <c r="N1939" t="str">
        <f>IF(tbl_Budget[[#This Row],[Variance_%]]&gt;0.05,"Overspend",IF(tbl_Budget[[#This Row],[Variance_%]]&lt;-0.05,"Underspend","On Budget"))</f>
        <v>Underspend</v>
      </c>
    </row>
    <row r="1940" spans="1:14" hidden="1">
      <c r="A1940" s="1">
        <v>45505</v>
      </c>
      <c r="B1940">
        <v>8</v>
      </c>
      <c r="C1940" t="s">
        <v>44</v>
      </c>
      <c r="D1940" t="s">
        <v>61</v>
      </c>
      <c r="E1940">
        <v>2024</v>
      </c>
      <c r="F1940" t="s">
        <v>24</v>
      </c>
      <c r="G1940" t="s">
        <v>23</v>
      </c>
      <c r="H1940" t="s">
        <v>18</v>
      </c>
      <c r="I1940" t="s">
        <v>25</v>
      </c>
      <c r="J1940">
        <v>7131.4</v>
      </c>
      <c r="K1940">
        <v>6341.71</v>
      </c>
      <c r="L1940" s="20">
        <f>tbl_Budget[[#This Row],[Actual]]-tbl_Budget[[#This Row],[Budget]]</f>
        <v>-789.6899999999996</v>
      </c>
      <c r="M1940" s="3">
        <f>tbl_Budget[[#This Row],[Variance]]/tbl_Budget[[#This Row],[Budget]]</f>
        <v>-0.11073421768516696</v>
      </c>
      <c r="N1940" t="str">
        <f>IF(tbl_Budget[[#This Row],[Variance_%]]&gt;0.05,"Overspend",IF(tbl_Budget[[#This Row],[Variance_%]]&lt;-0.05,"Underspend","On Budget"))</f>
        <v>Underspend</v>
      </c>
    </row>
    <row r="1941" spans="1:14" hidden="1">
      <c r="A1941" s="1">
        <v>45505</v>
      </c>
      <c r="B1941">
        <v>8</v>
      </c>
      <c r="C1941" t="s">
        <v>44</v>
      </c>
      <c r="D1941" t="s">
        <v>61</v>
      </c>
      <c r="E1941">
        <v>2024</v>
      </c>
      <c r="F1941" t="s">
        <v>24</v>
      </c>
      <c r="G1941" t="s">
        <v>23</v>
      </c>
      <c r="H1941" t="s">
        <v>19</v>
      </c>
      <c r="I1941" t="s">
        <v>25</v>
      </c>
      <c r="J1941">
        <v>7978.32</v>
      </c>
      <c r="K1941">
        <v>7052.44</v>
      </c>
      <c r="L1941" s="20">
        <f>tbl_Budget[[#This Row],[Actual]]-tbl_Budget[[#This Row],[Budget]]</f>
        <v>-925.88000000000011</v>
      </c>
      <c r="M1941" s="3">
        <f>tbl_Budget[[#This Row],[Variance]]/tbl_Budget[[#This Row],[Budget]]</f>
        <v>-0.11604949412908985</v>
      </c>
      <c r="N1941" t="str">
        <f>IF(tbl_Budget[[#This Row],[Variance_%]]&gt;0.05,"Overspend",IF(tbl_Budget[[#This Row],[Variance_%]]&lt;-0.05,"Underspend","On Budget"))</f>
        <v>Underspend</v>
      </c>
    </row>
    <row r="1942" spans="1:14" hidden="1">
      <c r="A1942" s="1">
        <v>45505</v>
      </c>
      <c r="B1942">
        <v>8</v>
      </c>
      <c r="C1942" t="s">
        <v>44</v>
      </c>
      <c r="D1942" t="s">
        <v>61</v>
      </c>
      <c r="E1942">
        <v>2024</v>
      </c>
      <c r="F1942" t="s">
        <v>26</v>
      </c>
      <c r="G1942" t="s">
        <v>14</v>
      </c>
      <c r="H1942" t="s">
        <v>15</v>
      </c>
      <c r="I1942" t="s">
        <v>27</v>
      </c>
      <c r="J1942">
        <v>45322.41</v>
      </c>
      <c r="K1942">
        <v>44735.1</v>
      </c>
      <c r="L1942" s="20">
        <f>tbl_Budget[[#This Row],[Actual]]-tbl_Budget[[#This Row],[Budget]]</f>
        <v>-587.31000000000495</v>
      </c>
      <c r="M1942" s="3">
        <f>tbl_Budget[[#This Row],[Variance]]/tbl_Budget[[#This Row],[Budget]]</f>
        <v>-1.2958490071468064E-2</v>
      </c>
      <c r="N1942" t="str">
        <f>IF(tbl_Budget[[#This Row],[Variance_%]]&gt;0.05,"Overspend",IF(tbl_Budget[[#This Row],[Variance_%]]&lt;-0.05,"Underspend","On Budget"))</f>
        <v>On Budget</v>
      </c>
    </row>
    <row r="1943" spans="1:14" hidden="1">
      <c r="A1943" s="1">
        <v>45505</v>
      </c>
      <c r="B1943">
        <v>8</v>
      </c>
      <c r="C1943" t="s">
        <v>44</v>
      </c>
      <c r="D1943" t="s">
        <v>61</v>
      </c>
      <c r="E1943">
        <v>2024</v>
      </c>
      <c r="F1943" t="s">
        <v>26</v>
      </c>
      <c r="G1943" t="s">
        <v>14</v>
      </c>
      <c r="H1943" t="s">
        <v>17</v>
      </c>
      <c r="I1943" t="s">
        <v>27</v>
      </c>
      <c r="J1943">
        <v>42631.21</v>
      </c>
      <c r="K1943">
        <v>42511.16</v>
      </c>
      <c r="L1943" s="20">
        <f>tbl_Budget[[#This Row],[Actual]]-tbl_Budget[[#This Row],[Budget]]</f>
        <v>-120.04999999999563</v>
      </c>
      <c r="M1943" s="3">
        <f>tbl_Budget[[#This Row],[Variance]]/tbl_Budget[[#This Row],[Budget]]</f>
        <v>-2.8160120249928547E-3</v>
      </c>
      <c r="N1943" t="str">
        <f>IF(tbl_Budget[[#This Row],[Variance_%]]&gt;0.05,"Overspend",IF(tbl_Budget[[#This Row],[Variance_%]]&lt;-0.05,"Underspend","On Budget"))</f>
        <v>On Budget</v>
      </c>
    </row>
    <row r="1944" spans="1:14" hidden="1">
      <c r="A1944" s="1">
        <v>45505</v>
      </c>
      <c r="B1944">
        <v>8</v>
      </c>
      <c r="C1944" t="s">
        <v>44</v>
      </c>
      <c r="D1944" t="s">
        <v>61</v>
      </c>
      <c r="E1944">
        <v>2024</v>
      </c>
      <c r="F1944" t="s">
        <v>26</v>
      </c>
      <c r="G1944" t="s">
        <v>14</v>
      </c>
      <c r="H1944" t="s">
        <v>18</v>
      </c>
      <c r="I1944" t="s">
        <v>27</v>
      </c>
      <c r="J1944">
        <v>43927.23</v>
      </c>
      <c r="K1944">
        <v>44439.76</v>
      </c>
      <c r="L1944" s="20">
        <f>tbl_Budget[[#This Row],[Actual]]-tbl_Budget[[#This Row],[Budget]]</f>
        <v>512.52999999999884</v>
      </c>
      <c r="M1944" s="3">
        <f>tbl_Budget[[#This Row],[Variance]]/tbl_Budget[[#This Row],[Budget]]</f>
        <v>1.1667705885392701E-2</v>
      </c>
      <c r="N1944" t="str">
        <f>IF(tbl_Budget[[#This Row],[Variance_%]]&gt;0.05,"Overspend",IF(tbl_Budget[[#This Row],[Variance_%]]&lt;-0.05,"Underspend","On Budget"))</f>
        <v>On Budget</v>
      </c>
    </row>
    <row r="1945" spans="1:14" hidden="1">
      <c r="A1945" s="1">
        <v>45505</v>
      </c>
      <c r="B1945">
        <v>8</v>
      </c>
      <c r="C1945" t="s">
        <v>44</v>
      </c>
      <c r="D1945" t="s">
        <v>61</v>
      </c>
      <c r="E1945">
        <v>2024</v>
      </c>
      <c r="F1945" t="s">
        <v>26</v>
      </c>
      <c r="G1945" t="s">
        <v>14</v>
      </c>
      <c r="H1945" t="s">
        <v>19</v>
      </c>
      <c r="I1945" t="s">
        <v>27</v>
      </c>
      <c r="J1945">
        <v>48469.74</v>
      </c>
      <c r="K1945">
        <v>49337.08</v>
      </c>
      <c r="L1945" s="20">
        <f>tbl_Budget[[#This Row],[Actual]]-tbl_Budget[[#This Row],[Budget]]</f>
        <v>867.34000000000378</v>
      </c>
      <c r="M1945" s="3">
        <f>tbl_Budget[[#This Row],[Variance]]/tbl_Budget[[#This Row],[Budget]]</f>
        <v>1.7894463638550646E-2</v>
      </c>
      <c r="N1945" t="str">
        <f>IF(tbl_Budget[[#This Row],[Variance_%]]&gt;0.05,"Overspend",IF(tbl_Budget[[#This Row],[Variance_%]]&lt;-0.05,"Underspend","On Budget"))</f>
        <v>On Budget</v>
      </c>
    </row>
    <row r="1946" spans="1:14" hidden="1">
      <c r="A1946" s="1">
        <v>45505</v>
      </c>
      <c r="B1946">
        <v>8</v>
      </c>
      <c r="C1946" t="s">
        <v>44</v>
      </c>
      <c r="D1946" t="s">
        <v>61</v>
      </c>
      <c r="E1946">
        <v>2024</v>
      </c>
      <c r="F1946" t="s">
        <v>26</v>
      </c>
      <c r="G1946" t="s">
        <v>20</v>
      </c>
      <c r="H1946" t="s">
        <v>15</v>
      </c>
      <c r="I1946" t="s">
        <v>27</v>
      </c>
      <c r="J1946">
        <v>15578.31</v>
      </c>
      <c r="K1946">
        <v>15194.33</v>
      </c>
      <c r="L1946" s="20">
        <f>tbl_Budget[[#This Row],[Actual]]-tbl_Budget[[#This Row],[Budget]]</f>
        <v>-383.97999999999956</v>
      </c>
      <c r="M1946" s="3">
        <f>tbl_Budget[[#This Row],[Variance]]/tbl_Budget[[#This Row],[Budget]]</f>
        <v>-2.4648373283109631E-2</v>
      </c>
      <c r="N1946" t="str">
        <f>IF(tbl_Budget[[#This Row],[Variance_%]]&gt;0.05,"Overspend",IF(tbl_Budget[[#This Row],[Variance_%]]&lt;-0.05,"Underspend","On Budget"))</f>
        <v>On Budget</v>
      </c>
    </row>
    <row r="1947" spans="1:14" hidden="1">
      <c r="A1947" s="1">
        <v>45505</v>
      </c>
      <c r="B1947">
        <v>8</v>
      </c>
      <c r="C1947" t="s">
        <v>44</v>
      </c>
      <c r="D1947" t="s">
        <v>61</v>
      </c>
      <c r="E1947">
        <v>2024</v>
      </c>
      <c r="F1947" t="s">
        <v>26</v>
      </c>
      <c r="G1947" t="s">
        <v>20</v>
      </c>
      <c r="H1947" t="s">
        <v>17</v>
      </c>
      <c r="I1947" t="s">
        <v>27</v>
      </c>
      <c r="J1947">
        <v>14676.45</v>
      </c>
      <c r="K1947">
        <v>14633.17</v>
      </c>
      <c r="L1947" s="20">
        <f>tbl_Budget[[#This Row],[Actual]]-tbl_Budget[[#This Row],[Budget]]</f>
        <v>-43.280000000000655</v>
      </c>
      <c r="M1947" s="3">
        <f>tbl_Budget[[#This Row],[Variance]]/tbl_Budget[[#This Row],[Budget]]</f>
        <v>-2.9489420125439498E-3</v>
      </c>
      <c r="N1947" t="str">
        <f>IF(tbl_Budget[[#This Row],[Variance_%]]&gt;0.05,"Overspend",IF(tbl_Budget[[#This Row],[Variance_%]]&lt;-0.05,"Underspend","On Budget"))</f>
        <v>On Budget</v>
      </c>
    </row>
    <row r="1948" spans="1:14" hidden="1">
      <c r="A1948" s="1">
        <v>45505</v>
      </c>
      <c r="B1948">
        <v>8</v>
      </c>
      <c r="C1948" t="s">
        <v>44</v>
      </c>
      <c r="D1948" t="s">
        <v>61</v>
      </c>
      <c r="E1948">
        <v>2024</v>
      </c>
      <c r="F1948" t="s">
        <v>26</v>
      </c>
      <c r="G1948" t="s">
        <v>20</v>
      </c>
      <c r="H1948" t="s">
        <v>18</v>
      </c>
      <c r="I1948" t="s">
        <v>27</v>
      </c>
      <c r="J1948">
        <v>15446.16</v>
      </c>
      <c r="K1948">
        <v>15859.02</v>
      </c>
      <c r="L1948" s="20">
        <f>tbl_Budget[[#This Row],[Actual]]-tbl_Budget[[#This Row],[Budget]]</f>
        <v>412.86000000000058</v>
      </c>
      <c r="M1948" s="3">
        <f>tbl_Budget[[#This Row],[Variance]]/tbl_Budget[[#This Row],[Budget]]</f>
        <v>2.6728973414751667E-2</v>
      </c>
      <c r="N1948" t="str">
        <f>IF(tbl_Budget[[#This Row],[Variance_%]]&gt;0.05,"Overspend",IF(tbl_Budget[[#This Row],[Variance_%]]&lt;-0.05,"Underspend","On Budget"))</f>
        <v>On Budget</v>
      </c>
    </row>
    <row r="1949" spans="1:14" hidden="1">
      <c r="A1949" s="1">
        <v>45505</v>
      </c>
      <c r="B1949">
        <v>8</v>
      </c>
      <c r="C1949" t="s">
        <v>44</v>
      </c>
      <c r="D1949" t="s">
        <v>61</v>
      </c>
      <c r="E1949">
        <v>2024</v>
      </c>
      <c r="F1949" t="s">
        <v>26</v>
      </c>
      <c r="G1949" t="s">
        <v>20</v>
      </c>
      <c r="H1949" t="s">
        <v>19</v>
      </c>
      <c r="I1949" t="s">
        <v>27</v>
      </c>
      <c r="J1949">
        <v>15774.81</v>
      </c>
      <c r="K1949">
        <v>16158.99</v>
      </c>
      <c r="L1949" s="20">
        <f>tbl_Budget[[#This Row],[Actual]]-tbl_Budget[[#This Row],[Budget]]</f>
        <v>384.18000000000029</v>
      </c>
      <c r="M1949" s="3">
        <f>tbl_Budget[[#This Row],[Variance]]/tbl_Budget[[#This Row],[Budget]]</f>
        <v>2.4354017576122964E-2</v>
      </c>
      <c r="N1949" t="str">
        <f>IF(tbl_Budget[[#This Row],[Variance_%]]&gt;0.05,"Overspend",IF(tbl_Budget[[#This Row],[Variance_%]]&lt;-0.05,"Underspend","On Budget"))</f>
        <v>On Budget</v>
      </c>
    </row>
    <row r="1950" spans="1:14">
      <c r="A1950" s="1">
        <v>45505</v>
      </c>
      <c r="B1950">
        <v>8</v>
      </c>
      <c r="C1950" t="s">
        <v>44</v>
      </c>
      <c r="D1950" t="s">
        <v>61</v>
      </c>
      <c r="E1950">
        <v>2024</v>
      </c>
      <c r="F1950" t="s">
        <v>26</v>
      </c>
      <c r="G1950" t="s">
        <v>21</v>
      </c>
      <c r="H1950" t="s">
        <v>15</v>
      </c>
      <c r="I1950" t="s">
        <v>27</v>
      </c>
      <c r="J1950">
        <v>8680.44</v>
      </c>
      <c r="K1950">
        <v>11398.24</v>
      </c>
      <c r="L1950" s="20">
        <f>tbl_Budget[[#This Row],[Actual]]-tbl_Budget[[#This Row],[Budget]]</f>
        <v>2717.7999999999993</v>
      </c>
      <c r="M1950" s="3">
        <f>tbl_Budget[[#This Row],[Variance]]/tbl_Budget[[#This Row],[Budget]]</f>
        <v>0.31309472791701792</v>
      </c>
      <c r="N1950" t="str">
        <f>IF(tbl_Budget[[#This Row],[Variance_%]]&gt;0.05,"Overspend",IF(tbl_Budget[[#This Row],[Variance_%]]&lt;-0.05,"Underspend","On Budget"))</f>
        <v>Overspend</v>
      </c>
    </row>
    <row r="1951" spans="1:14">
      <c r="A1951" s="1">
        <v>45505</v>
      </c>
      <c r="B1951">
        <v>8</v>
      </c>
      <c r="C1951" t="s">
        <v>44</v>
      </c>
      <c r="D1951" t="s">
        <v>61</v>
      </c>
      <c r="E1951">
        <v>2024</v>
      </c>
      <c r="F1951" t="s">
        <v>26</v>
      </c>
      <c r="G1951" t="s">
        <v>21</v>
      </c>
      <c r="H1951" t="s">
        <v>17</v>
      </c>
      <c r="I1951" t="s">
        <v>27</v>
      </c>
      <c r="J1951">
        <v>8224.16</v>
      </c>
      <c r="K1951">
        <v>11253.29</v>
      </c>
      <c r="L1951" s="20">
        <f>tbl_Budget[[#This Row],[Actual]]-tbl_Budget[[#This Row],[Budget]]</f>
        <v>3029.130000000001</v>
      </c>
      <c r="M1951" s="3">
        <f>tbl_Budget[[#This Row],[Variance]]/tbl_Budget[[#This Row],[Budget]]</f>
        <v>0.36832089842610077</v>
      </c>
      <c r="N1951" t="str">
        <f>IF(tbl_Budget[[#This Row],[Variance_%]]&gt;0.05,"Overspend",IF(tbl_Budget[[#This Row],[Variance_%]]&lt;-0.05,"Underspend","On Budget"))</f>
        <v>Overspend</v>
      </c>
    </row>
    <row r="1952" spans="1:14">
      <c r="A1952" s="1">
        <v>45505</v>
      </c>
      <c r="B1952">
        <v>8</v>
      </c>
      <c r="C1952" t="s">
        <v>44</v>
      </c>
      <c r="D1952" t="s">
        <v>61</v>
      </c>
      <c r="E1952">
        <v>2024</v>
      </c>
      <c r="F1952" t="s">
        <v>26</v>
      </c>
      <c r="G1952" t="s">
        <v>21</v>
      </c>
      <c r="H1952" t="s">
        <v>18</v>
      </c>
      <c r="I1952" t="s">
        <v>27</v>
      </c>
      <c r="J1952">
        <v>8623.68</v>
      </c>
      <c r="K1952">
        <v>11458.98</v>
      </c>
      <c r="L1952" s="20">
        <f>tbl_Budget[[#This Row],[Actual]]-tbl_Budget[[#This Row],[Budget]]</f>
        <v>2835.2999999999993</v>
      </c>
      <c r="M1952" s="3">
        <f>tbl_Budget[[#This Row],[Variance]]/tbl_Budget[[#This Row],[Budget]]</f>
        <v>0.32878075253256139</v>
      </c>
      <c r="N1952" t="str">
        <f>IF(tbl_Budget[[#This Row],[Variance_%]]&gt;0.05,"Overspend",IF(tbl_Budget[[#This Row],[Variance_%]]&lt;-0.05,"Underspend","On Budget"))</f>
        <v>Overspend</v>
      </c>
    </row>
    <row r="1953" spans="1:14">
      <c r="A1953" s="1">
        <v>45505</v>
      </c>
      <c r="B1953">
        <v>8</v>
      </c>
      <c r="C1953" t="s">
        <v>44</v>
      </c>
      <c r="D1953" t="s">
        <v>61</v>
      </c>
      <c r="E1953">
        <v>2024</v>
      </c>
      <c r="F1953" t="s">
        <v>26</v>
      </c>
      <c r="G1953" t="s">
        <v>21</v>
      </c>
      <c r="H1953" t="s">
        <v>19</v>
      </c>
      <c r="I1953" t="s">
        <v>27</v>
      </c>
      <c r="J1953">
        <v>8868.59</v>
      </c>
      <c r="K1953">
        <v>11492.65</v>
      </c>
      <c r="L1953" s="20">
        <f>tbl_Budget[[#This Row],[Actual]]-tbl_Budget[[#This Row],[Budget]]</f>
        <v>2624.0599999999995</v>
      </c>
      <c r="M1953" s="3">
        <f>tbl_Budget[[#This Row],[Variance]]/tbl_Budget[[#This Row],[Budget]]</f>
        <v>0.29588243452454105</v>
      </c>
      <c r="N1953" t="str">
        <f>IF(tbl_Budget[[#This Row],[Variance_%]]&gt;0.05,"Overspend",IF(tbl_Budget[[#This Row],[Variance_%]]&lt;-0.05,"Underspend","On Budget"))</f>
        <v>Overspend</v>
      </c>
    </row>
    <row r="1954" spans="1:14" hidden="1">
      <c r="A1954" s="1">
        <v>45505</v>
      </c>
      <c r="B1954">
        <v>8</v>
      </c>
      <c r="C1954" t="s">
        <v>44</v>
      </c>
      <c r="D1954" t="s">
        <v>61</v>
      </c>
      <c r="E1954">
        <v>2024</v>
      </c>
      <c r="F1954" t="s">
        <v>26</v>
      </c>
      <c r="G1954" t="s">
        <v>22</v>
      </c>
      <c r="H1954" t="s">
        <v>15</v>
      </c>
      <c r="I1954" t="s">
        <v>27</v>
      </c>
      <c r="J1954">
        <v>6775.6</v>
      </c>
      <c r="K1954">
        <v>6816.49</v>
      </c>
      <c r="L1954" s="20">
        <f>tbl_Budget[[#This Row],[Actual]]-tbl_Budget[[#This Row],[Budget]]</f>
        <v>40.889999999999418</v>
      </c>
      <c r="M1954" s="3">
        <f>tbl_Budget[[#This Row],[Variance]]/tbl_Budget[[#This Row],[Budget]]</f>
        <v>6.0348898990494441E-3</v>
      </c>
      <c r="N1954" t="str">
        <f>IF(tbl_Budget[[#This Row],[Variance_%]]&gt;0.05,"Overspend",IF(tbl_Budget[[#This Row],[Variance_%]]&lt;-0.05,"Underspend","On Budget"))</f>
        <v>On Budget</v>
      </c>
    </row>
    <row r="1955" spans="1:14" hidden="1">
      <c r="A1955" s="1">
        <v>45505</v>
      </c>
      <c r="B1955">
        <v>8</v>
      </c>
      <c r="C1955" t="s">
        <v>44</v>
      </c>
      <c r="D1955" t="s">
        <v>61</v>
      </c>
      <c r="E1955">
        <v>2024</v>
      </c>
      <c r="F1955" t="s">
        <v>26</v>
      </c>
      <c r="G1955" t="s">
        <v>22</v>
      </c>
      <c r="H1955" t="s">
        <v>17</v>
      </c>
      <c r="I1955" t="s">
        <v>27</v>
      </c>
      <c r="J1955">
        <v>6480.76</v>
      </c>
      <c r="K1955">
        <v>6405.66</v>
      </c>
      <c r="L1955" s="20">
        <f>tbl_Budget[[#This Row],[Actual]]-tbl_Budget[[#This Row],[Budget]]</f>
        <v>-75.100000000000364</v>
      </c>
      <c r="M1955" s="3">
        <f>tbl_Budget[[#This Row],[Variance]]/tbl_Budget[[#This Row],[Budget]]</f>
        <v>-1.1588147069170955E-2</v>
      </c>
      <c r="N1955" t="str">
        <f>IF(tbl_Budget[[#This Row],[Variance_%]]&gt;0.05,"Overspend",IF(tbl_Budget[[#This Row],[Variance_%]]&lt;-0.05,"Underspend","On Budget"))</f>
        <v>On Budget</v>
      </c>
    </row>
    <row r="1956" spans="1:14" hidden="1">
      <c r="A1956" s="1">
        <v>45505</v>
      </c>
      <c r="B1956">
        <v>8</v>
      </c>
      <c r="C1956" t="s">
        <v>44</v>
      </c>
      <c r="D1956" t="s">
        <v>61</v>
      </c>
      <c r="E1956">
        <v>2024</v>
      </c>
      <c r="F1956" t="s">
        <v>26</v>
      </c>
      <c r="G1956" t="s">
        <v>22</v>
      </c>
      <c r="H1956" t="s">
        <v>18</v>
      </c>
      <c r="I1956" t="s">
        <v>27</v>
      </c>
      <c r="J1956">
        <v>6602.87</v>
      </c>
      <c r="K1956">
        <v>6664.89</v>
      </c>
      <c r="L1956" s="20">
        <f>tbl_Budget[[#This Row],[Actual]]-tbl_Budget[[#This Row],[Budget]]</f>
        <v>62.020000000000437</v>
      </c>
      <c r="M1956" s="3">
        <f>tbl_Budget[[#This Row],[Variance]]/tbl_Budget[[#This Row],[Budget]]</f>
        <v>9.3928852150656356E-3</v>
      </c>
      <c r="N1956" t="str">
        <f>IF(tbl_Budget[[#This Row],[Variance_%]]&gt;0.05,"Overspend",IF(tbl_Budget[[#This Row],[Variance_%]]&lt;-0.05,"Underspend","On Budget"))</f>
        <v>On Budget</v>
      </c>
    </row>
    <row r="1957" spans="1:14" hidden="1">
      <c r="A1957" s="1">
        <v>45505</v>
      </c>
      <c r="B1957">
        <v>8</v>
      </c>
      <c r="C1957" t="s">
        <v>44</v>
      </c>
      <c r="D1957" t="s">
        <v>61</v>
      </c>
      <c r="E1957">
        <v>2024</v>
      </c>
      <c r="F1957" t="s">
        <v>26</v>
      </c>
      <c r="G1957" t="s">
        <v>22</v>
      </c>
      <c r="H1957" t="s">
        <v>19</v>
      </c>
      <c r="I1957" t="s">
        <v>27</v>
      </c>
      <c r="J1957">
        <v>6913.97</v>
      </c>
      <c r="K1957">
        <v>6956.99</v>
      </c>
      <c r="L1957" s="20">
        <f>tbl_Budget[[#This Row],[Actual]]-tbl_Budget[[#This Row],[Budget]]</f>
        <v>43.019999999999527</v>
      </c>
      <c r="M1957" s="3">
        <f>tbl_Budget[[#This Row],[Variance]]/tbl_Budget[[#This Row],[Budget]]</f>
        <v>6.2221849386097311E-3</v>
      </c>
      <c r="N1957" t="str">
        <f>IF(tbl_Budget[[#This Row],[Variance_%]]&gt;0.05,"Overspend",IF(tbl_Budget[[#This Row],[Variance_%]]&lt;-0.05,"Underspend","On Budget"))</f>
        <v>On Budget</v>
      </c>
    </row>
    <row r="1958" spans="1:14" hidden="1">
      <c r="A1958" s="1">
        <v>45505</v>
      </c>
      <c r="B1958">
        <v>8</v>
      </c>
      <c r="C1958" t="s">
        <v>44</v>
      </c>
      <c r="D1958" t="s">
        <v>61</v>
      </c>
      <c r="E1958">
        <v>2024</v>
      </c>
      <c r="F1958" t="s">
        <v>26</v>
      </c>
      <c r="G1958" t="s">
        <v>23</v>
      </c>
      <c r="H1958" t="s">
        <v>15</v>
      </c>
      <c r="I1958" t="s">
        <v>27</v>
      </c>
      <c r="J1958">
        <v>5683.35</v>
      </c>
      <c r="K1958">
        <v>5565.64</v>
      </c>
      <c r="L1958" s="20">
        <f>tbl_Budget[[#This Row],[Actual]]-tbl_Budget[[#This Row],[Budget]]</f>
        <v>-117.71000000000004</v>
      </c>
      <c r="M1958" s="3">
        <f>tbl_Budget[[#This Row],[Variance]]/tbl_Budget[[#This Row],[Budget]]</f>
        <v>-2.0711376212972987E-2</v>
      </c>
      <c r="N1958" t="str">
        <f>IF(tbl_Budget[[#This Row],[Variance_%]]&gt;0.05,"Overspend",IF(tbl_Budget[[#This Row],[Variance_%]]&lt;-0.05,"Underspend","On Budget"))</f>
        <v>On Budget</v>
      </c>
    </row>
    <row r="1959" spans="1:14" hidden="1">
      <c r="A1959" s="1">
        <v>45505</v>
      </c>
      <c r="B1959">
        <v>8</v>
      </c>
      <c r="C1959" t="s">
        <v>44</v>
      </c>
      <c r="D1959" t="s">
        <v>61</v>
      </c>
      <c r="E1959">
        <v>2024</v>
      </c>
      <c r="F1959" t="s">
        <v>26</v>
      </c>
      <c r="G1959" t="s">
        <v>23</v>
      </c>
      <c r="H1959" t="s">
        <v>17</v>
      </c>
      <c r="I1959" t="s">
        <v>27</v>
      </c>
      <c r="J1959">
        <v>5506.36</v>
      </c>
      <c r="K1959">
        <v>5541.69</v>
      </c>
      <c r="L1959" s="20">
        <f>tbl_Budget[[#This Row],[Actual]]-tbl_Budget[[#This Row],[Budget]]</f>
        <v>35.329999999999927</v>
      </c>
      <c r="M1959" s="3">
        <f>tbl_Budget[[#This Row],[Variance]]/tbl_Budget[[#This Row],[Budget]]</f>
        <v>6.4162168837489609E-3</v>
      </c>
      <c r="N1959" t="str">
        <f>IF(tbl_Budget[[#This Row],[Variance_%]]&gt;0.05,"Overspend",IF(tbl_Budget[[#This Row],[Variance_%]]&lt;-0.05,"Underspend","On Budget"))</f>
        <v>On Budget</v>
      </c>
    </row>
    <row r="1960" spans="1:14" hidden="1">
      <c r="A1960" s="1">
        <v>45505</v>
      </c>
      <c r="B1960">
        <v>8</v>
      </c>
      <c r="C1960" t="s">
        <v>44</v>
      </c>
      <c r="D1960" t="s">
        <v>61</v>
      </c>
      <c r="E1960">
        <v>2024</v>
      </c>
      <c r="F1960" t="s">
        <v>26</v>
      </c>
      <c r="G1960" t="s">
        <v>23</v>
      </c>
      <c r="H1960" t="s">
        <v>18</v>
      </c>
      <c r="I1960" t="s">
        <v>27</v>
      </c>
      <c r="J1960">
        <v>5776.42</v>
      </c>
      <c r="K1960">
        <v>5716.2</v>
      </c>
      <c r="L1960" s="20">
        <f>tbl_Budget[[#This Row],[Actual]]-tbl_Budget[[#This Row],[Budget]]</f>
        <v>-60.220000000000255</v>
      </c>
      <c r="M1960" s="3">
        <f>tbl_Budget[[#This Row],[Variance]]/tbl_Budget[[#This Row],[Budget]]</f>
        <v>-1.0425142216113138E-2</v>
      </c>
      <c r="N1960" t="str">
        <f>IF(tbl_Budget[[#This Row],[Variance_%]]&gt;0.05,"Overspend",IF(tbl_Budget[[#This Row],[Variance_%]]&lt;-0.05,"Underspend","On Budget"))</f>
        <v>On Budget</v>
      </c>
    </row>
    <row r="1961" spans="1:14" hidden="1">
      <c r="A1961" s="1">
        <v>45505</v>
      </c>
      <c r="B1961">
        <v>8</v>
      </c>
      <c r="C1961" t="s">
        <v>44</v>
      </c>
      <c r="D1961" t="s">
        <v>61</v>
      </c>
      <c r="E1961">
        <v>2024</v>
      </c>
      <c r="F1961" t="s">
        <v>26</v>
      </c>
      <c r="G1961" t="s">
        <v>23</v>
      </c>
      <c r="H1961" t="s">
        <v>19</v>
      </c>
      <c r="I1961" t="s">
        <v>27</v>
      </c>
      <c r="J1961">
        <v>6190.41</v>
      </c>
      <c r="K1961">
        <v>6092.18</v>
      </c>
      <c r="L1961" s="20">
        <f>tbl_Budget[[#This Row],[Actual]]-tbl_Budget[[#This Row],[Budget]]</f>
        <v>-98.229999999999563</v>
      </c>
      <c r="M1961" s="3">
        <f>tbl_Budget[[#This Row],[Variance]]/tbl_Budget[[#This Row],[Budget]]</f>
        <v>-1.5868092743453108E-2</v>
      </c>
      <c r="N1961" t="str">
        <f>IF(tbl_Budget[[#This Row],[Variance_%]]&gt;0.05,"Overspend",IF(tbl_Budget[[#This Row],[Variance_%]]&lt;-0.05,"Underspend","On Budget"))</f>
        <v>On Budget</v>
      </c>
    </row>
    <row r="1962" spans="1:14" hidden="1">
      <c r="A1962" s="1">
        <v>45505</v>
      </c>
      <c r="B1962">
        <v>8</v>
      </c>
      <c r="C1962" t="s">
        <v>44</v>
      </c>
      <c r="D1962" t="s">
        <v>61</v>
      </c>
      <c r="E1962">
        <v>2024</v>
      </c>
      <c r="F1962" t="s">
        <v>28</v>
      </c>
      <c r="G1962" t="s">
        <v>14</v>
      </c>
      <c r="H1962" t="s">
        <v>15</v>
      </c>
      <c r="I1962" t="s">
        <v>29</v>
      </c>
      <c r="J1962">
        <v>55794.03</v>
      </c>
      <c r="K1962">
        <v>66371.759999999995</v>
      </c>
      <c r="L1962" s="20">
        <f>tbl_Budget[[#This Row],[Actual]]-tbl_Budget[[#This Row],[Budget]]</f>
        <v>10577.729999999996</v>
      </c>
      <c r="M1962" s="3">
        <f>tbl_Budget[[#This Row],[Variance]]/tbl_Budget[[#This Row],[Budget]]</f>
        <v>0.18958533735598587</v>
      </c>
      <c r="N1962" t="str">
        <f>IF(tbl_Budget[[#This Row],[Variance_%]]&gt;0.05,"Overspend",IF(tbl_Budget[[#This Row],[Variance_%]]&lt;-0.05,"Underspend","On Budget"))</f>
        <v>Overspend</v>
      </c>
    </row>
    <row r="1963" spans="1:14" hidden="1">
      <c r="A1963" s="1">
        <v>45505</v>
      </c>
      <c r="B1963">
        <v>8</v>
      </c>
      <c r="C1963" t="s">
        <v>44</v>
      </c>
      <c r="D1963" t="s">
        <v>61</v>
      </c>
      <c r="E1963">
        <v>2024</v>
      </c>
      <c r="F1963" t="s">
        <v>28</v>
      </c>
      <c r="G1963" t="s">
        <v>14</v>
      </c>
      <c r="H1963" t="s">
        <v>17</v>
      </c>
      <c r="I1963" t="s">
        <v>29</v>
      </c>
      <c r="J1963">
        <v>52086.22</v>
      </c>
      <c r="K1963">
        <v>57211.83</v>
      </c>
      <c r="L1963" s="20">
        <f>tbl_Budget[[#This Row],[Actual]]-tbl_Budget[[#This Row],[Budget]]</f>
        <v>5125.6100000000006</v>
      </c>
      <c r="M1963" s="3">
        <f>tbl_Budget[[#This Row],[Variance]]/tbl_Budget[[#This Row],[Budget]]</f>
        <v>9.8406257931560409E-2</v>
      </c>
      <c r="N1963" t="str">
        <f>IF(tbl_Budget[[#This Row],[Variance_%]]&gt;0.05,"Overspend",IF(tbl_Budget[[#This Row],[Variance_%]]&lt;-0.05,"Underspend","On Budget"))</f>
        <v>Overspend</v>
      </c>
    </row>
    <row r="1964" spans="1:14" hidden="1">
      <c r="A1964" s="1">
        <v>45505</v>
      </c>
      <c r="B1964">
        <v>8</v>
      </c>
      <c r="C1964" t="s">
        <v>44</v>
      </c>
      <c r="D1964" t="s">
        <v>61</v>
      </c>
      <c r="E1964">
        <v>2024</v>
      </c>
      <c r="F1964" t="s">
        <v>28</v>
      </c>
      <c r="G1964" t="s">
        <v>14</v>
      </c>
      <c r="H1964" t="s">
        <v>18</v>
      </c>
      <c r="I1964" t="s">
        <v>29</v>
      </c>
      <c r="J1964">
        <v>52952.18</v>
      </c>
      <c r="K1964">
        <v>56823.59</v>
      </c>
      <c r="L1964" s="20">
        <f>tbl_Budget[[#This Row],[Actual]]-tbl_Budget[[#This Row],[Budget]]</f>
        <v>3871.4099999999962</v>
      </c>
      <c r="M1964" s="3">
        <f>tbl_Budget[[#This Row],[Variance]]/tbl_Budget[[#This Row],[Budget]]</f>
        <v>7.3111437527217882E-2</v>
      </c>
      <c r="N1964" t="str">
        <f>IF(tbl_Budget[[#This Row],[Variance_%]]&gt;0.05,"Overspend",IF(tbl_Budget[[#This Row],[Variance_%]]&lt;-0.05,"Underspend","On Budget"))</f>
        <v>Overspend</v>
      </c>
    </row>
    <row r="1965" spans="1:14" hidden="1">
      <c r="A1965" s="1">
        <v>45505</v>
      </c>
      <c r="B1965">
        <v>8</v>
      </c>
      <c r="C1965" t="s">
        <v>44</v>
      </c>
      <c r="D1965" t="s">
        <v>61</v>
      </c>
      <c r="E1965">
        <v>2024</v>
      </c>
      <c r="F1965" t="s">
        <v>28</v>
      </c>
      <c r="G1965" t="s">
        <v>14</v>
      </c>
      <c r="H1965" t="s">
        <v>19</v>
      </c>
      <c r="I1965" t="s">
        <v>29</v>
      </c>
      <c r="J1965">
        <v>57973.919999999998</v>
      </c>
      <c r="K1965">
        <v>64993.9</v>
      </c>
      <c r="L1965" s="20">
        <f>tbl_Budget[[#This Row],[Actual]]-tbl_Budget[[#This Row],[Budget]]</f>
        <v>7019.9800000000032</v>
      </c>
      <c r="M1965" s="3">
        <f>tbl_Budget[[#This Row],[Variance]]/tbl_Budget[[#This Row],[Budget]]</f>
        <v>0.12108858604006772</v>
      </c>
      <c r="N1965" t="str">
        <f>IF(tbl_Budget[[#This Row],[Variance_%]]&gt;0.05,"Overspend",IF(tbl_Budget[[#This Row],[Variance_%]]&lt;-0.05,"Underspend","On Budget"))</f>
        <v>Overspend</v>
      </c>
    </row>
    <row r="1966" spans="1:14" hidden="1">
      <c r="A1966" s="1">
        <v>45505</v>
      </c>
      <c r="B1966">
        <v>8</v>
      </c>
      <c r="C1966" t="s">
        <v>44</v>
      </c>
      <c r="D1966" t="s">
        <v>61</v>
      </c>
      <c r="E1966">
        <v>2024</v>
      </c>
      <c r="F1966" t="s">
        <v>28</v>
      </c>
      <c r="G1966" t="s">
        <v>20</v>
      </c>
      <c r="H1966" t="s">
        <v>15</v>
      </c>
      <c r="I1966" t="s">
        <v>29</v>
      </c>
      <c r="J1966">
        <v>21422.400000000001</v>
      </c>
      <c r="K1966">
        <v>20742.12</v>
      </c>
      <c r="L1966" s="20">
        <f>tbl_Budget[[#This Row],[Actual]]-tbl_Budget[[#This Row],[Budget]]</f>
        <v>-680.28000000000247</v>
      </c>
      <c r="M1966" s="3">
        <f>tbl_Budget[[#This Row],[Variance]]/tbl_Budget[[#This Row],[Budget]]</f>
        <v>-3.175554559713209E-2</v>
      </c>
      <c r="N1966" t="str">
        <f>IF(tbl_Budget[[#This Row],[Variance_%]]&gt;0.05,"Overspend",IF(tbl_Budget[[#This Row],[Variance_%]]&lt;-0.05,"Underspend","On Budget"))</f>
        <v>On Budget</v>
      </c>
    </row>
    <row r="1967" spans="1:14" hidden="1">
      <c r="A1967" s="1">
        <v>45505</v>
      </c>
      <c r="B1967">
        <v>8</v>
      </c>
      <c r="C1967" t="s">
        <v>44</v>
      </c>
      <c r="D1967" t="s">
        <v>61</v>
      </c>
      <c r="E1967">
        <v>2024</v>
      </c>
      <c r="F1967" t="s">
        <v>28</v>
      </c>
      <c r="G1967" t="s">
        <v>20</v>
      </c>
      <c r="H1967" t="s">
        <v>17</v>
      </c>
      <c r="I1967" t="s">
        <v>29</v>
      </c>
      <c r="J1967">
        <v>20032.46</v>
      </c>
      <c r="K1967">
        <v>23310.2</v>
      </c>
      <c r="L1967" s="20">
        <f>tbl_Budget[[#This Row],[Actual]]-tbl_Budget[[#This Row],[Budget]]</f>
        <v>3277.7400000000016</v>
      </c>
      <c r="M1967" s="3">
        <f>tbl_Budget[[#This Row],[Variance]]/tbl_Budget[[#This Row],[Budget]]</f>
        <v>0.16362144239898654</v>
      </c>
      <c r="N1967" t="str">
        <f>IF(tbl_Budget[[#This Row],[Variance_%]]&gt;0.05,"Overspend",IF(tbl_Budget[[#This Row],[Variance_%]]&lt;-0.05,"Underspend","On Budget"))</f>
        <v>Overspend</v>
      </c>
    </row>
    <row r="1968" spans="1:14" hidden="1">
      <c r="A1968" s="1">
        <v>45505</v>
      </c>
      <c r="B1968">
        <v>8</v>
      </c>
      <c r="C1968" t="s">
        <v>44</v>
      </c>
      <c r="D1968" t="s">
        <v>61</v>
      </c>
      <c r="E1968">
        <v>2024</v>
      </c>
      <c r="F1968" t="s">
        <v>28</v>
      </c>
      <c r="G1968" t="s">
        <v>20</v>
      </c>
      <c r="H1968" t="s">
        <v>18</v>
      </c>
      <c r="I1968" t="s">
        <v>29</v>
      </c>
      <c r="J1968">
        <v>20107.96</v>
      </c>
      <c r="K1968">
        <v>21919.98</v>
      </c>
      <c r="L1968" s="20">
        <f>tbl_Budget[[#This Row],[Actual]]-tbl_Budget[[#This Row],[Budget]]</f>
        <v>1812.0200000000004</v>
      </c>
      <c r="M1968" s="3">
        <f>tbl_Budget[[#This Row],[Variance]]/tbl_Budget[[#This Row],[Budget]]</f>
        <v>9.0114561596502107E-2</v>
      </c>
      <c r="N1968" t="str">
        <f>IF(tbl_Budget[[#This Row],[Variance_%]]&gt;0.05,"Overspend",IF(tbl_Budget[[#This Row],[Variance_%]]&lt;-0.05,"Underspend","On Budget"))</f>
        <v>Overspend</v>
      </c>
    </row>
    <row r="1969" spans="1:14" hidden="1">
      <c r="A1969" s="1">
        <v>45505</v>
      </c>
      <c r="B1969">
        <v>8</v>
      </c>
      <c r="C1969" t="s">
        <v>44</v>
      </c>
      <c r="D1969" t="s">
        <v>61</v>
      </c>
      <c r="E1969">
        <v>2024</v>
      </c>
      <c r="F1969" t="s">
        <v>28</v>
      </c>
      <c r="G1969" t="s">
        <v>20</v>
      </c>
      <c r="H1969" t="s">
        <v>19</v>
      </c>
      <c r="I1969" t="s">
        <v>29</v>
      </c>
      <c r="J1969">
        <v>22572.75</v>
      </c>
      <c r="K1969">
        <v>23485.74</v>
      </c>
      <c r="L1969" s="20">
        <f>tbl_Budget[[#This Row],[Actual]]-tbl_Budget[[#This Row],[Budget]]</f>
        <v>912.9900000000016</v>
      </c>
      <c r="M1969" s="3">
        <f>tbl_Budget[[#This Row],[Variance]]/tbl_Budget[[#This Row],[Budget]]</f>
        <v>4.0446556135163042E-2</v>
      </c>
      <c r="N1969" t="str">
        <f>IF(tbl_Budget[[#This Row],[Variance_%]]&gt;0.05,"Overspend",IF(tbl_Budget[[#This Row],[Variance_%]]&lt;-0.05,"Underspend","On Budget"))</f>
        <v>On Budget</v>
      </c>
    </row>
    <row r="1970" spans="1:14">
      <c r="A1970" s="1">
        <v>45505</v>
      </c>
      <c r="B1970">
        <v>8</v>
      </c>
      <c r="C1970" t="s">
        <v>44</v>
      </c>
      <c r="D1970" t="s">
        <v>61</v>
      </c>
      <c r="E1970">
        <v>2024</v>
      </c>
      <c r="F1970" t="s">
        <v>28</v>
      </c>
      <c r="G1970" t="s">
        <v>21</v>
      </c>
      <c r="H1970" t="s">
        <v>15</v>
      </c>
      <c r="I1970" t="s">
        <v>29</v>
      </c>
      <c r="J1970">
        <v>11988.24</v>
      </c>
      <c r="K1970">
        <v>18184.16</v>
      </c>
      <c r="L1970" s="20">
        <f>tbl_Budget[[#This Row],[Actual]]-tbl_Budget[[#This Row],[Budget]]</f>
        <v>6195.92</v>
      </c>
      <c r="M1970" s="3">
        <f>tbl_Budget[[#This Row],[Variance]]/tbl_Budget[[#This Row],[Budget]]</f>
        <v>0.51683316316656991</v>
      </c>
      <c r="N1970" t="str">
        <f>IF(tbl_Budget[[#This Row],[Variance_%]]&gt;0.05,"Overspend",IF(tbl_Budget[[#This Row],[Variance_%]]&lt;-0.05,"Underspend","On Budget"))</f>
        <v>Overspend</v>
      </c>
    </row>
    <row r="1971" spans="1:14">
      <c r="A1971" s="1">
        <v>45505</v>
      </c>
      <c r="B1971">
        <v>8</v>
      </c>
      <c r="C1971" t="s">
        <v>44</v>
      </c>
      <c r="D1971" t="s">
        <v>61</v>
      </c>
      <c r="E1971">
        <v>2024</v>
      </c>
      <c r="F1971" t="s">
        <v>28</v>
      </c>
      <c r="G1971" t="s">
        <v>21</v>
      </c>
      <c r="H1971" t="s">
        <v>17</v>
      </c>
      <c r="I1971" t="s">
        <v>29</v>
      </c>
      <c r="J1971">
        <v>11321.02</v>
      </c>
      <c r="K1971">
        <v>14109.71</v>
      </c>
      <c r="L1971" s="20">
        <f>tbl_Budget[[#This Row],[Actual]]-tbl_Budget[[#This Row],[Budget]]</f>
        <v>2788.6899999999987</v>
      </c>
      <c r="M1971" s="3">
        <f>tbl_Budget[[#This Row],[Variance]]/tbl_Budget[[#This Row],[Budget]]</f>
        <v>0.24632851103522463</v>
      </c>
      <c r="N1971" t="str">
        <f>IF(tbl_Budget[[#This Row],[Variance_%]]&gt;0.05,"Overspend",IF(tbl_Budget[[#This Row],[Variance_%]]&lt;-0.05,"Underspend","On Budget"))</f>
        <v>Overspend</v>
      </c>
    </row>
    <row r="1972" spans="1:14">
      <c r="A1972" s="1">
        <v>45505</v>
      </c>
      <c r="B1972">
        <v>8</v>
      </c>
      <c r="C1972" t="s">
        <v>44</v>
      </c>
      <c r="D1972" t="s">
        <v>61</v>
      </c>
      <c r="E1972">
        <v>2024</v>
      </c>
      <c r="F1972" t="s">
        <v>28</v>
      </c>
      <c r="G1972" t="s">
        <v>21</v>
      </c>
      <c r="H1972" t="s">
        <v>18</v>
      </c>
      <c r="I1972" t="s">
        <v>29</v>
      </c>
      <c r="J1972">
        <v>11277.87</v>
      </c>
      <c r="K1972">
        <v>15731.75</v>
      </c>
      <c r="L1972" s="20">
        <f>tbl_Budget[[#This Row],[Actual]]-tbl_Budget[[#This Row],[Budget]]</f>
        <v>4453.8799999999992</v>
      </c>
      <c r="M1972" s="3">
        <f>tbl_Budget[[#This Row],[Variance]]/tbl_Budget[[#This Row],[Budget]]</f>
        <v>0.39492209078487328</v>
      </c>
      <c r="N1972" t="str">
        <f>IF(tbl_Budget[[#This Row],[Variance_%]]&gt;0.05,"Overspend",IF(tbl_Budget[[#This Row],[Variance_%]]&lt;-0.05,"Underspend","On Budget"))</f>
        <v>Overspend</v>
      </c>
    </row>
    <row r="1973" spans="1:14">
      <c r="A1973" s="1">
        <v>45505</v>
      </c>
      <c r="B1973">
        <v>8</v>
      </c>
      <c r="C1973" t="s">
        <v>44</v>
      </c>
      <c r="D1973" t="s">
        <v>61</v>
      </c>
      <c r="E1973">
        <v>2024</v>
      </c>
      <c r="F1973" t="s">
        <v>28</v>
      </c>
      <c r="G1973" t="s">
        <v>21</v>
      </c>
      <c r="H1973" t="s">
        <v>19</v>
      </c>
      <c r="I1973" t="s">
        <v>29</v>
      </c>
      <c r="J1973">
        <v>12604.13</v>
      </c>
      <c r="K1973">
        <v>19113.7</v>
      </c>
      <c r="L1973" s="20">
        <f>tbl_Budget[[#This Row],[Actual]]-tbl_Budget[[#This Row],[Budget]]</f>
        <v>6509.5700000000015</v>
      </c>
      <c r="M1973" s="3">
        <f>tbl_Budget[[#This Row],[Variance]]/tbl_Budget[[#This Row],[Budget]]</f>
        <v>0.51646325450467445</v>
      </c>
      <c r="N1973" t="str">
        <f>IF(tbl_Budget[[#This Row],[Variance_%]]&gt;0.05,"Overspend",IF(tbl_Budget[[#This Row],[Variance_%]]&lt;-0.05,"Underspend","On Budget"))</f>
        <v>Overspend</v>
      </c>
    </row>
    <row r="1974" spans="1:14" hidden="1">
      <c r="A1974" s="1">
        <v>45505</v>
      </c>
      <c r="B1974">
        <v>8</v>
      </c>
      <c r="C1974" t="s">
        <v>44</v>
      </c>
      <c r="D1974" t="s">
        <v>61</v>
      </c>
      <c r="E1974">
        <v>2024</v>
      </c>
      <c r="F1974" t="s">
        <v>28</v>
      </c>
      <c r="G1974" t="s">
        <v>22</v>
      </c>
      <c r="H1974" t="s">
        <v>15</v>
      </c>
      <c r="I1974" t="s">
        <v>29</v>
      </c>
      <c r="J1974">
        <v>12158.82</v>
      </c>
      <c r="K1974">
        <v>12794.78</v>
      </c>
      <c r="L1974" s="20">
        <f>tbl_Budget[[#This Row],[Actual]]-tbl_Budget[[#This Row],[Budget]]</f>
        <v>635.96000000000095</v>
      </c>
      <c r="M1974" s="3">
        <f>tbl_Budget[[#This Row],[Variance]]/tbl_Budget[[#This Row],[Budget]]</f>
        <v>5.230441769842805E-2</v>
      </c>
      <c r="N1974" t="str">
        <f>IF(tbl_Budget[[#This Row],[Variance_%]]&gt;0.05,"Overspend",IF(tbl_Budget[[#This Row],[Variance_%]]&lt;-0.05,"Underspend","On Budget"))</f>
        <v>Overspend</v>
      </c>
    </row>
    <row r="1975" spans="1:14" hidden="1">
      <c r="A1975" s="1">
        <v>45505</v>
      </c>
      <c r="B1975">
        <v>8</v>
      </c>
      <c r="C1975" t="s">
        <v>44</v>
      </c>
      <c r="D1975" t="s">
        <v>61</v>
      </c>
      <c r="E1975">
        <v>2024</v>
      </c>
      <c r="F1975" t="s">
        <v>28</v>
      </c>
      <c r="G1975" t="s">
        <v>22</v>
      </c>
      <c r="H1975" t="s">
        <v>17</v>
      </c>
      <c r="I1975" t="s">
        <v>29</v>
      </c>
      <c r="J1975">
        <v>11603.29</v>
      </c>
      <c r="K1975">
        <v>10627.87</v>
      </c>
      <c r="L1975" s="20">
        <f>tbl_Budget[[#This Row],[Actual]]-tbl_Budget[[#This Row],[Budget]]</f>
        <v>-975.42000000000007</v>
      </c>
      <c r="M1975" s="3">
        <f>tbl_Budget[[#This Row],[Variance]]/tbl_Budget[[#This Row],[Budget]]</f>
        <v>-8.4064088719664851E-2</v>
      </c>
      <c r="N1975" t="str">
        <f>IF(tbl_Budget[[#This Row],[Variance_%]]&gt;0.05,"Overspend",IF(tbl_Budget[[#This Row],[Variance_%]]&lt;-0.05,"Underspend","On Budget"))</f>
        <v>Underspend</v>
      </c>
    </row>
    <row r="1976" spans="1:14" hidden="1">
      <c r="A1976" s="1">
        <v>45505</v>
      </c>
      <c r="B1976">
        <v>8</v>
      </c>
      <c r="C1976" t="s">
        <v>44</v>
      </c>
      <c r="D1976" t="s">
        <v>61</v>
      </c>
      <c r="E1976">
        <v>2024</v>
      </c>
      <c r="F1976" t="s">
        <v>28</v>
      </c>
      <c r="G1976" t="s">
        <v>22</v>
      </c>
      <c r="H1976" t="s">
        <v>18</v>
      </c>
      <c r="I1976" t="s">
        <v>29</v>
      </c>
      <c r="J1976">
        <v>12340.09</v>
      </c>
      <c r="K1976">
        <v>14496.57</v>
      </c>
      <c r="L1976" s="20">
        <f>tbl_Budget[[#This Row],[Actual]]-tbl_Budget[[#This Row],[Budget]]</f>
        <v>2156.4799999999996</v>
      </c>
      <c r="M1976" s="3">
        <f>tbl_Budget[[#This Row],[Variance]]/tbl_Budget[[#This Row],[Budget]]</f>
        <v>0.17475399288011673</v>
      </c>
      <c r="N1976" t="str">
        <f>IF(tbl_Budget[[#This Row],[Variance_%]]&gt;0.05,"Overspend",IF(tbl_Budget[[#This Row],[Variance_%]]&lt;-0.05,"Underspend","On Budget"))</f>
        <v>Overspend</v>
      </c>
    </row>
    <row r="1977" spans="1:14" hidden="1">
      <c r="A1977" s="1">
        <v>45505</v>
      </c>
      <c r="B1977">
        <v>8</v>
      </c>
      <c r="C1977" t="s">
        <v>44</v>
      </c>
      <c r="D1977" t="s">
        <v>61</v>
      </c>
      <c r="E1977">
        <v>2024</v>
      </c>
      <c r="F1977" t="s">
        <v>28</v>
      </c>
      <c r="G1977" t="s">
        <v>22</v>
      </c>
      <c r="H1977" t="s">
        <v>19</v>
      </c>
      <c r="I1977" t="s">
        <v>29</v>
      </c>
      <c r="J1977">
        <v>13320.58</v>
      </c>
      <c r="K1977">
        <v>12113.29</v>
      </c>
      <c r="L1977" s="20">
        <f>tbl_Budget[[#This Row],[Actual]]-tbl_Budget[[#This Row],[Budget]]</f>
        <v>-1207.2899999999991</v>
      </c>
      <c r="M1977" s="3">
        <f>tbl_Budget[[#This Row],[Variance]]/tbl_Budget[[#This Row],[Budget]]</f>
        <v>-9.0633440886207589E-2</v>
      </c>
      <c r="N1977" t="str">
        <f>IF(tbl_Budget[[#This Row],[Variance_%]]&gt;0.05,"Overspend",IF(tbl_Budget[[#This Row],[Variance_%]]&lt;-0.05,"Underspend","On Budget"))</f>
        <v>Underspend</v>
      </c>
    </row>
    <row r="1978" spans="1:14" hidden="1">
      <c r="A1978" s="1">
        <v>45505</v>
      </c>
      <c r="B1978">
        <v>8</v>
      </c>
      <c r="C1978" t="s">
        <v>44</v>
      </c>
      <c r="D1978" t="s">
        <v>61</v>
      </c>
      <c r="E1978">
        <v>2024</v>
      </c>
      <c r="F1978" t="s">
        <v>28</v>
      </c>
      <c r="G1978" t="s">
        <v>23</v>
      </c>
      <c r="H1978" t="s">
        <v>15</v>
      </c>
      <c r="I1978" t="s">
        <v>29</v>
      </c>
      <c r="J1978">
        <v>8115.26</v>
      </c>
      <c r="K1978">
        <v>9176.85</v>
      </c>
      <c r="L1978" s="20">
        <f>tbl_Budget[[#This Row],[Actual]]-tbl_Budget[[#This Row],[Budget]]</f>
        <v>1061.5900000000001</v>
      </c>
      <c r="M1978" s="3">
        <f>tbl_Budget[[#This Row],[Variance]]/tbl_Budget[[#This Row],[Budget]]</f>
        <v>0.13081404662327517</v>
      </c>
      <c r="N1978" t="str">
        <f>IF(tbl_Budget[[#This Row],[Variance_%]]&gt;0.05,"Overspend",IF(tbl_Budget[[#This Row],[Variance_%]]&lt;-0.05,"Underspend","On Budget"))</f>
        <v>Overspend</v>
      </c>
    </row>
    <row r="1979" spans="1:14" hidden="1">
      <c r="A1979" s="1">
        <v>45505</v>
      </c>
      <c r="B1979">
        <v>8</v>
      </c>
      <c r="C1979" t="s">
        <v>44</v>
      </c>
      <c r="D1979" t="s">
        <v>61</v>
      </c>
      <c r="E1979">
        <v>2024</v>
      </c>
      <c r="F1979" t="s">
        <v>28</v>
      </c>
      <c r="G1979" t="s">
        <v>23</v>
      </c>
      <c r="H1979" t="s">
        <v>17</v>
      </c>
      <c r="I1979" t="s">
        <v>29</v>
      </c>
      <c r="J1979">
        <v>7393.56</v>
      </c>
      <c r="K1979">
        <v>8488.4</v>
      </c>
      <c r="L1979" s="20">
        <f>tbl_Budget[[#This Row],[Actual]]-tbl_Budget[[#This Row],[Budget]]</f>
        <v>1094.8399999999992</v>
      </c>
      <c r="M1979" s="3">
        <f>tbl_Budget[[#This Row],[Variance]]/tbl_Budget[[#This Row],[Budget]]</f>
        <v>0.14808022116544658</v>
      </c>
      <c r="N1979" t="str">
        <f>IF(tbl_Budget[[#This Row],[Variance_%]]&gt;0.05,"Overspend",IF(tbl_Budget[[#This Row],[Variance_%]]&lt;-0.05,"Underspend","On Budget"))</f>
        <v>Overspend</v>
      </c>
    </row>
    <row r="1980" spans="1:14" hidden="1">
      <c r="A1980" s="1">
        <v>45505</v>
      </c>
      <c r="B1980">
        <v>8</v>
      </c>
      <c r="C1980" t="s">
        <v>44</v>
      </c>
      <c r="D1980" t="s">
        <v>61</v>
      </c>
      <c r="E1980">
        <v>2024</v>
      </c>
      <c r="F1980" t="s">
        <v>28</v>
      </c>
      <c r="G1980" t="s">
        <v>23</v>
      </c>
      <c r="H1980" t="s">
        <v>18</v>
      </c>
      <c r="I1980" t="s">
        <v>29</v>
      </c>
      <c r="J1980">
        <v>7661.13</v>
      </c>
      <c r="K1980">
        <v>7648.56</v>
      </c>
      <c r="L1980" s="20">
        <f>tbl_Budget[[#This Row],[Actual]]-tbl_Budget[[#This Row],[Budget]]</f>
        <v>-12.569999999999709</v>
      </c>
      <c r="M1980" s="3">
        <f>tbl_Budget[[#This Row],[Variance]]/tbl_Budget[[#This Row],[Budget]]</f>
        <v>-1.6407501243288795E-3</v>
      </c>
      <c r="N1980" t="str">
        <f>IF(tbl_Budget[[#This Row],[Variance_%]]&gt;0.05,"Overspend",IF(tbl_Budget[[#This Row],[Variance_%]]&lt;-0.05,"Underspend","On Budget"))</f>
        <v>On Budget</v>
      </c>
    </row>
    <row r="1981" spans="1:14" hidden="1">
      <c r="A1981" s="1">
        <v>45505</v>
      </c>
      <c r="B1981">
        <v>8</v>
      </c>
      <c r="C1981" t="s">
        <v>44</v>
      </c>
      <c r="D1981" t="s">
        <v>61</v>
      </c>
      <c r="E1981">
        <v>2024</v>
      </c>
      <c r="F1981" t="s">
        <v>28</v>
      </c>
      <c r="G1981" t="s">
        <v>23</v>
      </c>
      <c r="H1981" t="s">
        <v>19</v>
      </c>
      <c r="I1981" t="s">
        <v>29</v>
      </c>
      <c r="J1981">
        <v>8024.89</v>
      </c>
      <c r="K1981">
        <v>9525.41</v>
      </c>
      <c r="L1981" s="20">
        <f>tbl_Budget[[#This Row],[Actual]]-tbl_Budget[[#This Row],[Budget]]</f>
        <v>1500.5199999999995</v>
      </c>
      <c r="M1981" s="3">
        <f>tbl_Budget[[#This Row],[Variance]]/tbl_Budget[[#This Row],[Budget]]</f>
        <v>0.18698324836851341</v>
      </c>
      <c r="N1981" t="str">
        <f>IF(tbl_Budget[[#This Row],[Variance_%]]&gt;0.05,"Overspend",IF(tbl_Budget[[#This Row],[Variance_%]]&lt;-0.05,"Underspend","On Budget"))</f>
        <v>Overspend</v>
      </c>
    </row>
    <row r="1982" spans="1:14" hidden="1">
      <c r="A1982" s="1">
        <v>45505</v>
      </c>
      <c r="B1982">
        <v>8</v>
      </c>
      <c r="C1982" t="s">
        <v>44</v>
      </c>
      <c r="D1982" t="s">
        <v>61</v>
      </c>
      <c r="E1982">
        <v>2024</v>
      </c>
      <c r="F1982" t="s">
        <v>30</v>
      </c>
      <c r="G1982" t="s">
        <v>14</v>
      </c>
      <c r="H1982" t="s">
        <v>15</v>
      </c>
      <c r="I1982" t="s">
        <v>31</v>
      </c>
      <c r="J1982">
        <v>45642.44</v>
      </c>
      <c r="K1982">
        <v>44409.13</v>
      </c>
      <c r="L1982" s="20">
        <f>tbl_Budget[[#This Row],[Actual]]-tbl_Budget[[#This Row],[Budget]]</f>
        <v>-1233.3100000000049</v>
      </c>
      <c r="M1982" s="3">
        <f>tbl_Budget[[#This Row],[Variance]]/tbl_Budget[[#This Row],[Budget]]</f>
        <v>-2.7021123322942528E-2</v>
      </c>
      <c r="N1982" t="str">
        <f>IF(tbl_Budget[[#This Row],[Variance_%]]&gt;0.05,"Overspend",IF(tbl_Budget[[#This Row],[Variance_%]]&lt;-0.05,"Underspend","On Budget"))</f>
        <v>On Budget</v>
      </c>
    </row>
    <row r="1983" spans="1:14" hidden="1">
      <c r="A1983" s="1">
        <v>45505</v>
      </c>
      <c r="B1983">
        <v>8</v>
      </c>
      <c r="C1983" t="s">
        <v>44</v>
      </c>
      <c r="D1983" t="s">
        <v>61</v>
      </c>
      <c r="E1983">
        <v>2024</v>
      </c>
      <c r="F1983" t="s">
        <v>30</v>
      </c>
      <c r="G1983" t="s">
        <v>14</v>
      </c>
      <c r="H1983" t="s">
        <v>17</v>
      </c>
      <c r="I1983" t="s">
        <v>31</v>
      </c>
      <c r="J1983">
        <v>42189.84</v>
      </c>
      <c r="K1983">
        <v>41577.67</v>
      </c>
      <c r="L1983" s="20">
        <f>tbl_Budget[[#This Row],[Actual]]-tbl_Budget[[#This Row],[Budget]]</f>
        <v>-612.16999999999825</v>
      </c>
      <c r="M1983" s="3">
        <f>tbl_Budget[[#This Row],[Variance]]/tbl_Budget[[#This Row],[Budget]]</f>
        <v>-1.450989148098211E-2</v>
      </c>
      <c r="N1983" t="str">
        <f>IF(tbl_Budget[[#This Row],[Variance_%]]&gt;0.05,"Overspend",IF(tbl_Budget[[#This Row],[Variance_%]]&lt;-0.05,"Underspend","On Budget"))</f>
        <v>On Budget</v>
      </c>
    </row>
    <row r="1984" spans="1:14" hidden="1">
      <c r="A1984" s="1">
        <v>45505</v>
      </c>
      <c r="B1984">
        <v>8</v>
      </c>
      <c r="C1984" t="s">
        <v>44</v>
      </c>
      <c r="D1984" t="s">
        <v>61</v>
      </c>
      <c r="E1984">
        <v>2024</v>
      </c>
      <c r="F1984" t="s">
        <v>30</v>
      </c>
      <c r="G1984" t="s">
        <v>14</v>
      </c>
      <c r="H1984" t="s">
        <v>18</v>
      </c>
      <c r="I1984" t="s">
        <v>31</v>
      </c>
      <c r="J1984">
        <v>43967.75</v>
      </c>
      <c r="K1984">
        <v>46177.97</v>
      </c>
      <c r="L1984" s="20">
        <f>tbl_Budget[[#This Row],[Actual]]-tbl_Budget[[#This Row],[Budget]]</f>
        <v>2210.2200000000012</v>
      </c>
      <c r="M1984" s="3">
        <f>tbl_Budget[[#This Row],[Variance]]/tbl_Budget[[#This Row],[Budget]]</f>
        <v>5.0269117705591053E-2</v>
      </c>
      <c r="N1984" t="str">
        <f>IF(tbl_Budget[[#This Row],[Variance_%]]&gt;0.05,"Overspend",IF(tbl_Budget[[#This Row],[Variance_%]]&lt;-0.05,"Underspend","On Budget"))</f>
        <v>Overspend</v>
      </c>
    </row>
    <row r="1985" spans="1:14" hidden="1">
      <c r="A1985" s="1">
        <v>45505</v>
      </c>
      <c r="B1985">
        <v>8</v>
      </c>
      <c r="C1985" t="s">
        <v>44</v>
      </c>
      <c r="D1985" t="s">
        <v>61</v>
      </c>
      <c r="E1985">
        <v>2024</v>
      </c>
      <c r="F1985" t="s">
        <v>30</v>
      </c>
      <c r="G1985" t="s">
        <v>14</v>
      </c>
      <c r="H1985" t="s">
        <v>19</v>
      </c>
      <c r="I1985" t="s">
        <v>31</v>
      </c>
      <c r="J1985">
        <v>45960.01</v>
      </c>
      <c r="K1985">
        <v>45099.79</v>
      </c>
      <c r="L1985" s="20">
        <f>tbl_Budget[[#This Row],[Actual]]-tbl_Budget[[#This Row],[Budget]]</f>
        <v>-860.22000000000116</v>
      </c>
      <c r="M1985" s="3">
        <f>tbl_Budget[[#This Row],[Variance]]/tbl_Budget[[#This Row],[Budget]]</f>
        <v>-1.8716706110377287E-2</v>
      </c>
      <c r="N1985" t="str">
        <f>IF(tbl_Budget[[#This Row],[Variance_%]]&gt;0.05,"Overspend",IF(tbl_Budget[[#This Row],[Variance_%]]&lt;-0.05,"Underspend","On Budget"))</f>
        <v>On Budget</v>
      </c>
    </row>
    <row r="1986" spans="1:14" hidden="1">
      <c r="A1986" s="1">
        <v>45505</v>
      </c>
      <c r="B1986">
        <v>8</v>
      </c>
      <c r="C1986" t="s">
        <v>44</v>
      </c>
      <c r="D1986" t="s">
        <v>61</v>
      </c>
      <c r="E1986">
        <v>2024</v>
      </c>
      <c r="F1986" t="s">
        <v>30</v>
      </c>
      <c r="G1986" t="s">
        <v>20</v>
      </c>
      <c r="H1986" t="s">
        <v>15</v>
      </c>
      <c r="I1986" t="s">
        <v>31</v>
      </c>
      <c r="J1986">
        <v>16729.740000000002</v>
      </c>
      <c r="K1986">
        <v>16710.5</v>
      </c>
      <c r="L1986" s="20">
        <f>tbl_Budget[[#This Row],[Actual]]-tbl_Budget[[#This Row],[Budget]]</f>
        <v>-19.240000000001601</v>
      </c>
      <c r="M1986" s="3">
        <f>tbl_Budget[[#This Row],[Variance]]/tbl_Budget[[#This Row],[Budget]]</f>
        <v>-1.1500477592599526E-3</v>
      </c>
      <c r="N1986" t="str">
        <f>IF(tbl_Budget[[#This Row],[Variance_%]]&gt;0.05,"Overspend",IF(tbl_Budget[[#This Row],[Variance_%]]&lt;-0.05,"Underspend","On Budget"))</f>
        <v>On Budget</v>
      </c>
    </row>
    <row r="1987" spans="1:14" hidden="1">
      <c r="A1987" s="1">
        <v>45505</v>
      </c>
      <c r="B1987">
        <v>8</v>
      </c>
      <c r="C1987" t="s">
        <v>44</v>
      </c>
      <c r="D1987" t="s">
        <v>61</v>
      </c>
      <c r="E1987">
        <v>2024</v>
      </c>
      <c r="F1987" t="s">
        <v>30</v>
      </c>
      <c r="G1987" t="s">
        <v>20</v>
      </c>
      <c r="H1987" t="s">
        <v>17</v>
      </c>
      <c r="I1987" t="s">
        <v>31</v>
      </c>
      <c r="J1987">
        <v>16187.75</v>
      </c>
      <c r="K1987">
        <v>16660.75</v>
      </c>
      <c r="L1987" s="20">
        <f>tbl_Budget[[#This Row],[Actual]]-tbl_Budget[[#This Row],[Budget]]</f>
        <v>473</v>
      </c>
      <c r="M1987" s="3">
        <f>tbl_Budget[[#This Row],[Variance]]/tbl_Budget[[#This Row],[Budget]]</f>
        <v>2.9219625951722752E-2</v>
      </c>
      <c r="N1987" t="str">
        <f>IF(tbl_Budget[[#This Row],[Variance_%]]&gt;0.05,"Overspend",IF(tbl_Budget[[#This Row],[Variance_%]]&lt;-0.05,"Underspend","On Budget"))</f>
        <v>On Budget</v>
      </c>
    </row>
    <row r="1988" spans="1:14" hidden="1">
      <c r="A1988" s="1">
        <v>45505</v>
      </c>
      <c r="B1988">
        <v>8</v>
      </c>
      <c r="C1988" t="s">
        <v>44</v>
      </c>
      <c r="D1988" t="s">
        <v>61</v>
      </c>
      <c r="E1988">
        <v>2024</v>
      </c>
      <c r="F1988" t="s">
        <v>30</v>
      </c>
      <c r="G1988" t="s">
        <v>20</v>
      </c>
      <c r="H1988" t="s">
        <v>18</v>
      </c>
      <c r="I1988" t="s">
        <v>31</v>
      </c>
      <c r="J1988">
        <v>16006.74</v>
      </c>
      <c r="K1988">
        <v>15155.88</v>
      </c>
      <c r="L1988" s="20">
        <f>tbl_Budget[[#This Row],[Actual]]-tbl_Budget[[#This Row],[Budget]]</f>
        <v>-850.86000000000058</v>
      </c>
      <c r="M1988" s="3">
        <f>tbl_Budget[[#This Row],[Variance]]/tbl_Budget[[#This Row],[Budget]]</f>
        <v>-5.31563578842413E-2</v>
      </c>
      <c r="N1988" t="str">
        <f>IF(tbl_Budget[[#This Row],[Variance_%]]&gt;0.05,"Overspend",IF(tbl_Budget[[#This Row],[Variance_%]]&lt;-0.05,"Underspend","On Budget"))</f>
        <v>Underspend</v>
      </c>
    </row>
    <row r="1989" spans="1:14" hidden="1">
      <c r="A1989" s="1">
        <v>45505</v>
      </c>
      <c r="B1989">
        <v>8</v>
      </c>
      <c r="C1989" t="s">
        <v>44</v>
      </c>
      <c r="D1989" t="s">
        <v>61</v>
      </c>
      <c r="E1989">
        <v>2024</v>
      </c>
      <c r="F1989" t="s">
        <v>30</v>
      </c>
      <c r="G1989" t="s">
        <v>20</v>
      </c>
      <c r="H1989" t="s">
        <v>19</v>
      </c>
      <c r="I1989" t="s">
        <v>31</v>
      </c>
      <c r="J1989">
        <v>17701.3</v>
      </c>
      <c r="K1989">
        <v>18387.990000000002</v>
      </c>
      <c r="L1989" s="20">
        <f>tbl_Budget[[#This Row],[Actual]]-tbl_Budget[[#This Row],[Budget]]</f>
        <v>686.69000000000233</v>
      </c>
      <c r="M1989" s="3">
        <f>tbl_Budget[[#This Row],[Variance]]/tbl_Budget[[#This Row],[Budget]]</f>
        <v>3.879319597995641E-2</v>
      </c>
      <c r="N1989" t="str">
        <f>IF(tbl_Budget[[#This Row],[Variance_%]]&gt;0.05,"Overspend",IF(tbl_Budget[[#This Row],[Variance_%]]&lt;-0.05,"Underspend","On Budget"))</f>
        <v>On Budget</v>
      </c>
    </row>
    <row r="1990" spans="1:14">
      <c r="A1990" s="1">
        <v>45505</v>
      </c>
      <c r="B1990">
        <v>8</v>
      </c>
      <c r="C1990" t="s">
        <v>44</v>
      </c>
      <c r="D1990" t="s">
        <v>61</v>
      </c>
      <c r="E1990">
        <v>2024</v>
      </c>
      <c r="F1990" t="s">
        <v>30</v>
      </c>
      <c r="G1990" t="s">
        <v>21</v>
      </c>
      <c r="H1990" t="s">
        <v>15</v>
      </c>
      <c r="I1990" t="s">
        <v>31</v>
      </c>
      <c r="J1990">
        <v>7216.32</v>
      </c>
      <c r="K1990">
        <v>9404.25</v>
      </c>
      <c r="L1990" s="20">
        <f>tbl_Budget[[#This Row],[Actual]]-tbl_Budget[[#This Row],[Budget]]</f>
        <v>2187.9300000000003</v>
      </c>
      <c r="M1990" s="3">
        <f>tbl_Budget[[#This Row],[Variance]]/tbl_Budget[[#This Row],[Budget]]</f>
        <v>0.30319193162165764</v>
      </c>
      <c r="N1990" t="str">
        <f>IF(tbl_Budget[[#This Row],[Variance_%]]&gt;0.05,"Overspend",IF(tbl_Budget[[#This Row],[Variance_%]]&lt;-0.05,"Underspend","On Budget"))</f>
        <v>Overspend</v>
      </c>
    </row>
    <row r="1991" spans="1:14">
      <c r="A1991" s="1">
        <v>45505</v>
      </c>
      <c r="B1991">
        <v>8</v>
      </c>
      <c r="C1991" t="s">
        <v>44</v>
      </c>
      <c r="D1991" t="s">
        <v>61</v>
      </c>
      <c r="E1991">
        <v>2024</v>
      </c>
      <c r="F1991" t="s">
        <v>30</v>
      </c>
      <c r="G1991" t="s">
        <v>21</v>
      </c>
      <c r="H1991" t="s">
        <v>17</v>
      </c>
      <c r="I1991" t="s">
        <v>31</v>
      </c>
      <c r="J1991">
        <v>6742.32</v>
      </c>
      <c r="K1991">
        <v>9291.5</v>
      </c>
      <c r="L1991" s="20">
        <f>tbl_Budget[[#This Row],[Actual]]-tbl_Budget[[#This Row],[Budget]]</f>
        <v>2549.1800000000003</v>
      </c>
      <c r="M1991" s="3">
        <f>tbl_Budget[[#This Row],[Variance]]/tbl_Budget[[#This Row],[Budget]]</f>
        <v>0.37808647468527162</v>
      </c>
      <c r="N1991" t="str">
        <f>IF(tbl_Budget[[#This Row],[Variance_%]]&gt;0.05,"Overspend",IF(tbl_Budget[[#This Row],[Variance_%]]&lt;-0.05,"Underspend","On Budget"))</f>
        <v>Overspend</v>
      </c>
    </row>
    <row r="1992" spans="1:14">
      <c r="A1992" s="1">
        <v>45505</v>
      </c>
      <c r="B1992">
        <v>8</v>
      </c>
      <c r="C1992" t="s">
        <v>44</v>
      </c>
      <c r="D1992" t="s">
        <v>61</v>
      </c>
      <c r="E1992">
        <v>2024</v>
      </c>
      <c r="F1992" t="s">
        <v>30</v>
      </c>
      <c r="G1992" t="s">
        <v>21</v>
      </c>
      <c r="H1992" t="s">
        <v>18</v>
      </c>
      <c r="I1992" t="s">
        <v>31</v>
      </c>
      <c r="J1992">
        <v>6861.73</v>
      </c>
      <c r="K1992">
        <v>9217.4699999999993</v>
      </c>
      <c r="L1992" s="20">
        <f>tbl_Budget[[#This Row],[Actual]]-tbl_Budget[[#This Row],[Budget]]</f>
        <v>2355.7399999999998</v>
      </c>
      <c r="M1992" s="3">
        <f>tbl_Budget[[#This Row],[Variance]]/tbl_Budget[[#This Row],[Budget]]</f>
        <v>0.34331575273291137</v>
      </c>
      <c r="N1992" t="str">
        <f>IF(tbl_Budget[[#This Row],[Variance_%]]&gt;0.05,"Overspend",IF(tbl_Budget[[#This Row],[Variance_%]]&lt;-0.05,"Underspend","On Budget"))</f>
        <v>Overspend</v>
      </c>
    </row>
    <row r="1993" spans="1:14">
      <c r="A1993" s="1">
        <v>45505</v>
      </c>
      <c r="B1993">
        <v>8</v>
      </c>
      <c r="C1993" t="s">
        <v>44</v>
      </c>
      <c r="D1993" t="s">
        <v>61</v>
      </c>
      <c r="E1993">
        <v>2024</v>
      </c>
      <c r="F1993" t="s">
        <v>30</v>
      </c>
      <c r="G1993" t="s">
        <v>21</v>
      </c>
      <c r="H1993" t="s">
        <v>19</v>
      </c>
      <c r="I1993" t="s">
        <v>31</v>
      </c>
      <c r="J1993">
        <v>7218.93</v>
      </c>
      <c r="K1993">
        <v>9745.7000000000007</v>
      </c>
      <c r="L1993" s="20">
        <f>tbl_Budget[[#This Row],[Actual]]-tbl_Budget[[#This Row],[Budget]]</f>
        <v>2526.7700000000004</v>
      </c>
      <c r="M1993" s="3">
        <f>tbl_Budget[[#This Row],[Variance]]/tbl_Budget[[#This Row],[Budget]]</f>
        <v>0.35002001681689671</v>
      </c>
      <c r="N1993" t="str">
        <f>IF(tbl_Budget[[#This Row],[Variance_%]]&gt;0.05,"Overspend",IF(tbl_Budget[[#This Row],[Variance_%]]&lt;-0.05,"Underspend","On Budget"))</f>
        <v>Overspend</v>
      </c>
    </row>
    <row r="1994" spans="1:14" hidden="1">
      <c r="A1994" s="1">
        <v>45505</v>
      </c>
      <c r="B1994">
        <v>8</v>
      </c>
      <c r="C1994" t="s">
        <v>44</v>
      </c>
      <c r="D1994" t="s">
        <v>61</v>
      </c>
      <c r="E1994">
        <v>2024</v>
      </c>
      <c r="F1994" t="s">
        <v>30</v>
      </c>
      <c r="G1994" t="s">
        <v>22</v>
      </c>
      <c r="H1994" t="s">
        <v>15</v>
      </c>
      <c r="I1994" t="s">
        <v>31</v>
      </c>
      <c r="J1994">
        <v>7479.47</v>
      </c>
      <c r="K1994">
        <v>7309.46</v>
      </c>
      <c r="L1994" s="20">
        <f>tbl_Budget[[#This Row],[Actual]]-tbl_Budget[[#This Row],[Budget]]</f>
        <v>-170.01000000000022</v>
      </c>
      <c r="M1994" s="3">
        <f>tbl_Budget[[#This Row],[Variance]]/tbl_Budget[[#This Row],[Budget]]</f>
        <v>-2.2730220189398475E-2</v>
      </c>
      <c r="N1994" t="str">
        <f>IF(tbl_Budget[[#This Row],[Variance_%]]&gt;0.05,"Overspend",IF(tbl_Budget[[#This Row],[Variance_%]]&lt;-0.05,"Underspend","On Budget"))</f>
        <v>On Budget</v>
      </c>
    </row>
    <row r="1995" spans="1:14" hidden="1">
      <c r="A1995" s="1">
        <v>45505</v>
      </c>
      <c r="B1995">
        <v>8</v>
      </c>
      <c r="C1995" t="s">
        <v>44</v>
      </c>
      <c r="D1995" t="s">
        <v>61</v>
      </c>
      <c r="E1995">
        <v>2024</v>
      </c>
      <c r="F1995" t="s">
        <v>30</v>
      </c>
      <c r="G1995" t="s">
        <v>22</v>
      </c>
      <c r="H1995" t="s">
        <v>17</v>
      </c>
      <c r="I1995" t="s">
        <v>31</v>
      </c>
      <c r="J1995">
        <v>7213.99</v>
      </c>
      <c r="K1995">
        <v>6926.43</v>
      </c>
      <c r="L1995" s="20">
        <f>tbl_Budget[[#This Row],[Actual]]-tbl_Budget[[#This Row],[Budget]]</f>
        <v>-287.55999999999949</v>
      </c>
      <c r="M1995" s="3">
        <f>tbl_Budget[[#This Row],[Variance]]/tbl_Budget[[#This Row],[Budget]]</f>
        <v>-3.9861435904402345E-2</v>
      </c>
      <c r="N1995" t="str">
        <f>IF(tbl_Budget[[#This Row],[Variance_%]]&gt;0.05,"Overspend",IF(tbl_Budget[[#This Row],[Variance_%]]&lt;-0.05,"Underspend","On Budget"))</f>
        <v>On Budget</v>
      </c>
    </row>
    <row r="1996" spans="1:14" hidden="1">
      <c r="A1996" s="1">
        <v>45505</v>
      </c>
      <c r="B1996">
        <v>8</v>
      </c>
      <c r="C1996" t="s">
        <v>44</v>
      </c>
      <c r="D1996" t="s">
        <v>61</v>
      </c>
      <c r="E1996">
        <v>2024</v>
      </c>
      <c r="F1996" t="s">
        <v>30</v>
      </c>
      <c r="G1996" t="s">
        <v>22</v>
      </c>
      <c r="H1996" t="s">
        <v>18</v>
      </c>
      <c r="I1996" t="s">
        <v>31</v>
      </c>
      <c r="J1996">
        <v>7238.64</v>
      </c>
      <c r="K1996">
        <v>6880.91</v>
      </c>
      <c r="L1996" s="20">
        <f>tbl_Budget[[#This Row],[Actual]]-tbl_Budget[[#This Row],[Budget]]</f>
        <v>-357.73000000000047</v>
      </c>
      <c r="M1996" s="3">
        <f>tbl_Budget[[#This Row],[Variance]]/tbl_Budget[[#This Row],[Budget]]</f>
        <v>-4.9419504216261678E-2</v>
      </c>
      <c r="N1996" t="str">
        <f>IF(tbl_Budget[[#This Row],[Variance_%]]&gt;0.05,"Overspend",IF(tbl_Budget[[#This Row],[Variance_%]]&lt;-0.05,"Underspend","On Budget"))</f>
        <v>On Budget</v>
      </c>
    </row>
    <row r="1997" spans="1:14" hidden="1">
      <c r="A1997" s="1">
        <v>45505</v>
      </c>
      <c r="B1997">
        <v>8</v>
      </c>
      <c r="C1997" t="s">
        <v>44</v>
      </c>
      <c r="D1997" t="s">
        <v>61</v>
      </c>
      <c r="E1997">
        <v>2024</v>
      </c>
      <c r="F1997" t="s">
        <v>30</v>
      </c>
      <c r="G1997" t="s">
        <v>22</v>
      </c>
      <c r="H1997" t="s">
        <v>19</v>
      </c>
      <c r="I1997" t="s">
        <v>31</v>
      </c>
      <c r="J1997">
        <v>7850.69</v>
      </c>
      <c r="K1997">
        <v>7803.55</v>
      </c>
      <c r="L1997" s="20">
        <f>tbl_Budget[[#This Row],[Actual]]-tbl_Budget[[#This Row],[Budget]]</f>
        <v>-47.139999999999418</v>
      </c>
      <c r="M1997" s="3">
        <f>tbl_Budget[[#This Row],[Variance]]/tbl_Budget[[#This Row],[Budget]]</f>
        <v>-6.0045677513695514E-3</v>
      </c>
      <c r="N1997" t="str">
        <f>IF(tbl_Budget[[#This Row],[Variance_%]]&gt;0.05,"Overspend",IF(tbl_Budget[[#This Row],[Variance_%]]&lt;-0.05,"Underspend","On Budget"))</f>
        <v>On Budget</v>
      </c>
    </row>
    <row r="1998" spans="1:14" hidden="1">
      <c r="A1998" s="1">
        <v>45505</v>
      </c>
      <c r="B1998">
        <v>8</v>
      </c>
      <c r="C1998" t="s">
        <v>44</v>
      </c>
      <c r="D1998" t="s">
        <v>61</v>
      </c>
      <c r="E1998">
        <v>2024</v>
      </c>
      <c r="F1998" t="s">
        <v>30</v>
      </c>
      <c r="G1998" t="s">
        <v>23</v>
      </c>
      <c r="H1998" t="s">
        <v>15</v>
      </c>
      <c r="I1998" t="s">
        <v>31</v>
      </c>
      <c r="J1998">
        <v>6305.14</v>
      </c>
      <c r="K1998">
        <v>6393.74</v>
      </c>
      <c r="L1998" s="20">
        <f>tbl_Budget[[#This Row],[Actual]]-tbl_Budget[[#This Row],[Budget]]</f>
        <v>88.599999999999454</v>
      </c>
      <c r="M1998" s="3">
        <f>tbl_Budget[[#This Row],[Variance]]/tbl_Budget[[#This Row],[Budget]]</f>
        <v>1.4052027393523292E-2</v>
      </c>
      <c r="N1998" t="str">
        <f>IF(tbl_Budget[[#This Row],[Variance_%]]&gt;0.05,"Overspend",IF(tbl_Budget[[#This Row],[Variance_%]]&lt;-0.05,"Underspend","On Budget"))</f>
        <v>On Budget</v>
      </c>
    </row>
    <row r="1999" spans="1:14" hidden="1">
      <c r="A1999" s="1">
        <v>45505</v>
      </c>
      <c r="B1999">
        <v>8</v>
      </c>
      <c r="C1999" t="s">
        <v>44</v>
      </c>
      <c r="D1999" t="s">
        <v>61</v>
      </c>
      <c r="E1999">
        <v>2024</v>
      </c>
      <c r="F1999" t="s">
        <v>30</v>
      </c>
      <c r="G1999" t="s">
        <v>23</v>
      </c>
      <c r="H1999" t="s">
        <v>17</v>
      </c>
      <c r="I1999" t="s">
        <v>31</v>
      </c>
      <c r="J1999">
        <v>5914.74</v>
      </c>
      <c r="K1999">
        <v>5996.31</v>
      </c>
      <c r="L1999" s="20">
        <f>tbl_Budget[[#This Row],[Actual]]-tbl_Budget[[#This Row],[Budget]]</f>
        <v>81.570000000000618</v>
      </c>
      <c r="M1999" s="3">
        <f>tbl_Budget[[#This Row],[Variance]]/tbl_Budget[[#This Row],[Budget]]</f>
        <v>1.3790969679140693E-2</v>
      </c>
      <c r="N1999" t="str">
        <f>IF(tbl_Budget[[#This Row],[Variance_%]]&gt;0.05,"Overspend",IF(tbl_Budget[[#This Row],[Variance_%]]&lt;-0.05,"Underspend","On Budget"))</f>
        <v>On Budget</v>
      </c>
    </row>
    <row r="2000" spans="1:14" hidden="1">
      <c r="A2000" s="1">
        <v>45505</v>
      </c>
      <c r="B2000">
        <v>8</v>
      </c>
      <c r="C2000" t="s">
        <v>44</v>
      </c>
      <c r="D2000" t="s">
        <v>61</v>
      </c>
      <c r="E2000">
        <v>2024</v>
      </c>
      <c r="F2000" t="s">
        <v>30</v>
      </c>
      <c r="G2000" t="s">
        <v>23</v>
      </c>
      <c r="H2000" t="s">
        <v>18</v>
      </c>
      <c r="I2000" t="s">
        <v>31</v>
      </c>
      <c r="J2000">
        <v>6352.72</v>
      </c>
      <c r="K2000">
        <v>6218.46</v>
      </c>
      <c r="L2000" s="20">
        <f>tbl_Budget[[#This Row],[Actual]]-tbl_Budget[[#This Row],[Budget]]</f>
        <v>-134.26000000000022</v>
      </c>
      <c r="M2000" s="3">
        <f>tbl_Budget[[#This Row],[Variance]]/tbl_Budget[[#This Row],[Budget]]</f>
        <v>-2.1134254303668384E-2</v>
      </c>
      <c r="N2000" t="str">
        <f>IF(tbl_Budget[[#This Row],[Variance_%]]&gt;0.05,"Overspend",IF(tbl_Budget[[#This Row],[Variance_%]]&lt;-0.05,"Underspend","On Budget"))</f>
        <v>On Budget</v>
      </c>
    </row>
    <row r="2001" spans="1:14" hidden="1">
      <c r="A2001" s="1">
        <v>45505</v>
      </c>
      <c r="B2001">
        <v>8</v>
      </c>
      <c r="C2001" t="s">
        <v>44</v>
      </c>
      <c r="D2001" t="s">
        <v>61</v>
      </c>
      <c r="E2001">
        <v>2024</v>
      </c>
      <c r="F2001" t="s">
        <v>30</v>
      </c>
      <c r="G2001" t="s">
        <v>23</v>
      </c>
      <c r="H2001" t="s">
        <v>19</v>
      </c>
      <c r="I2001" t="s">
        <v>31</v>
      </c>
      <c r="J2001">
        <v>6624.92</v>
      </c>
      <c r="K2001">
        <v>6668.16</v>
      </c>
      <c r="L2001" s="20">
        <f>tbl_Budget[[#This Row],[Actual]]-tbl_Budget[[#This Row],[Budget]]</f>
        <v>43.239999999999782</v>
      </c>
      <c r="M2001" s="3">
        <f>tbl_Budget[[#This Row],[Variance]]/tbl_Budget[[#This Row],[Budget]]</f>
        <v>6.5268712678794279E-3</v>
      </c>
      <c r="N2001" t="str">
        <f>IF(tbl_Budget[[#This Row],[Variance_%]]&gt;0.05,"Overspend",IF(tbl_Budget[[#This Row],[Variance_%]]&lt;-0.05,"Underspend","On Budget"))</f>
        <v>On Budget</v>
      </c>
    </row>
    <row r="2002" spans="1:14" hidden="1">
      <c r="A2002" s="1">
        <v>45536</v>
      </c>
      <c r="B2002">
        <v>9</v>
      </c>
      <c r="C2002" t="s">
        <v>46</v>
      </c>
      <c r="D2002" t="s">
        <v>62</v>
      </c>
      <c r="E2002">
        <v>2024</v>
      </c>
      <c r="F2002" t="s">
        <v>13</v>
      </c>
      <c r="G2002" t="s">
        <v>14</v>
      </c>
      <c r="H2002" t="s">
        <v>15</v>
      </c>
      <c r="I2002" t="s">
        <v>16</v>
      </c>
      <c r="J2002">
        <v>49673.53</v>
      </c>
      <c r="K2002">
        <v>56006.76</v>
      </c>
      <c r="L2002" s="20">
        <f>tbl_Budget[[#This Row],[Actual]]-tbl_Budget[[#This Row],[Budget]]</f>
        <v>6333.2300000000032</v>
      </c>
      <c r="M2002" s="3">
        <f>tbl_Budget[[#This Row],[Variance]]/tbl_Budget[[#This Row],[Budget]]</f>
        <v>0.12749707943043315</v>
      </c>
      <c r="N2002" t="str">
        <f>IF(tbl_Budget[[#This Row],[Variance_%]]&gt;0.05,"Overspend",IF(tbl_Budget[[#This Row],[Variance_%]]&lt;-0.05,"Underspend","On Budget"))</f>
        <v>Overspend</v>
      </c>
    </row>
    <row r="2003" spans="1:14" hidden="1">
      <c r="A2003" s="1">
        <v>45536</v>
      </c>
      <c r="B2003">
        <v>9</v>
      </c>
      <c r="C2003" t="s">
        <v>46</v>
      </c>
      <c r="D2003" t="s">
        <v>62</v>
      </c>
      <c r="E2003">
        <v>2024</v>
      </c>
      <c r="F2003" t="s">
        <v>13</v>
      </c>
      <c r="G2003" t="s">
        <v>14</v>
      </c>
      <c r="H2003" t="s">
        <v>17</v>
      </c>
      <c r="I2003" t="s">
        <v>16</v>
      </c>
      <c r="J2003">
        <v>48060.19</v>
      </c>
      <c r="K2003">
        <v>55443.79</v>
      </c>
      <c r="L2003" s="20">
        <f>tbl_Budget[[#This Row],[Actual]]-tbl_Budget[[#This Row],[Budget]]</f>
        <v>7383.5999999999985</v>
      </c>
      <c r="M2003" s="3">
        <f>tbl_Budget[[#This Row],[Variance]]/tbl_Budget[[#This Row],[Budget]]</f>
        <v>0.15363235143265139</v>
      </c>
      <c r="N2003" t="str">
        <f>IF(tbl_Budget[[#This Row],[Variance_%]]&gt;0.05,"Overspend",IF(tbl_Budget[[#This Row],[Variance_%]]&lt;-0.05,"Underspend","On Budget"))</f>
        <v>Overspend</v>
      </c>
    </row>
    <row r="2004" spans="1:14" hidden="1">
      <c r="A2004" s="1">
        <v>45536</v>
      </c>
      <c r="B2004">
        <v>9</v>
      </c>
      <c r="C2004" t="s">
        <v>46</v>
      </c>
      <c r="D2004" t="s">
        <v>62</v>
      </c>
      <c r="E2004">
        <v>2024</v>
      </c>
      <c r="F2004" t="s">
        <v>13</v>
      </c>
      <c r="G2004" t="s">
        <v>14</v>
      </c>
      <c r="H2004" t="s">
        <v>18</v>
      </c>
      <c r="I2004" t="s">
        <v>16</v>
      </c>
      <c r="J2004">
        <v>49458.14</v>
      </c>
      <c r="K2004">
        <v>54897.58</v>
      </c>
      <c r="L2004" s="20">
        <f>tbl_Budget[[#This Row],[Actual]]-tbl_Budget[[#This Row],[Budget]]</f>
        <v>5439.4400000000023</v>
      </c>
      <c r="M2004" s="3">
        <f>tbl_Budget[[#This Row],[Variance]]/tbl_Budget[[#This Row],[Budget]]</f>
        <v>0.10998068265405861</v>
      </c>
      <c r="N2004" t="str">
        <f>IF(tbl_Budget[[#This Row],[Variance_%]]&gt;0.05,"Overspend",IF(tbl_Budget[[#This Row],[Variance_%]]&lt;-0.05,"Underspend","On Budget"))</f>
        <v>Overspend</v>
      </c>
    </row>
    <row r="2005" spans="1:14" hidden="1">
      <c r="A2005" s="1">
        <v>45536</v>
      </c>
      <c r="B2005">
        <v>9</v>
      </c>
      <c r="C2005" t="s">
        <v>46</v>
      </c>
      <c r="D2005" t="s">
        <v>62</v>
      </c>
      <c r="E2005">
        <v>2024</v>
      </c>
      <c r="F2005" t="s">
        <v>13</v>
      </c>
      <c r="G2005" t="s">
        <v>14</v>
      </c>
      <c r="H2005" t="s">
        <v>19</v>
      </c>
      <c r="I2005" t="s">
        <v>16</v>
      </c>
      <c r="J2005">
        <v>51749.08</v>
      </c>
      <c r="K2005">
        <v>57228.39</v>
      </c>
      <c r="L2005" s="20">
        <f>tbl_Budget[[#This Row],[Actual]]-tbl_Budget[[#This Row],[Budget]]</f>
        <v>5479.3099999999977</v>
      </c>
      <c r="M2005" s="3">
        <f>tbl_Budget[[#This Row],[Variance]]/tbl_Budget[[#This Row],[Budget]]</f>
        <v>0.10588226882487568</v>
      </c>
      <c r="N2005" t="str">
        <f>IF(tbl_Budget[[#This Row],[Variance_%]]&gt;0.05,"Overspend",IF(tbl_Budget[[#This Row],[Variance_%]]&lt;-0.05,"Underspend","On Budget"))</f>
        <v>Overspend</v>
      </c>
    </row>
    <row r="2006" spans="1:14" hidden="1">
      <c r="A2006" s="1">
        <v>45536</v>
      </c>
      <c r="B2006">
        <v>9</v>
      </c>
      <c r="C2006" t="s">
        <v>46</v>
      </c>
      <c r="D2006" t="s">
        <v>62</v>
      </c>
      <c r="E2006">
        <v>2024</v>
      </c>
      <c r="F2006" t="s">
        <v>13</v>
      </c>
      <c r="G2006" t="s">
        <v>20</v>
      </c>
      <c r="H2006" t="s">
        <v>15</v>
      </c>
      <c r="I2006" t="s">
        <v>16</v>
      </c>
      <c r="J2006">
        <v>18593.11</v>
      </c>
      <c r="K2006">
        <v>22183.279999999999</v>
      </c>
      <c r="L2006" s="20">
        <f>tbl_Budget[[#This Row],[Actual]]-tbl_Budget[[#This Row],[Budget]]</f>
        <v>3590.1699999999983</v>
      </c>
      <c r="M2006" s="3">
        <f>tbl_Budget[[#This Row],[Variance]]/tbl_Budget[[#This Row],[Budget]]</f>
        <v>0.19309141934834992</v>
      </c>
      <c r="N2006" t="str">
        <f>IF(tbl_Budget[[#This Row],[Variance_%]]&gt;0.05,"Overspend",IF(tbl_Budget[[#This Row],[Variance_%]]&lt;-0.05,"Underspend","On Budget"))</f>
        <v>Overspend</v>
      </c>
    </row>
    <row r="2007" spans="1:14" hidden="1">
      <c r="A2007" s="1">
        <v>45536</v>
      </c>
      <c r="B2007">
        <v>9</v>
      </c>
      <c r="C2007" t="s">
        <v>46</v>
      </c>
      <c r="D2007" t="s">
        <v>62</v>
      </c>
      <c r="E2007">
        <v>2024</v>
      </c>
      <c r="F2007" t="s">
        <v>13</v>
      </c>
      <c r="G2007" t="s">
        <v>20</v>
      </c>
      <c r="H2007" t="s">
        <v>17</v>
      </c>
      <c r="I2007" t="s">
        <v>16</v>
      </c>
      <c r="J2007">
        <v>18230.580000000002</v>
      </c>
      <c r="K2007">
        <v>20605.759999999998</v>
      </c>
      <c r="L2007" s="20">
        <f>tbl_Budget[[#This Row],[Actual]]-tbl_Budget[[#This Row],[Budget]]</f>
        <v>2375.1799999999967</v>
      </c>
      <c r="M2007" s="3">
        <f>tbl_Budget[[#This Row],[Variance]]/tbl_Budget[[#This Row],[Budget]]</f>
        <v>0.13028548735147188</v>
      </c>
      <c r="N2007" t="str">
        <f>IF(tbl_Budget[[#This Row],[Variance_%]]&gt;0.05,"Overspend",IF(tbl_Budget[[#This Row],[Variance_%]]&lt;-0.05,"Underspend","On Budget"))</f>
        <v>Overspend</v>
      </c>
    </row>
    <row r="2008" spans="1:14" hidden="1">
      <c r="A2008" s="1">
        <v>45536</v>
      </c>
      <c r="B2008">
        <v>9</v>
      </c>
      <c r="C2008" t="s">
        <v>46</v>
      </c>
      <c r="D2008" t="s">
        <v>62</v>
      </c>
      <c r="E2008">
        <v>2024</v>
      </c>
      <c r="F2008" t="s">
        <v>13</v>
      </c>
      <c r="G2008" t="s">
        <v>20</v>
      </c>
      <c r="H2008" t="s">
        <v>18</v>
      </c>
      <c r="I2008" t="s">
        <v>16</v>
      </c>
      <c r="J2008">
        <v>18713.05</v>
      </c>
      <c r="K2008">
        <v>20402.310000000001</v>
      </c>
      <c r="L2008" s="20">
        <f>tbl_Budget[[#This Row],[Actual]]-tbl_Budget[[#This Row],[Budget]]</f>
        <v>1689.260000000002</v>
      </c>
      <c r="M2008" s="3">
        <f>tbl_Budget[[#This Row],[Variance]]/tbl_Budget[[#This Row],[Budget]]</f>
        <v>9.027176221941384E-2</v>
      </c>
      <c r="N2008" t="str">
        <f>IF(tbl_Budget[[#This Row],[Variance_%]]&gt;0.05,"Overspend",IF(tbl_Budget[[#This Row],[Variance_%]]&lt;-0.05,"Underspend","On Budget"))</f>
        <v>Overspend</v>
      </c>
    </row>
    <row r="2009" spans="1:14" hidden="1">
      <c r="A2009" s="1">
        <v>45536</v>
      </c>
      <c r="B2009">
        <v>9</v>
      </c>
      <c r="C2009" t="s">
        <v>46</v>
      </c>
      <c r="D2009" t="s">
        <v>62</v>
      </c>
      <c r="E2009">
        <v>2024</v>
      </c>
      <c r="F2009" t="s">
        <v>13</v>
      </c>
      <c r="G2009" t="s">
        <v>20</v>
      </c>
      <c r="H2009" t="s">
        <v>19</v>
      </c>
      <c r="I2009" t="s">
        <v>16</v>
      </c>
      <c r="J2009">
        <v>19436.53</v>
      </c>
      <c r="K2009">
        <v>22643.360000000001</v>
      </c>
      <c r="L2009" s="20">
        <f>tbl_Budget[[#This Row],[Actual]]-tbl_Budget[[#This Row],[Budget]]</f>
        <v>3206.8300000000017</v>
      </c>
      <c r="M2009" s="3">
        <f>tbl_Budget[[#This Row],[Variance]]/tbl_Budget[[#This Row],[Budget]]</f>
        <v>0.16498984129368782</v>
      </c>
      <c r="N2009" t="str">
        <f>IF(tbl_Budget[[#This Row],[Variance_%]]&gt;0.05,"Overspend",IF(tbl_Budget[[#This Row],[Variance_%]]&lt;-0.05,"Underspend","On Budget"))</f>
        <v>Overspend</v>
      </c>
    </row>
    <row r="2010" spans="1:14">
      <c r="A2010" s="1">
        <v>45536</v>
      </c>
      <c r="B2010">
        <v>9</v>
      </c>
      <c r="C2010" t="s">
        <v>46</v>
      </c>
      <c r="D2010" t="s">
        <v>62</v>
      </c>
      <c r="E2010">
        <v>2024</v>
      </c>
      <c r="F2010" t="s">
        <v>13</v>
      </c>
      <c r="G2010" t="s">
        <v>21</v>
      </c>
      <c r="H2010" t="s">
        <v>15</v>
      </c>
      <c r="I2010" t="s">
        <v>16</v>
      </c>
      <c r="J2010">
        <v>10334.57</v>
      </c>
      <c r="K2010">
        <v>14901.18</v>
      </c>
      <c r="L2010" s="20">
        <f>tbl_Budget[[#This Row],[Actual]]-tbl_Budget[[#This Row],[Budget]]</f>
        <v>4566.6100000000006</v>
      </c>
      <c r="M2010" s="3">
        <f>tbl_Budget[[#This Row],[Variance]]/tbl_Budget[[#This Row],[Budget]]</f>
        <v>0.44187711728693119</v>
      </c>
      <c r="N2010" t="str">
        <f>IF(tbl_Budget[[#This Row],[Variance_%]]&gt;0.05,"Overspend",IF(tbl_Budget[[#This Row],[Variance_%]]&lt;-0.05,"Underspend","On Budget"))</f>
        <v>Overspend</v>
      </c>
    </row>
    <row r="2011" spans="1:14">
      <c r="A2011" s="1">
        <v>45536</v>
      </c>
      <c r="B2011">
        <v>9</v>
      </c>
      <c r="C2011" t="s">
        <v>46</v>
      </c>
      <c r="D2011" t="s">
        <v>62</v>
      </c>
      <c r="E2011">
        <v>2024</v>
      </c>
      <c r="F2011" t="s">
        <v>13</v>
      </c>
      <c r="G2011" t="s">
        <v>21</v>
      </c>
      <c r="H2011" t="s">
        <v>17</v>
      </c>
      <c r="I2011" t="s">
        <v>16</v>
      </c>
      <c r="J2011">
        <v>10116.67</v>
      </c>
      <c r="K2011">
        <v>14613.34</v>
      </c>
      <c r="L2011" s="20">
        <f>tbl_Budget[[#This Row],[Actual]]-tbl_Budget[[#This Row],[Budget]]</f>
        <v>4496.67</v>
      </c>
      <c r="M2011" s="3">
        <f>tbl_Budget[[#This Row],[Variance]]/tbl_Budget[[#This Row],[Budget]]</f>
        <v>0.44448123740321666</v>
      </c>
      <c r="N2011" t="str">
        <f>IF(tbl_Budget[[#This Row],[Variance_%]]&gt;0.05,"Overspend",IF(tbl_Budget[[#This Row],[Variance_%]]&lt;-0.05,"Underspend","On Budget"))</f>
        <v>Overspend</v>
      </c>
    </row>
    <row r="2012" spans="1:14">
      <c r="A2012" s="1">
        <v>45536</v>
      </c>
      <c r="B2012">
        <v>9</v>
      </c>
      <c r="C2012" t="s">
        <v>46</v>
      </c>
      <c r="D2012" t="s">
        <v>62</v>
      </c>
      <c r="E2012">
        <v>2024</v>
      </c>
      <c r="F2012" t="s">
        <v>13</v>
      </c>
      <c r="G2012" t="s">
        <v>21</v>
      </c>
      <c r="H2012" t="s">
        <v>18</v>
      </c>
      <c r="I2012" t="s">
        <v>16</v>
      </c>
      <c r="J2012">
        <v>10440.77</v>
      </c>
      <c r="K2012">
        <v>15158.73</v>
      </c>
      <c r="L2012" s="20">
        <f>tbl_Budget[[#This Row],[Actual]]-tbl_Budget[[#This Row],[Budget]]</f>
        <v>4717.9599999999991</v>
      </c>
      <c r="M2012" s="3">
        <f>tbl_Budget[[#This Row],[Variance]]/tbl_Budget[[#This Row],[Budget]]</f>
        <v>0.45187854918746406</v>
      </c>
      <c r="N2012" t="str">
        <f>IF(tbl_Budget[[#This Row],[Variance_%]]&gt;0.05,"Overspend",IF(tbl_Budget[[#This Row],[Variance_%]]&lt;-0.05,"Underspend","On Budget"))</f>
        <v>Overspend</v>
      </c>
    </row>
    <row r="2013" spans="1:14">
      <c r="A2013" s="1">
        <v>45536</v>
      </c>
      <c r="B2013">
        <v>9</v>
      </c>
      <c r="C2013" t="s">
        <v>46</v>
      </c>
      <c r="D2013" t="s">
        <v>62</v>
      </c>
      <c r="E2013">
        <v>2024</v>
      </c>
      <c r="F2013" t="s">
        <v>13</v>
      </c>
      <c r="G2013" t="s">
        <v>21</v>
      </c>
      <c r="H2013" t="s">
        <v>19</v>
      </c>
      <c r="I2013" t="s">
        <v>16</v>
      </c>
      <c r="J2013">
        <v>11324.91</v>
      </c>
      <c r="K2013">
        <v>16260.19</v>
      </c>
      <c r="L2013" s="20">
        <f>tbl_Budget[[#This Row],[Actual]]-tbl_Budget[[#This Row],[Budget]]</f>
        <v>4935.2800000000007</v>
      </c>
      <c r="M2013" s="3">
        <f>tbl_Budget[[#This Row],[Variance]]/tbl_Budget[[#This Row],[Budget]]</f>
        <v>0.43578977669579722</v>
      </c>
      <c r="N2013" t="str">
        <f>IF(tbl_Budget[[#This Row],[Variance_%]]&gt;0.05,"Overspend",IF(tbl_Budget[[#This Row],[Variance_%]]&lt;-0.05,"Underspend","On Budget"))</f>
        <v>Overspend</v>
      </c>
    </row>
    <row r="2014" spans="1:14" hidden="1">
      <c r="A2014" s="1">
        <v>45536</v>
      </c>
      <c r="B2014">
        <v>9</v>
      </c>
      <c r="C2014" t="s">
        <v>46</v>
      </c>
      <c r="D2014" t="s">
        <v>62</v>
      </c>
      <c r="E2014">
        <v>2024</v>
      </c>
      <c r="F2014" t="s">
        <v>13</v>
      </c>
      <c r="G2014" t="s">
        <v>22</v>
      </c>
      <c r="H2014" t="s">
        <v>15</v>
      </c>
      <c r="I2014" t="s">
        <v>16</v>
      </c>
      <c r="J2014">
        <v>8098.9</v>
      </c>
      <c r="K2014">
        <v>8962.68</v>
      </c>
      <c r="L2014" s="20">
        <f>tbl_Budget[[#This Row],[Actual]]-tbl_Budget[[#This Row],[Budget]]</f>
        <v>863.78000000000065</v>
      </c>
      <c r="M2014" s="3">
        <f>tbl_Budget[[#This Row],[Variance]]/tbl_Budget[[#This Row],[Budget]]</f>
        <v>0.10665399004803131</v>
      </c>
      <c r="N2014" t="str">
        <f>IF(tbl_Budget[[#This Row],[Variance_%]]&gt;0.05,"Overspend",IF(tbl_Budget[[#This Row],[Variance_%]]&lt;-0.05,"Underspend","On Budget"))</f>
        <v>Overspend</v>
      </c>
    </row>
    <row r="2015" spans="1:14" hidden="1">
      <c r="A2015" s="1">
        <v>45536</v>
      </c>
      <c r="B2015">
        <v>9</v>
      </c>
      <c r="C2015" t="s">
        <v>46</v>
      </c>
      <c r="D2015" t="s">
        <v>62</v>
      </c>
      <c r="E2015">
        <v>2024</v>
      </c>
      <c r="F2015" t="s">
        <v>13</v>
      </c>
      <c r="G2015" t="s">
        <v>22</v>
      </c>
      <c r="H2015" t="s">
        <v>17</v>
      </c>
      <c r="I2015" t="s">
        <v>16</v>
      </c>
      <c r="J2015">
        <v>7918.17</v>
      </c>
      <c r="K2015">
        <v>9222.26</v>
      </c>
      <c r="L2015" s="20">
        <f>tbl_Budget[[#This Row],[Actual]]-tbl_Budget[[#This Row],[Budget]]</f>
        <v>1304.0900000000001</v>
      </c>
      <c r="M2015" s="3">
        <f>tbl_Budget[[#This Row],[Variance]]/tbl_Budget[[#This Row],[Budget]]</f>
        <v>0.16469588301337307</v>
      </c>
      <c r="N2015" t="str">
        <f>IF(tbl_Budget[[#This Row],[Variance_%]]&gt;0.05,"Overspend",IF(tbl_Budget[[#This Row],[Variance_%]]&lt;-0.05,"Underspend","On Budget"))</f>
        <v>Overspend</v>
      </c>
    </row>
    <row r="2016" spans="1:14" hidden="1">
      <c r="A2016" s="1">
        <v>45536</v>
      </c>
      <c r="B2016">
        <v>9</v>
      </c>
      <c r="C2016" t="s">
        <v>46</v>
      </c>
      <c r="D2016" t="s">
        <v>62</v>
      </c>
      <c r="E2016">
        <v>2024</v>
      </c>
      <c r="F2016" t="s">
        <v>13</v>
      </c>
      <c r="G2016" t="s">
        <v>22</v>
      </c>
      <c r="H2016" t="s">
        <v>18</v>
      </c>
      <c r="I2016" t="s">
        <v>16</v>
      </c>
      <c r="J2016">
        <v>8143.76</v>
      </c>
      <c r="K2016">
        <v>9301.1</v>
      </c>
      <c r="L2016" s="20">
        <f>tbl_Budget[[#This Row],[Actual]]-tbl_Budget[[#This Row],[Budget]]</f>
        <v>1157.3400000000001</v>
      </c>
      <c r="M2016" s="3">
        <f>tbl_Budget[[#This Row],[Variance]]/tbl_Budget[[#This Row],[Budget]]</f>
        <v>0.14211371651423912</v>
      </c>
      <c r="N2016" t="str">
        <f>IF(tbl_Budget[[#This Row],[Variance_%]]&gt;0.05,"Overspend",IF(tbl_Budget[[#This Row],[Variance_%]]&lt;-0.05,"Underspend","On Budget"))</f>
        <v>Overspend</v>
      </c>
    </row>
    <row r="2017" spans="1:14" hidden="1">
      <c r="A2017" s="1">
        <v>45536</v>
      </c>
      <c r="B2017">
        <v>9</v>
      </c>
      <c r="C2017" t="s">
        <v>46</v>
      </c>
      <c r="D2017" t="s">
        <v>62</v>
      </c>
      <c r="E2017">
        <v>2024</v>
      </c>
      <c r="F2017" t="s">
        <v>13</v>
      </c>
      <c r="G2017" t="s">
        <v>22</v>
      </c>
      <c r="H2017" t="s">
        <v>19</v>
      </c>
      <c r="I2017" t="s">
        <v>16</v>
      </c>
      <c r="J2017">
        <v>8693.2000000000007</v>
      </c>
      <c r="K2017">
        <v>10307.42</v>
      </c>
      <c r="L2017" s="20">
        <f>tbl_Budget[[#This Row],[Actual]]-tbl_Budget[[#This Row],[Budget]]</f>
        <v>1614.2199999999993</v>
      </c>
      <c r="M2017" s="3">
        <f>tbl_Budget[[#This Row],[Variance]]/tbl_Budget[[#This Row],[Budget]]</f>
        <v>0.18568766392122568</v>
      </c>
      <c r="N2017" t="str">
        <f>IF(tbl_Budget[[#This Row],[Variance_%]]&gt;0.05,"Overspend",IF(tbl_Budget[[#This Row],[Variance_%]]&lt;-0.05,"Underspend","On Budget"))</f>
        <v>Overspend</v>
      </c>
    </row>
    <row r="2018" spans="1:14" hidden="1">
      <c r="A2018" s="1">
        <v>45536</v>
      </c>
      <c r="B2018">
        <v>9</v>
      </c>
      <c r="C2018" t="s">
        <v>46</v>
      </c>
      <c r="D2018" t="s">
        <v>62</v>
      </c>
      <c r="E2018">
        <v>2024</v>
      </c>
      <c r="F2018" t="s">
        <v>13</v>
      </c>
      <c r="G2018" t="s">
        <v>23</v>
      </c>
      <c r="H2018" t="s">
        <v>15</v>
      </c>
      <c r="I2018" t="s">
        <v>16</v>
      </c>
      <c r="J2018">
        <v>8416.4500000000007</v>
      </c>
      <c r="K2018">
        <v>9481.59</v>
      </c>
      <c r="L2018" s="20">
        <f>tbl_Budget[[#This Row],[Actual]]-tbl_Budget[[#This Row],[Budget]]</f>
        <v>1065.1399999999994</v>
      </c>
      <c r="M2018" s="3">
        <f>tbl_Budget[[#This Row],[Variance]]/tbl_Budget[[#This Row],[Budget]]</f>
        <v>0.12655454496848426</v>
      </c>
      <c r="N2018" t="str">
        <f>IF(tbl_Budget[[#This Row],[Variance_%]]&gt;0.05,"Overspend",IF(tbl_Budget[[#This Row],[Variance_%]]&lt;-0.05,"Underspend","On Budget"))</f>
        <v>Overspend</v>
      </c>
    </row>
    <row r="2019" spans="1:14" hidden="1">
      <c r="A2019" s="1">
        <v>45536</v>
      </c>
      <c r="B2019">
        <v>9</v>
      </c>
      <c r="C2019" t="s">
        <v>46</v>
      </c>
      <c r="D2019" t="s">
        <v>62</v>
      </c>
      <c r="E2019">
        <v>2024</v>
      </c>
      <c r="F2019" t="s">
        <v>13</v>
      </c>
      <c r="G2019" t="s">
        <v>23</v>
      </c>
      <c r="H2019" t="s">
        <v>17</v>
      </c>
      <c r="I2019" t="s">
        <v>16</v>
      </c>
      <c r="J2019">
        <v>7881.2</v>
      </c>
      <c r="K2019">
        <v>8942.52</v>
      </c>
      <c r="L2019" s="20">
        <f>tbl_Budget[[#This Row],[Actual]]-tbl_Budget[[#This Row],[Budget]]</f>
        <v>1061.3200000000006</v>
      </c>
      <c r="M2019" s="3">
        <f>tbl_Budget[[#This Row],[Variance]]/tbl_Budget[[#This Row],[Budget]]</f>
        <v>0.13466477186215306</v>
      </c>
      <c r="N2019" t="str">
        <f>IF(tbl_Budget[[#This Row],[Variance_%]]&gt;0.05,"Overspend",IF(tbl_Budget[[#This Row],[Variance_%]]&lt;-0.05,"Underspend","On Budget"))</f>
        <v>Overspend</v>
      </c>
    </row>
    <row r="2020" spans="1:14" hidden="1">
      <c r="A2020" s="1">
        <v>45536</v>
      </c>
      <c r="B2020">
        <v>9</v>
      </c>
      <c r="C2020" t="s">
        <v>46</v>
      </c>
      <c r="D2020" t="s">
        <v>62</v>
      </c>
      <c r="E2020">
        <v>2024</v>
      </c>
      <c r="F2020" t="s">
        <v>13</v>
      </c>
      <c r="G2020" t="s">
        <v>23</v>
      </c>
      <c r="H2020" t="s">
        <v>18</v>
      </c>
      <c r="I2020" t="s">
        <v>16</v>
      </c>
      <c r="J2020">
        <v>7996.01</v>
      </c>
      <c r="K2020">
        <v>9576.57</v>
      </c>
      <c r="L2020" s="20">
        <f>tbl_Budget[[#This Row],[Actual]]-tbl_Budget[[#This Row],[Budget]]</f>
        <v>1580.5599999999995</v>
      </c>
      <c r="M2020" s="3">
        <f>tbl_Budget[[#This Row],[Variance]]/tbl_Budget[[#This Row],[Budget]]</f>
        <v>0.19766858720786987</v>
      </c>
      <c r="N2020" t="str">
        <f>IF(tbl_Budget[[#This Row],[Variance_%]]&gt;0.05,"Overspend",IF(tbl_Budget[[#This Row],[Variance_%]]&lt;-0.05,"Underspend","On Budget"))</f>
        <v>Overspend</v>
      </c>
    </row>
    <row r="2021" spans="1:14" hidden="1">
      <c r="A2021" s="1">
        <v>45536</v>
      </c>
      <c r="B2021">
        <v>9</v>
      </c>
      <c r="C2021" t="s">
        <v>46</v>
      </c>
      <c r="D2021" t="s">
        <v>62</v>
      </c>
      <c r="E2021">
        <v>2024</v>
      </c>
      <c r="F2021" t="s">
        <v>13</v>
      </c>
      <c r="G2021" t="s">
        <v>23</v>
      </c>
      <c r="H2021" t="s">
        <v>19</v>
      </c>
      <c r="I2021" t="s">
        <v>16</v>
      </c>
      <c r="J2021">
        <v>8850.91</v>
      </c>
      <c r="K2021">
        <v>10052.07</v>
      </c>
      <c r="L2021" s="20">
        <f>tbl_Budget[[#This Row],[Actual]]-tbl_Budget[[#This Row],[Budget]]</f>
        <v>1201.1599999999999</v>
      </c>
      <c r="M2021" s="3">
        <f>tbl_Budget[[#This Row],[Variance]]/tbl_Budget[[#This Row],[Budget]]</f>
        <v>0.1357103393888312</v>
      </c>
      <c r="N2021" t="str">
        <f>IF(tbl_Budget[[#This Row],[Variance_%]]&gt;0.05,"Overspend",IF(tbl_Budget[[#This Row],[Variance_%]]&lt;-0.05,"Underspend","On Budget"))</f>
        <v>Overspend</v>
      </c>
    </row>
    <row r="2022" spans="1:14" hidden="1">
      <c r="A2022" s="1">
        <v>45536</v>
      </c>
      <c r="B2022">
        <v>9</v>
      </c>
      <c r="C2022" t="s">
        <v>46</v>
      </c>
      <c r="D2022" t="s">
        <v>62</v>
      </c>
      <c r="E2022">
        <v>2024</v>
      </c>
      <c r="F2022" t="s">
        <v>24</v>
      </c>
      <c r="G2022" t="s">
        <v>14</v>
      </c>
      <c r="H2022" t="s">
        <v>15</v>
      </c>
      <c r="I2022" t="s">
        <v>25</v>
      </c>
      <c r="J2022">
        <v>53394.84</v>
      </c>
      <c r="K2022">
        <v>47223.89</v>
      </c>
      <c r="L2022" s="20">
        <f>tbl_Budget[[#This Row],[Actual]]-tbl_Budget[[#This Row],[Budget]]</f>
        <v>-6170.9499999999971</v>
      </c>
      <c r="M2022" s="3">
        <f>tbl_Budget[[#This Row],[Variance]]/tbl_Budget[[#This Row],[Budget]]</f>
        <v>-0.11557202905748941</v>
      </c>
      <c r="N2022" t="str">
        <f>IF(tbl_Budget[[#This Row],[Variance_%]]&gt;0.05,"Overspend",IF(tbl_Budget[[#This Row],[Variance_%]]&lt;-0.05,"Underspend","On Budget"))</f>
        <v>Underspend</v>
      </c>
    </row>
    <row r="2023" spans="1:14" hidden="1">
      <c r="A2023" s="1">
        <v>45536</v>
      </c>
      <c r="B2023">
        <v>9</v>
      </c>
      <c r="C2023" t="s">
        <v>46</v>
      </c>
      <c r="D2023" t="s">
        <v>62</v>
      </c>
      <c r="E2023">
        <v>2024</v>
      </c>
      <c r="F2023" t="s">
        <v>24</v>
      </c>
      <c r="G2023" t="s">
        <v>14</v>
      </c>
      <c r="H2023" t="s">
        <v>17</v>
      </c>
      <c r="I2023" t="s">
        <v>25</v>
      </c>
      <c r="J2023">
        <v>49518.15</v>
      </c>
      <c r="K2023">
        <v>43116.88</v>
      </c>
      <c r="L2023" s="20">
        <f>tbl_Budget[[#This Row],[Actual]]-tbl_Budget[[#This Row],[Budget]]</f>
        <v>-6401.2700000000041</v>
      </c>
      <c r="M2023" s="3">
        <f>tbl_Budget[[#This Row],[Variance]]/tbl_Budget[[#This Row],[Budget]]</f>
        <v>-0.12927118642356397</v>
      </c>
      <c r="N2023" t="str">
        <f>IF(tbl_Budget[[#This Row],[Variance_%]]&gt;0.05,"Overspend",IF(tbl_Budget[[#This Row],[Variance_%]]&lt;-0.05,"Underspend","On Budget"))</f>
        <v>Underspend</v>
      </c>
    </row>
    <row r="2024" spans="1:14" hidden="1">
      <c r="A2024" s="1">
        <v>45536</v>
      </c>
      <c r="B2024">
        <v>9</v>
      </c>
      <c r="C2024" t="s">
        <v>46</v>
      </c>
      <c r="D2024" t="s">
        <v>62</v>
      </c>
      <c r="E2024">
        <v>2024</v>
      </c>
      <c r="F2024" t="s">
        <v>24</v>
      </c>
      <c r="G2024" t="s">
        <v>14</v>
      </c>
      <c r="H2024" t="s">
        <v>18</v>
      </c>
      <c r="I2024" t="s">
        <v>25</v>
      </c>
      <c r="J2024">
        <v>52111.35</v>
      </c>
      <c r="K2024">
        <v>45303.5</v>
      </c>
      <c r="L2024" s="20">
        <f>tbl_Budget[[#This Row],[Actual]]-tbl_Budget[[#This Row],[Budget]]</f>
        <v>-6807.8499999999985</v>
      </c>
      <c r="M2024" s="3">
        <f>tbl_Budget[[#This Row],[Variance]]/tbl_Budget[[#This Row],[Budget]]</f>
        <v>-0.1306404458913461</v>
      </c>
      <c r="N2024" t="str">
        <f>IF(tbl_Budget[[#This Row],[Variance_%]]&gt;0.05,"Overspend",IF(tbl_Budget[[#This Row],[Variance_%]]&lt;-0.05,"Underspend","On Budget"))</f>
        <v>Underspend</v>
      </c>
    </row>
    <row r="2025" spans="1:14" hidden="1">
      <c r="A2025" s="1">
        <v>45536</v>
      </c>
      <c r="B2025">
        <v>9</v>
      </c>
      <c r="C2025" t="s">
        <v>46</v>
      </c>
      <c r="D2025" t="s">
        <v>62</v>
      </c>
      <c r="E2025">
        <v>2024</v>
      </c>
      <c r="F2025" t="s">
        <v>24</v>
      </c>
      <c r="G2025" t="s">
        <v>14</v>
      </c>
      <c r="H2025" t="s">
        <v>19</v>
      </c>
      <c r="I2025" t="s">
        <v>25</v>
      </c>
      <c r="J2025">
        <v>53961.38</v>
      </c>
      <c r="K2025">
        <v>47476.66</v>
      </c>
      <c r="L2025" s="20">
        <f>tbl_Budget[[#This Row],[Actual]]-tbl_Budget[[#This Row],[Budget]]</f>
        <v>-6484.7199999999939</v>
      </c>
      <c r="M2025" s="3">
        <f>tbl_Budget[[#This Row],[Variance]]/tbl_Budget[[#This Row],[Budget]]</f>
        <v>-0.12017335360956288</v>
      </c>
      <c r="N2025" t="str">
        <f>IF(tbl_Budget[[#This Row],[Variance_%]]&gt;0.05,"Overspend",IF(tbl_Budget[[#This Row],[Variance_%]]&lt;-0.05,"Underspend","On Budget"))</f>
        <v>Underspend</v>
      </c>
    </row>
    <row r="2026" spans="1:14" hidden="1">
      <c r="A2026" s="1">
        <v>45536</v>
      </c>
      <c r="B2026">
        <v>9</v>
      </c>
      <c r="C2026" t="s">
        <v>46</v>
      </c>
      <c r="D2026" t="s">
        <v>62</v>
      </c>
      <c r="E2026">
        <v>2024</v>
      </c>
      <c r="F2026" t="s">
        <v>24</v>
      </c>
      <c r="G2026" t="s">
        <v>20</v>
      </c>
      <c r="H2026" t="s">
        <v>15</v>
      </c>
      <c r="I2026" t="s">
        <v>25</v>
      </c>
      <c r="J2026">
        <v>29174.77</v>
      </c>
      <c r="K2026">
        <v>25257.43</v>
      </c>
      <c r="L2026" s="20">
        <f>tbl_Budget[[#This Row],[Actual]]-tbl_Budget[[#This Row],[Budget]]</f>
        <v>-3917.34</v>
      </c>
      <c r="M2026" s="3">
        <f>tbl_Budget[[#This Row],[Variance]]/tbl_Budget[[#This Row],[Budget]]</f>
        <v>-0.13427149554220993</v>
      </c>
      <c r="N2026" t="str">
        <f>IF(tbl_Budget[[#This Row],[Variance_%]]&gt;0.05,"Overspend",IF(tbl_Budget[[#This Row],[Variance_%]]&lt;-0.05,"Underspend","On Budget"))</f>
        <v>Underspend</v>
      </c>
    </row>
    <row r="2027" spans="1:14" hidden="1">
      <c r="A2027" s="1">
        <v>45536</v>
      </c>
      <c r="B2027">
        <v>9</v>
      </c>
      <c r="C2027" t="s">
        <v>46</v>
      </c>
      <c r="D2027" t="s">
        <v>62</v>
      </c>
      <c r="E2027">
        <v>2024</v>
      </c>
      <c r="F2027" t="s">
        <v>24</v>
      </c>
      <c r="G2027" t="s">
        <v>20</v>
      </c>
      <c r="H2027" t="s">
        <v>17</v>
      </c>
      <c r="I2027" t="s">
        <v>25</v>
      </c>
      <c r="J2027">
        <v>27304.5</v>
      </c>
      <c r="K2027">
        <v>23271.88</v>
      </c>
      <c r="L2027" s="20">
        <f>tbl_Budget[[#This Row],[Actual]]-tbl_Budget[[#This Row],[Budget]]</f>
        <v>-4032.619999999999</v>
      </c>
      <c r="M2027" s="3">
        <f>tbl_Budget[[#This Row],[Variance]]/tbl_Budget[[#This Row],[Budget]]</f>
        <v>-0.14769067369847458</v>
      </c>
      <c r="N2027" t="str">
        <f>IF(tbl_Budget[[#This Row],[Variance_%]]&gt;0.05,"Overspend",IF(tbl_Budget[[#This Row],[Variance_%]]&lt;-0.05,"Underspend","On Budget"))</f>
        <v>Underspend</v>
      </c>
    </row>
    <row r="2028" spans="1:14" hidden="1">
      <c r="A2028" s="1">
        <v>45536</v>
      </c>
      <c r="B2028">
        <v>9</v>
      </c>
      <c r="C2028" t="s">
        <v>46</v>
      </c>
      <c r="D2028" t="s">
        <v>62</v>
      </c>
      <c r="E2028">
        <v>2024</v>
      </c>
      <c r="F2028" t="s">
        <v>24</v>
      </c>
      <c r="G2028" t="s">
        <v>20</v>
      </c>
      <c r="H2028" t="s">
        <v>18</v>
      </c>
      <c r="I2028" t="s">
        <v>25</v>
      </c>
      <c r="J2028">
        <v>28500.61</v>
      </c>
      <c r="K2028">
        <v>25015.05</v>
      </c>
      <c r="L2028" s="20">
        <f>tbl_Budget[[#This Row],[Actual]]-tbl_Budget[[#This Row],[Budget]]</f>
        <v>-3485.5600000000013</v>
      </c>
      <c r="M2028" s="3">
        <f>tbl_Budget[[#This Row],[Variance]]/tbl_Budget[[#This Row],[Budget]]</f>
        <v>-0.12229773327658605</v>
      </c>
      <c r="N2028" t="str">
        <f>IF(tbl_Budget[[#This Row],[Variance_%]]&gt;0.05,"Overspend",IF(tbl_Budget[[#This Row],[Variance_%]]&lt;-0.05,"Underspend","On Budget"))</f>
        <v>Underspend</v>
      </c>
    </row>
    <row r="2029" spans="1:14" hidden="1">
      <c r="A2029" s="1">
        <v>45536</v>
      </c>
      <c r="B2029">
        <v>9</v>
      </c>
      <c r="C2029" t="s">
        <v>46</v>
      </c>
      <c r="D2029" t="s">
        <v>62</v>
      </c>
      <c r="E2029">
        <v>2024</v>
      </c>
      <c r="F2029" t="s">
        <v>24</v>
      </c>
      <c r="G2029" t="s">
        <v>20</v>
      </c>
      <c r="H2029" t="s">
        <v>19</v>
      </c>
      <c r="I2029" t="s">
        <v>25</v>
      </c>
      <c r="J2029">
        <v>30345.95</v>
      </c>
      <c r="K2029">
        <v>26758</v>
      </c>
      <c r="L2029" s="20">
        <f>tbl_Budget[[#This Row],[Actual]]-tbl_Budget[[#This Row],[Budget]]</f>
        <v>-3587.9500000000007</v>
      </c>
      <c r="M2029" s="3">
        <f>tbl_Budget[[#This Row],[Variance]]/tbl_Budget[[#This Row],[Budget]]</f>
        <v>-0.11823488801635805</v>
      </c>
      <c r="N2029" t="str">
        <f>IF(tbl_Budget[[#This Row],[Variance_%]]&gt;0.05,"Overspend",IF(tbl_Budget[[#This Row],[Variance_%]]&lt;-0.05,"Underspend","On Budget"))</f>
        <v>Underspend</v>
      </c>
    </row>
    <row r="2030" spans="1:14">
      <c r="A2030" s="1">
        <v>45536</v>
      </c>
      <c r="B2030">
        <v>9</v>
      </c>
      <c r="C2030" t="s">
        <v>46</v>
      </c>
      <c r="D2030" t="s">
        <v>62</v>
      </c>
      <c r="E2030">
        <v>2024</v>
      </c>
      <c r="F2030" t="s">
        <v>24</v>
      </c>
      <c r="G2030" t="s">
        <v>21</v>
      </c>
      <c r="H2030" t="s">
        <v>15</v>
      </c>
      <c r="I2030" t="s">
        <v>25</v>
      </c>
      <c r="J2030">
        <v>11261.52</v>
      </c>
      <c r="K2030">
        <v>14136.84</v>
      </c>
      <c r="L2030" s="20">
        <f>tbl_Budget[[#This Row],[Actual]]-tbl_Budget[[#This Row],[Budget]]</f>
        <v>2875.3199999999997</v>
      </c>
      <c r="M2030" s="3">
        <f>tbl_Budget[[#This Row],[Variance]]/tbl_Budget[[#This Row],[Budget]]</f>
        <v>0.25532254970909785</v>
      </c>
      <c r="N2030" t="str">
        <f>IF(tbl_Budget[[#This Row],[Variance_%]]&gt;0.05,"Overspend",IF(tbl_Budget[[#This Row],[Variance_%]]&lt;-0.05,"Underspend","On Budget"))</f>
        <v>Overspend</v>
      </c>
    </row>
    <row r="2031" spans="1:14">
      <c r="A2031" s="1">
        <v>45536</v>
      </c>
      <c r="B2031">
        <v>9</v>
      </c>
      <c r="C2031" t="s">
        <v>46</v>
      </c>
      <c r="D2031" t="s">
        <v>62</v>
      </c>
      <c r="E2031">
        <v>2024</v>
      </c>
      <c r="F2031" t="s">
        <v>24</v>
      </c>
      <c r="G2031" t="s">
        <v>21</v>
      </c>
      <c r="H2031" t="s">
        <v>17</v>
      </c>
      <c r="I2031" t="s">
        <v>25</v>
      </c>
      <c r="J2031">
        <v>10441.68</v>
      </c>
      <c r="K2031">
        <v>12286.97</v>
      </c>
      <c r="L2031" s="20">
        <f>tbl_Budget[[#This Row],[Actual]]-tbl_Budget[[#This Row],[Budget]]</f>
        <v>1845.2899999999991</v>
      </c>
      <c r="M2031" s="3">
        <f>tbl_Budget[[#This Row],[Variance]]/tbl_Budget[[#This Row],[Budget]]</f>
        <v>0.1767234774480734</v>
      </c>
      <c r="N2031" t="str">
        <f>IF(tbl_Budget[[#This Row],[Variance_%]]&gt;0.05,"Overspend",IF(tbl_Budget[[#This Row],[Variance_%]]&lt;-0.05,"Underspend","On Budget"))</f>
        <v>Overspend</v>
      </c>
    </row>
    <row r="2032" spans="1:14">
      <c r="A2032" s="1">
        <v>45536</v>
      </c>
      <c r="B2032">
        <v>9</v>
      </c>
      <c r="C2032" t="s">
        <v>46</v>
      </c>
      <c r="D2032" t="s">
        <v>62</v>
      </c>
      <c r="E2032">
        <v>2024</v>
      </c>
      <c r="F2032" t="s">
        <v>24</v>
      </c>
      <c r="G2032" t="s">
        <v>21</v>
      </c>
      <c r="H2032" t="s">
        <v>18</v>
      </c>
      <c r="I2032" t="s">
        <v>25</v>
      </c>
      <c r="J2032">
        <v>11041.19</v>
      </c>
      <c r="K2032">
        <v>13417.46</v>
      </c>
      <c r="L2032" s="20">
        <f>tbl_Budget[[#This Row],[Actual]]-tbl_Budget[[#This Row],[Budget]]</f>
        <v>2376.2699999999986</v>
      </c>
      <c r="M2032" s="3">
        <f>tbl_Budget[[#This Row],[Variance]]/tbl_Budget[[#This Row],[Budget]]</f>
        <v>0.21521864943905489</v>
      </c>
      <c r="N2032" t="str">
        <f>IF(tbl_Budget[[#This Row],[Variance_%]]&gt;0.05,"Overspend",IF(tbl_Budget[[#This Row],[Variance_%]]&lt;-0.05,"Underspend","On Budget"))</f>
        <v>Overspend</v>
      </c>
    </row>
    <row r="2033" spans="1:14">
      <c r="A2033" s="1">
        <v>45536</v>
      </c>
      <c r="B2033">
        <v>9</v>
      </c>
      <c r="C2033" t="s">
        <v>46</v>
      </c>
      <c r="D2033" t="s">
        <v>62</v>
      </c>
      <c r="E2033">
        <v>2024</v>
      </c>
      <c r="F2033" t="s">
        <v>24</v>
      </c>
      <c r="G2033" t="s">
        <v>21</v>
      </c>
      <c r="H2033" t="s">
        <v>19</v>
      </c>
      <c r="I2033" t="s">
        <v>25</v>
      </c>
      <c r="J2033">
        <v>11617.37</v>
      </c>
      <c r="K2033">
        <v>14208.81</v>
      </c>
      <c r="L2033" s="20">
        <f>tbl_Budget[[#This Row],[Actual]]-tbl_Budget[[#This Row],[Budget]]</f>
        <v>2591.4399999999987</v>
      </c>
      <c r="M2033" s="3">
        <f>tbl_Budget[[#This Row],[Variance]]/tbl_Budget[[#This Row],[Budget]]</f>
        <v>0.22306597792787855</v>
      </c>
      <c r="N2033" t="str">
        <f>IF(tbl_Budget[[#This Row],[Variance_%]]&gt;0.05,"Overspend",IF(tbl_Budget[[#This Row],[Variance_%]]&lt;-0.05,"Underspend","On Budget"))</f>
        <v>Overspend</v>
      </c>
    </row>
    <row r="2034" spans="1:14" hidden="1">
      <c r="A2034" s="1">
        <v>45536</v>
      </c>
      <c r="B2034">
        <v>9</v>
      </c>
      <c r="C2034" t="s">
        <v>46</v>
      </c>
      <c r="D2034" t="s">
        <v>62</v>
      </c>
      <c r="E2034">
        <v>2024</v>
      </c>
      <c r="F2034" t="s">
        <v>24</v>
      </c>
      <c r="G2034" t="s">
        <v>22</v>
      </c>
      <c r="H2034" t="s">
        <v>15</v>
      </c>
      <c r="I2034" t="s">
        <v>25</v>
      </c>
      <c r="J2034">
        <v>8510.7900000000009</v>
      </c>
      <c r="K2034">
        <v>7506.73</v>
      </c>
      <c r="L2034" s="20">
        <f>tbl_Budget[[#This Row],[Actual]]-tbl_Budget[[#This Row],[Budget]]</f>
        <v>-1004.0600000000013</v>
      </c>
      <c r="M2034" s="3">
        <f>tbl_Budget[[#This Row],[Variance]]/tbl_Budget[[#This Row],[Budget]]</f>
        <v>-0.11797494709656814</v>
      </c>
      <c r="N2034" t="str">
        <f>IF(tbl_Budget[[#This Row],[Variance_%]]&gt;0.05,"Overspend",IF(tbl_Budget[[#This Row],[Variance_%]]&lt;-0.05,"Underspend","On Budget"))</f>
        <v>Underspend</v>
      </c>
    </row>
    <row r="2035" spans="1:14" hidden="1">
      <c r="A2035" s="1">
        <v>45536</v>
      </c>
      <c r="B2035">
        <v>9</v>
      </c>
      <c r="C2035" t="s">
        <v>46</v>
      </c>
      <c r="D2035" t="s">
        <v>62</v>
      </c>
      <c r="E2035">
        <v>2024</v>
      </c>
      <c r="F2035" t="s">
        <v>24</v>
      </c>
      <c r="G2035" t="s">
        <v>22</v>
      </c>
      <c r="H2035" t="s">
        <v>17</v>
      </c>
      <c r="I2035" t="s">
        <v>25</v>
      </c>
      <c r="J2035">
        <v>8168.49</v>
      </c>
      <c r="K2035">
        <v>7004.18</v>
      </c>
      <c r="L2035" s="20">
        <f>tbl_Budget[[#This Row],[Actual]]-tbl_Budget[[#This Row],[Budget]]</f>
        <v>-1164.3099999999995</v>
      </c>
      <c r="M2035" s="3">
        <f>tbl_Budget[[#This Row],[Variance]]/tbl_Budget[[#This Row],[Budget]]</f>
        <v>-0.14253674791791379</v>
      </c>
      <c r="N2035" t="str">
        <f>IF(tbl_Budget[[#This Row],[Variance_%]]&gt;0.05,"Overspend",IF(tbl_Budget[[#This Row],[Variance_%]]&lt;-0.05,"Underspend","On Budget"))</f>
        <v>Underspend</v>
      </c>
    </row>
    <row r="2036" spans="1:14" hidden="1">
      <c r="A2036" s="1">
        <v>45536</v>
      </c>
      <c r="B2036">
        <v>9</v>
      </c>
      <c r="C2036" t="s">
        <v>46</v>
      </c>
      <c r="D2036" t="s">
        <v>62</v>
      </c>
      <c r="E2036">
        <v>2024</v>
      </c>
      <c r="F2036" t="s">
        <v>24</v>
      </c>
      <c r="G2036" t="s">
        <v>22</v>
      </c>
      <c r="H2036" t="s">
        <v>18</v>
      </c>
      <c r="I2036" t="s">
        <v>25</v>
      </c>
      <c r="J2036">
        <v>8204.74</v>
      </c>
      <c r="K2036">
        <v>7264.51</v>
      </c>
      <c r="L2036" s="20">
        <f>tbl_Budget[[#This Row],[Actual]]-tbl_Budget[[#This Row],[Budget]]</f>
        <v>-940.22999999999956</v>
      </c>
      <c r="M2036" s="3">
        <f>tbl_Budget[[#This Row],[Variance]]/tbl_Budget[[#This Row],[Budget]]</f>
        <v>-0.11459595307102963</v>
      </c>
      <c r="N2036" t="str">
        <f>IF(tbl_Budget[[#This Row],[Variance_%]]&gt;0.05,"Overspend",IF(tbl_Budget[[#This Row],[Variance_%]]&lt;-0.05,"Underspend","On Budget"))</f>
        <v>Underspend</v>
      </c>
    </row>
    <row r="2037" spans="1:14" hidden="1">
      <c r="A2037" s="1">
        <v>45536</v>
      </c>
      <c r="B2037">
        <v>9</v>
      </c>
      <c r="C2037" t="s">
        <v>46</v>
      </c>
      <c r="D2037" t="s">
        <v>62</v>
      </c>
      <c r="E2037">
        <v>2024</v>
      </c>
      <c r="F2037" t="s">
        <v>24</v>
      </c>
      <c r="G2037" t="s">
        <v>22</v>
      </c>
      <c r="H2037" t="s">
        <v>19</v>
      </c>
      <c r="I2037" t="s">
        <v>25</v>
      </c>
      <c r="J2037">
        <v>9086.01</v>
      </c>
      <c r="K2037">
        <v>7781.63</v>
      </c>
      <c r="L2037" s="20">
        <f>tbl_Budget[[#This Row],[Actual]]-tbl_Budget[[#This Row],[Budget]]</f>
        <v>-1304.3800000000001</v>
      </c>
      <c r="M2037" s="3">
        <f>tbl_Budget[[#This Row],[Variance]]/tbl_Budget[[#This Row],[Budget]]</f>
        <v>-0.14355916403349767</v>
      </c>
      <c r="N2037" t="str">
        <f>IF(tbl_Budget[[#This Row],[Variance_%]]&gt;0.05,"Overspend",IF(tbl_Budget[[#This Row],[Variance_%]]&lt;-0.05,"Underspend","On Budget"))</f>
        <v>Underspend</v>
      </c>
    </row>
    <row r="2038" spans="1:14" hidden="1">
      <c r="A2038" s="1">
        <v>45536</v>
      </c>
      <c r="B2038">
        <v>9</v>
      </c>
      <c r="C2038" t="s">
        <v>46</v>
      </c>
      <c r="D2038" t="s">
        <v>62</v>
      </c>
      <c r="E2038">
        <v>2024</v>
      </c>
      <c r="F2038" t="s">
        <v>24</v>
      </c>
      <c r="G2038" t="s">
        <v>23</v>
      </c>
      <c r="H2038" t="s">
        <v>15</v>
      </c>
      <c r="I2038" t="s">
        <v>25</v>
      </c>
      <c r="J2038">
        <v>7467.67</v>
      </c>
      <c r="K2038">
        <v>6567.01</v>
      </c>
      <c r="L2038" s="20">
        <f>tbl_Budget[[#This Row],[Actual]]-tbl_Budget[[#This Row],[Budget]]</f>
        <v>-900.65999999999985</v>
      </c>
      <c r="M2038" s="3">
        <f>tbl_Budget[[#This Row],[Variance]]/tbl_Budget[[#This Row],[Budget]]</f>
        <v>-0.12060790045623332</v>
      </c>
      <c r="N2038" t="str">
        <f>IF(tbl_Budget[[#This Row],[Variance_%]]&gt;0.05,"Overspend",IF(tbl_Budget[[#This Row],[Variance_%]]&lt;-0.05,"Underspend","On Budget"))</f>
        <v>Underspend</v>
      </c>
    </row>
    <row r="2039" spans="1:14" hidden="1">
      <c r="A2039" s="1">
        <v>45536</v>
      </c>
      <c r="B2039">
        <v>9</v>
      </c>
      <c r="C2039" t="s">
        <v>46</v>
      </c>
      <c r="D2039" t="s">
        <v>62</v>
      </c>
      <c r="E2039">
        <v>2024</v>
      </c>
      <c r="F2039" t="s">
        <v>24</v>
      </c>
      <c r="G2039" t="s">
        <v>23</v>
      </c>
      <c r="H2039" t="s">
        <v>17</v>
      </c>
      <c r="I2039" t="s">
        <v>25</v>
      </c>
      <c r="J2039">
        <v>7063.88</v>
      </c>
      <c r="K2039">
        <v>6126.35</v>
      </c>
      <c r="L2039" s="20">
        <f>tbl_Budget[[#This Row],[Actual]]-tbl_Budget[[#This Row],[Budget]]</f>
        <v>-937.52999999999975</v>
      </c>
      <c r="M2039" s="3">
        <f>tbl_Budget[[#This Row],[Variance]]/tbl_Budget[[#This Row],[Budget]]</f>
        <v>-0.13272167703868126</v>
      </c>
      <c r="N2039" t="str">
        <f>IF(tbl_Budget[[#This Row],[Variance_%]]&gt;0.05,"Overspend",IF(tbl_Budget[[#This Row],[Variance_%]]&lt;-0.05,"Underspend","On Budget"))</f>
        <v>Underspend</v>
      </c>
    </row>
    <row r="2040" spans="1:14" hidden="1">
      <c r="A2040" s="1">
        <v>45536</v>
      </c>
      <c r="B2040">
        <v>9</v>
      </c>
      <c r="C2040" t="s">
        <v>46</v>
      </c>
      <c r="D2040" t="s">
        <v>62</v>
      </c>
      <c r="E2040">
        <v>2024</v>
      </c>
      <c r="F2040" t="s">
        <v>24</v>
      </c>
      <c r="G2040" t="s">
        <v>23</v>
      </c>
      <c r="H2040" t="s">
        <v>18</v>
      </c>
      <c r="I2040" t="s">
        <v>25</v>
      </c>
      <c r="J2040">
        <v>7263.91</v>
      </c>
      <c r="K2040">
        <v>6228.54</v>
      </c>
      <c r="L2040" s="20">
        <f>tbl_Budget[[#This Row],[Actual]]-tbl_Budget[[#This Row],[Budget]]</f>
        <v>-1035.3699999999999</v>
      </c>
      <c r="M2040" s="3">
        <f>tbl_Budget[[#This Row],[Variance]]/tbl_Budget[[#This Row],[Budget]]</f>
        <v>-0.14253618230402082</v>
      </c>
      <c r="N2040" t="str">
        <f>IF(tbl_Budget[[#This Row],[Variance_%]]&gt;0.05,"Overspend",IF(tbl_Budget[[#This Row],[Variance_%]]&lt;-0.05,"Underspend","On Budget"))</f>
        <v>Underspend</v>
      </c>
    </row>
    <row r="2041" spans="1:14" hidden="1">
      <c r="A2041" s="1">
        <v>45536</v>
      </c>
      <c r="B2041">
        <v>9</v>
      </c>
      <c r="C2041" t="s">
        <v>46</v>
      </c>
      <c r="D2041" t="s">
        <v>62</v>
      </c>
      <c r="E2041">
        <v>2024</v>
      </c>
      <c r="F2041" t="s">
        <v>24</v>
      </c>
      <c r="G2041" t="s">
        <v>23</v>
      </c>
      <c r="H2041" t="s">
        <v>19</v>
      </c>
      <c r="I2041" t="s">
        <v>25</v>
      </c>
      <c r="J2041">
        <v>7562.59</v>
      </c>
      <c r="K2041">
        <v>6586.89</v>
      </c>
      <c r="L2041" s="20">
        <f>tbl_Budget[[#This Row],[Actual]]-tbl_Budget[[#This Row],[Budget]]</f>
        <v>-975.69999999999982</v>
      </c>
      <c r="M2041" s="3">
        <f>tbl_Budget[[#This Row],[Variance]]/tbl_Budget[[#This Row],[Budget]]</f>
        <v>-0.12901664641346414</v>
      </c>
      <c r="N2041" t="str">
        <f>IF(tbl_Budget[[#This Row],[Variance_%]]&gt;0.05,"Overspend",IF(tbl_Budget[[#This Row],[Variance_%]]&lt;-0.05,"Underspend","On Budget"))</f>
        <v>Underspend</v>
      </c>
    </row>
    <row r="2042" spans="1:14" hidden="1">
      <c r="A2042" s="1">
        <v>45536</v>
      </c>
      <c r="B2042">
        <v>9</v>
      </c>
      <c r="C2042" t="s">
        <v>46</v>
      </c>
      <c r="D2042" t="s">
        <v>62</v>
      </c>
      <c r="E2042">
        <v>2024</v>
      </c>
      <c r="F2042" t="s">
        <v>26</v>
      </c>
      <c r="G2042" t="s">
        <v>14</v>
      </c>
      <c r="H2042" t="s">
        <v>15</v>
      </c>
      <c r="I2042" t="s">
        <v>27</v>
      </c>
      <c r="J2042">
        <v>45424.639999999999</v>
      </c>
      <c r="K2042">
        <v>45613.21</v>
      </c>
      <c r="L2042" s="20">
        <f>tbl_Budget[[#This Row],[Actual]]-tbl_Budget[[#This Row],[Budget]]</f>
        <v>188.56999999999971</v>
      </c>
      <c r="M2042" s="3">
        <f>tbl_Budget[[#This Row],[Variance]]/tbl_Budget[[#This Row],[Budget]]</f>
        <v>4.1512712043507601E-3</v>
      </c>
      <c r="N2042" t="str">
        <f>IF(tbl_Budget[[#This Row],[Variance_%]]&gt;0.05,"Overspend",IF(tbl_Budget[[#This Row],[Variance_%]]&lt;-0.05,"Underspend","On Budget"))</f>
        <v>On Budget</v>
      </c>
    </row>
    <row r="2043" spans="1:14" hidden="1">
      <c r="A2043" s="1">
        <v>45536</v>
      </c>
      <c r="B2043">
        <v>9</v>
      </c>
      <c r="C2043" t="s">
        <v>46</v>
      </c>
      <c r="D2043" t="s">
        <v>62</v>
      </c>
      <c r="E2043">
        <v>2024</v>
      </c>
      <c r="F2043" t="s">
        <v>26</v>
      </c>
      <c r="G2043" t="s">
        <v>14</v>
      </c>
      <c r="H2043" t="s">
        <v>17</v>
      </c>
      <c r="I2043" t="s">
        <v>27</v>
      </c>
      <c r="J2043">
        <v>43317.57</v>
      </c>
      <c r="K2043">
        <v>43903.14</v>
      </c>
      <c r="L2043" s="20">
        <f>tbl_Budget[[#This Row],[Actual]]-tbl_Budget[[#This Row],[Budget]]</f>
        <v>585.56999999999971</v>
      </c>
      <c r="M2043" s="3">
        <f>tbl_Budget[[#This Row],[Variance]]/tbl_Budget[[#This Row],[Budget]]</f>
        <v>1.3518071304553781E-2</v>
      </c>
      <c r="N2043" t="str">
        <f>IF(tbl_Budget[[#This Row],[Variance_%]]&gt;0.05,"Overspend",IF(tbl_Budget[[#This Row],[Variance_%]]&lt;-0.05,"Underspend","On Budget"))</f>
        <v>On Budget</v>
      </c>
    </row>
    <row r="2044" spans="1:14" hidden="1">
      <c r="A2044" s="1">
        <v>45536</v>
      </c>
      <c r="B2044">
        <v>9</v>
      </c>
      <c r="C2044" t="s">
        <v>46</v>
      </c>
      <c r="D2044" t="s">
        <v>62</v>
      </c>
      <c r="E2044">
        <v>2024</v>
      </c>
      <c r="F2044" t="s">
        <v>26</v>
      </c>
      <c r="G2044" t="s">
        <v>14</v>
      </c>
      <c r="H2044" t="s">
        <v>18</v>
      </c>
      <c r="I2044" t="s">
        <v>27</v>
      </c>
      <c r="J2044">
        <v>43835.79</v>
      </c>
      <c r="K2044">
        <v>42650.5</v>
      </c>
      <c r="L2044" s="20">
        <f>tbl_Budget[[#This Row],[Actual]]-tbl_Budget[[#This Row],[Budget]]</f>
        <v>-1185.2900000000009</v>
      </c>
      <c r="M2044" s="3">
        <f>tbl_Budget[[#This Row],[Variance]]/tbl_Budget[[#This Row],[Budget]]</f>
        <v>-2.7039321066188175E-2</v>
      </c>
      <c r="N2044" t="str">
        <f>IF(tbl_Budget[[#This Row],[Variance_%]]&gt;0.05,"Overspend",IF(tbl_Budget[[#This Row],[Variance_%]]&lt;-0.05,"Underspend","On Budget"))</f>
        <v>On Budget</v>
      </c>
    </row>
    <row r="2045" spans="1:14" hidden="1">
      <c r="A2045" s="1">
        <v>45536</v>
      </c>
      <c r="B2045">
        <v>9</v>
      </c>
      <c r="C2045" t="s">
        <v>46</v>
      </c>
      <c r="D2045" t="s">
        <v>62</v>
      </c>
      <c r="E2045">
        <v>2024</v>
      </c>
      <c r="F2045" t="s">
        <v>26</v>
      </c>
      <c r="G2045" t="s">
        <v>14</v>
      </c>
      <c r="H2045" t="s">
        <v>19</v>
      </c>
      <c r="I2045" t="s">
        <v>27</v>
      </c>
      <c r="J2045">
        <v>47803.31</v>
      </c>
      <c r="K2045">
        <v>48837.54</v>
      </c>
      <c r="L2045" s="20">
        <f>tbl_Budget[[#This Row],[Actual]]-tbl_Budget[[#This Row],[Budget]]</f>
        <v>1034.2300000000032</v>
      </c>
      <c r="M2045" s="3">
        <f>tbl_Budget[[#This Row],[Variance]]/tbl_Budget[[#This Row],[Budget]]</f>
        <v>2.1635112714998257E-2</v>
      </c>
      <c r="N2045" t="str">
        <f>IF(tbl_Budget[[#This Row],[Variance_%]]&gt;0.05,"Overspend",IF(tbl_Budget[[#This Row],[Variance_%]]&lt;-0.05,"Underspend","On Budget"))</f>
        <v>On Budget</v>
      </c>
    </row>
    <row r="2046" spans="1:14" hidden="1">
      <c r="A2046" s="1">
        <v>45536</v>
      </c>
      <c r="B2046">
        <v>9</v>
      </c>
      <c r="C2046" t="s">
        <v>46</v>
      </c>
      <c r="D2046" t="s">
        <v>62</v>
      </c>
      <c r="E2046">
        <v>2024</v>
      </c>
      <c r="F2046" t="s">
        <v>26</v>
      </c>
      <c r="G2046" t="s">
        <v>20</v>
      </c>
      <c r="H2046" t="s">
        <v>15</v>
      </c>
      <c r="I2046" t="s">
        <v>27</v>
      </c>
      <c r="J2046">
        <v>15625.18</v>
      </c>
      <c r="K2046">
        <v>15180.79</v>
      </c>
      <c r="L2046" s="20">
        <f>tbl_Budget[[#This Row],[Actual]]-tbl_Budget[[#This Row],[Budget]]</f>
        <v>-444.38999999999942</v>
      </c>
      <c r="M2046" s="3">
        <f>tbl_Budget[[#This Row],[Variance]]/tbl_Budget[[#This Row],[Budget]]</f>
        <v>-2.8440632363915131E-2</v>
      </c>
      <c r="N2046" t="str">
        <f>IF(tbl_Budget[[#This Row],[Variance_%]]&gt;0.05,"Overspend",IF(tbl_Budget[[#This Row],[Variance_%]]&lt;-0.05,"Underspend","On Budget"))</f>
        <v>On Budget</v>
      </c>
    </row>
    <row r="2047" spans="1:14" hidden="1">
      <c r="A2047" s="1">
        <v>45536</v>
      </c>
      <c r="B2047">
        <v>9</v>
      </c>
      <c r="C2047" t="s">
        <v>46</v>
      </c>
      <c r="D2047" t="s">
        <v>62</v>
      </c>
      <c r="E2047">
        <v>2024</v>
      </c>
      <c r="F2047" t="s">
        <v>26</v>
      </c>
      <c r="G2047" t="s">
        <v>20</v>
      </c>
      <c r="H2047" t="s">
        <v>17</v>
      </c>
      <c r="I2047" t="s">
        <v>27</v>
      </c>
      <c r="J2047">
        <v>15000.79</v>
      </c>
      <c r="K2047">
        <v>14580.9</v>
      </c>
      <c r="L2047" s="20">
        <f>tbl_Budget[[#This Row],[Actual]]-tbl_Budget[[#This Row],[Budget]]</f>
        <v>-419.89000000000124</v>
      </c>
      <c r="M2047" s="3">
        <f>tbl_Budget[[#This Row],[Variance]]/tbl_Budget[[#This Row],[Budget]]</f>
        <v>-2.799119246386365E-2</v>
      </c>
      <c r="N2047" t="str">
        <f>IF(tbl_Budget[[#This Row],[Variance_%]]&gt;0.05,"Overspend",IF(tbl_Budget[[#This Row],[Variance_%]]&lt;-0.05,"Underspend","On Budget"))</f>
        <v>On Budget</v>
      </c>
    </row>
    <row r="2048" spans="1:14" hidden="1">
      <c r="A2048" s="1">
        <v>45536</v>
      </c>
      <c r="B2048">
        <v>9</v>
      </c>
      <c r="C2048" t="s">
        <v>46</v>
      </c>
      <c r="D2048" t="s">
        <v>62</v>
      </c>
      <c r="E2048">
        <v>2024</v>
      </c>
      <c r="F2048" t="s">
        <v>26</v>
      </c>
      <c r="G2048" t="s">
        <v>20</v>
      </c>
      <c r="H2048" t="s">
        <v>18</v>
      </c>
      <c r="I2048" t="s">
        <v>27</v>
      </c>
      <c r="J2048">
        <v>15438.6</v>
      </c>
      <c r="K2048">
        <v>15904.86</v>
      </c>
      <c r="L2048" s="20">
        <f>tbl_Budget[[#This Row],[Actual]]-tbl_Budget[[#This Row],[Budget]]</f>
        <v>466.26000000000022</v>
      </c>
      <c r="M2048" s="3">
        <f>tbl_Budget[[#This Row],[Variance]]/tbl_Budget[[#This Row],[Budget]]</f>
        <v>3.020092495433525E-2</v>
      </c>
      <c r="N2048" t="str">
        <f>IF(tbl_Budget[[#This Row],[Variance_%]]&gt;0.05,"Overspend",IF(tbl_Budget[[#This Row],[Variance_%]]&lt;-0.05,"Underspend","On Budget"))</f>
        <v>On Budget</v>
      </c>
    </row>
    <row r="2049" spans="1:14" hidden="1">
      <c r="A2049" s="1">
        <v>45536</v>
      </c>
      <c r="B2049">
        <v>9</v>
      </c>
      <c r="C2049" t="s">
        <v>46</v>
      </c>
      <c r="D2049" t="s">
        <v>62</v>
      </c>
      <c r="E2049">
        <v>2024</v>
      </c>
      <c r="F2049" t="s">
        <v>26</v>
      </c>
      <c r="G2049" t="s">
        <v>20</v>
      </c>
      <c r="H2049" t="s">
        <v>19</v>
      </c>
      <c r="I2049" t="s">
        <v>27</v>
      </c>
      <c r="J2049">
        <v>15979.49</v>
      </c>
      <c r="K2049">
        <v>16202.73</v>
      </c>
      <c r="L2049" s="20">
        <f>tbl_Budget[[#This Row],[Actual]]-tbl_Budget[[#This Row],[Budget]]</f>
        <v>223.23999999999978</v>
      </c>
      <c r="M2049" s="3">
        <f>tbl_Budget[[#This Row],[Variance]]/tbl_Budget[[#This Row],[Budget]]</f>
        <v>1.3970408317161547E-2</v>
      </c>
      <c r="N2049" t="str">
        <f>IF(tbl_Budget[[#This Row],[Variance_%]]&gt;0.05,"Overspend",IF(tbl_Budget[[#This Row],[Variance_%]]&lt;-0.05,"Underspend","On Budget"))</f>
        <v>On Budget</v>
      </c>
    </row>
    <row r="2050" spans="1:14">
      <c r="A2050" s="1">
        <v>45536</v>
      </c>
      <c r="B2050">
        <v>9</v>
      </c>
      <c r="C2050" t="s">
        <v>46</v>
      </c>
      <c r="D2050" t="s">
        <v>62</v>
      </c>
      <c r="E2050">
        <v>2024</v>
      </c>
      <c r="F2050" t="s">
        <v>26</v>
      </c>
      <c r="G2050" t="s">
        <v>21</v>
      </c>
      <c r="H2050" t="s">
        <v>15</v>
      </c>
      <c r="I2050" t="s">
        <v>27</v>
      </c>
      <c r="J2050">
        <v>8678.99</v>
      </c>
      <c r="K2050">
        <v>12101.11</v>
      </c>
      <c r="L2050" s="20">
        <f>tbl_Budget[[#This Row],[Actual]]-tbl_Budget[[#This Row],[Budget]]</f>
        <v>3422.1200000000008</v>
      </c>
      <c r="M2050" s="3">
        <f>tbl_Budget[[#This Row],[Variance]]/tbl_Budget[[#This Row],[Budget]]</f>
        <v>0.39429933667396794</v>
      </c>
      <c r="N2050" t="str">
        <f>IF(tbl_Budget[[#This Row],[Variance_%]]&gt;0.05,"Overspend",IF(tbl_Budget[[#This Row],[Variance_%]]&lt;-0.05,"Underspend","On Budget"))</f>
        <v>Overspend</v>
      </c>
    </row>
    <row r="2051" spans="1:14">
      <c r="A2051" s="1">
        <v>45536</v>
      </c>
      <c r="B2051">
        <v>9</v>
      </c>
      <c r="C2051" t="s">
        <v>46</v>
      </c>
      <c r="D2051" t="s">
        <v>62</v>
      </c>
      <c r="E2051">
        <v>2024</v>
      </c>
      <c r="F2051" t="s">
        <v>26</v>
      </c>
      <c r="G2051" t="s">
        <v>21</v>
      </c>
      <c r="H2051" t="s">
        <v>17</v>
      </c>
      <c r="I2051" t="s">
        <v>27</v>
      </c>
      <c r="J2051">
        <v>8367.8799999999992</v>
      </c>
      <c r="K2051">
        <v>11029.83</v>
      </c>
      <c r="L2051" s="20">
        <f>tbl_Budget[[#This Row],[Actual]]-tbl_Budget[[#This Row],[Budget]]</f>
        <v>2661.9500000000007</v>
      </c>
      <c r="M2051" s="3">
        <f>tbl_Budget[[#This Row],[Variance]]/tbl_Budget[[#This Row],[Budget]]</f>
        <v>0.31811522153759386</v>
      </c>
      <c r="N2051" t="str">
        <f>IF(tbl_Budget[[#This Row],[Variance_%]]&gt;0.05,"Overspend",IF(tbl_Budget[[#This Row],[Variance_%]]&lt;-0.05,"Underspend","On Budget"))</f>
        <v>Overspend</v>
      </c>
    </row>
    <row r="2052" spans="1:14">
      <c r="A2052" s="1">
        <v>45536</v>
      </c>
      <c r="B2052">
        <v>9</v>
      </c>
      <c r="C2052" t="s">
        <v>46</v>
      </c>
      <c r="D2052" t="s">
        <v>62</v>
      </c>
      <c r="E2052">
        <v>2024</v>
      </c>
      <c r="F2052" t="s">
        <v>26</v>
      </c>
      <c r="G2052" t="s">
        <v>21</v>
      </c>
      <c r="H2052" t="s">
        <v>18</v>
      </c>
      <c r="I2052" t="s">
        <v>27</v>
      </c>
      <c r="J2052">
        <v>8657.48</v>
      </c>
      <c r="K2052">
        <v>11159.35</v>
      </c>
      <c r="L2052" s="20">
        <f>tbl_Budget[[#This Row],[Actual]]-tbl_Budget[[#This Row],[Budget]]</f>
        <v>2501.8700000000008</v>
      </c>
      <c r="M2052" s="3">
        <f>tbl_Budget[[#This Row],[Variance]]/tbl_Budget[[#This Row],[Budget]]</f>
        <v>0.2889836303404687</v>
      </c>
      <c r="N2052" t="str">
        <f>IF(tbl_Budget[[#This Row],[Variance_%]]&gt;0.05,"Overspend",IF(tbl_Budget[[#This Row],[Variance_%]]&lt;-0.05,"Underspend","On Budget"))</f>
        <v>Overspend</v>
      </c>
    </row>
    <row r="2053" spans="1:14">
      <c r="A2053" s="1">
        <v>45536</v>
      </c>
      <c r="B2053">
        <v>9</v>
      </c>
      <c r="C2053" t="s">
        <v>46</v>
      </c>
      <c r="D2053" t="s">
        <v>62</v>
      </c>
      <c r="E2053">
        <v>2024</v>
      </c>
      <c r="F2053" t="s">
        <v>26</v>
      </c>
      <c r="G2053" t="s">
        <v>21</v>
      </c>
      <c r="H2053" t="s">
        <v>19</v>
      </c>
      <c r="I2053" t="s">
        <v>27</v>
      </c>
      <c r="J2053">
        <v>9029.02</v>
      </c>
      <c r="K2053">
        <v>12060.6</v>
      </c>
      <c r="L2053" s="20">
        <f>tbl_Budget[[#This Row],[Actual]]-tbl_Budget[[#This Row],[Budget]]</f>
        <v>3031.58</v>
      </c>
      <c r="M2053" s="3">
        <f>tbl_Budget[[#This Row],[Variance]]/tbl_Budget[[#This Row],[Budget]]</f>
        <v>0.33575958409661288</v>
      </c>
      <c r="N2053" t="str">
        <f>IF(tbl_Budget[[#This Row],[Variance_%]]&gt;0.05,"Overspend",IF(tbl_Budget[[#This Row],[Variance_%]]&lt;-0.05,"Underspend","On Budget"))</f>
        <v>Overspend</v>
      </c>
    </row>
    <row r="2054" spans="1:14" hidden="1">
      <c r="A2054" s="1">
        <v>45536</v>
      </c>
      <c r="B2054">
        <v>9</v>
      </c>
      <c r="C2054" t="s">
        <v>46</v>
      </c>
      <c r="D2054" t="s">
        <v>62</v>
      </c>
      <c r="E2054">
        <v>2024</v>
      </c>
      <c r="F2054" t="s">
        <v>26</v>
      </c>
      <c r="G2054" t="s">
        <v>22</v>
      </c>
      <c r="H2054" t="s">
        <v>15</v>
      </c>
      <c r="I2054" t="s">
        <v>27</v>
      </c>
      <c r="J2054">
        <v>6590.86</v>
      </c>
      <c r="K2054">
        <v>6399.28</v>
      </c>
      <c r="L2054" s="20">
        <f>tbl_Budget[[#This Row],[Actual]]-tbl_Budget[[#This Row],[Budget]]</f>
        <v>-191.57999999999993</v>
      </c>
      <c r="M2054" s="3">
        <f>tbl_Budget[[#This Row],[Variance]]/tbl_Budget[[#This Row],[Budget]]</f>
        <v>-2.9067526847786167E-2</v>
      </c>
      <c r="N2054" t="str">
        <f>IF(tbl_Budget[[#This Row],[Variance_%]]&gt;0.05,"Overspend",IF(tbl_Budget[[#This Row],[Variance_%]]&lt;-0.05,"Underspend","On Budget"))</f>
        <v>On Budget</v>
      </c>
    </row>
    <row r="2055" spans="1:14" hidden="1">
      <c r="A2055" s="1">
        <v>45536</v>
      </c>
      <c r="B2055">
        <v>9</v>
      </c>
      <c r="C2055" t="s">
        <v>46</v>
      </c>
      <c r="D2055" t="s">
        <v>62</v>
      </c>
      <c r="E2055">
        <v>2024</v>
      </c>
      <c r="F2055" t="s">
        <v>26</v>
      </c>
      <c r="G2055" t="s">
        <v>22</v>
      </c>
      <c r="H2055" t="s">
        <v>17</v>
      </c>
      <c r="I2055" t="s">
        <v>27</v>
      </c>
      <c r="J2055">
        <v>6342.1</v>
      </c>
      <c r="K2055">
        <v>6317.28</v>
      </c>
      <c r="L2055" s="20">
        <f>tbl_Budget[[#This Row],[Actual]]-tbl_Budget[[#This Row],[Budget]]</f>
        <v>-24.820000000000618</v>
      </c>
      <c r="M2055" s="3">
        <f>tbl_Budget[[#This Row],[Variance]]/tbl_Budget[[#This Row],[Budget]]</f>
        <v>-3.9135302186973746E-3</v>
      </c>
      <c r="N2055" t="str">
        <f>IF(tbl_Budget[[#This Row],[Variance_%]]&gt;0.05,"Overspend",IF(tbl_Budget[[#This Row],[Variance_%]]&lt;-0.05,"Underspend","On Budget"))</f>
        <v>On Budget</v>
      </c>
    </row>
    <row r="2056" spans="1:14" hidden="1">
      <c r="A2056" s="1">
        <v>45536</v>
      </c>
      <c r="B2056">
        <v>9</v>
      </c>
      <c r="C2056" t="s">
        <v>46</v>
      </c>
      <c r="D2056" t="s">
        <v>62</v>
      </c>
      <c r="E2056">
        <v>2024</v>
      </c>
      <c r="F2056" t="s">
        <v>26</v>
      </c>
      <c r="G2056" t="s">
        <v>22</v>
      </c>
      <c r="H2056" t="s">
        <v>18</v>
      </c>
      <c r="I2056" t="s">
        <v>27</v>
      </c>
      <c r="J2056">
        <v>6398.12</v>
      </c>
      <c r="K2056">
        <v>6447.73</v>
      </c>
      <c r="L2056" s="20">
        <f>tbl_Budget[[#This Row],[Actual]]-tbl_Budget[[#This Row],[Budget]]</f>
        <v>49.609999999999673</v>
      </c>
      <c r="M2056" s="3">
        <f>tbl_Budget[[#This Row],[Variance]]/tbl_Budget[[#This Row],[Budget]]</f>
        <v>7.7538401905559249E-3</v>
      </c>
      <c r="N2056" t="str">
        <f>IF(tbl_Budget[[#This Row],[Variance_%]]&gt;0.05,"Overspend",IF(tbl_Budget[[#This Row],[Variance_%]]&lt;-0.05,"Underspend","On Budget"))</f>
        <v>On Budget</v>
      </c>
    </row>
    <row r="2057" spans="1:14" hidden="1">
      <c r="A2057" s="1">
        <v>45536</v>
      </c>
      <c r="B2057">
        <v>9</v>
      </c>
      <c r="C2057" t="s">
        <v>46</v>
      </c>
      <c r="D2057" t="s">
        <v>62</v>
      </c>
      <c r="E2057">
        <v>2024</v>
      </c>
      <c r="F2057" t="s">
        <v>26</v>
      </c>
      <c r="G2057" t="s">
        <v>22</v>
      </c>
      <c r="H2057" t="s">
        <v>19</v>
      </c>
      <c r="I2057" t="s">
        <v>27</v>
      </c>
      <c r="J2057">
        <v>7108.4</v>
      </c>
      <c r="K2057">
        <v>7151.4</v>
      </c>
      <c r="L2057" s="20">
        <f>tbl_Budget[[#This Row],[Actual]]-tbl_Budget[[#This Row],[Budget]]</f>
        <v>43</v>
      </c>
      <c r="M2057" s="3">
        <f>tbl_Budget[[#This Row],[Variance]]/tbl_Budget[[#This Row],[Budget]]</f>
        <v>6.0491812503516967E-3</v>
      </c>
      <c r="N2057" t="str">
        <f>IF(tbl_Budget[[#This Row],[Variance_%]]&gt;0.05,"Overspend",IF(tbl_Budget[[#This Row],[Variance_%]]&lt;-0.05,"Underspend","On Budget"))</f>
        <v>On Budget</v>
      </c>
    </row>
    <row r="2058" spans="1:14" hidden="1">
      <c r="A2058" s="1">
        <v>45536</v>
      </c>
      <c r="B2058">
        <v>9</v>
      </c>
      <c r="C2058" t="s">
        <v>46</v>
      </c>
      <c r="D2058" t="s">
        <v>62</v>
      </c>
      <c r="E2058">
        <v>2024</v>
      </c>
      <c r="F2058" t="s">
        <v>26</v>
      </c>
      <c r="G2058" t="s">
        <v>23</v>
      </c>
      <c r="H2058" t="s">
        <v>15</v>
      </c>
      <c r="I2058" t="s">
        <v>27</v>
      </c>
      <c r="J2058">
        <v>5904.65</v>
      </c>
      <c r="K2058">
        <v>5809.74</v>
      </c>
      <c r="L2058" s="20">
        <f>tbl_Budget[[#This Row],[Actual]]-tbl_Budget[[#This Row],[Budget]]</f>
        <v>-94.909999999999854</v>
      </c>
      <c r="M2058" s="3">
        <f>tbl_Budget[[#This Row],[Variance]]/tbl_Budget[[#This Row],[Budget]]</f>
        <v>-1.6073772365847231E-2</v>
      </c>
      <c r="N2058" t="str">
        <f>IF(tbl_Budget[[#This Row],[Variance_%]]&gt;0.05,"Overspend",IF(tbl_Budget[[#This Row],[Variance_%]]&lt;-0.05,"Underspend","On Budget"))</f>
        <v>On Budget</v>
      </c>
    </row>
    <row r="2059" spans="1:14" hidden="1">
      <c r="A2059" s="1">
        <v>45536</v>
      </c>
      <c r="B2059">
        <v>9</v>
      </c>
      <c r="C2059" t="s">
        <v>46</v>
      </c>
      <c r="D2059" t="s">
        <v>62</v>
      </c>
      <c r="E2059">
        <v>2024</v>
      </c>
      <c r="F2059" t="s">
        <v>26</v>
      </c>
      <c r="G2059" t="s">
        <v>23</v>
      </c>
      <c r="H2059" t="s">
        <v>17</v>
      </c>
      <c r="I2059" t="s">
        <v>27</v>
      </c>
      <c r="J2059">
        <v>5391.42</v>
      </c>
      <c r="K2059">
        <v>5507.64</v>
      </c>
      <c r="L2059" s="20">
        <f>tbl_Budget[[#This Row],[Actual]]-tbl_Budget[[#This Row],[Budget]]</f>
        <v>116.22000000000025</v>
      </c>
      <c r="M2059" s="3">
        <f>tbl_Budget[[#This Row],[Variance]]/tbl_Budget[[#This Row],[Budget]]</f>
        <v>2.1556473062755314E-2</v>
      </c>
      <c r="N2059" t="str">
        <f>IF(tbl_Budget[[#This Row],[Variance_%]]&gt;0.05,"Overspend",IF(tbl_Budget[[#This Row],[Variance_%]]&lt;-0.05,"Underspend","On Budget"))</f>
        <v>On Budget</v>
      </c>
    </row>
    <row r="2060" spans="1:14" hidden="1">
      <c r="A2060" s="1">
        <v>45536</v>
      </c>
      <c r="B2060">
        <v>9</v>
      </c>
      <c r="C2060" t="s">
        <v>46</v>
      </c>
      <c r="D2060" t="s">
        <v>62</v>
      </c>
      <c r="E2060">
        <v>2024</v>
      </c>
      <c r="F2060" t="s">
        <v>26</v>
      </c>
      <c r="G2060" t="s">
        <v>23</v>
      </c>
      <c r="H2060" t="s">
        <v>18</v>
      </c>
      <c r="I2060" t="s">
        <v>27</v>
      </c>
      <c r="J2060">
        <v>5642.95</v>
      </c>
      <c r="K2060">
        <v>5782.39</v>
      </c>
      <c r="L2060" s="20">
        <f>tbl_Budget[[#This Row],[Actual]]-tbl_Budget[[#This Row],[Budget]]</f>
        <v>139.44000000000051</v>
      </c>
      <c r="M2060" s="3">
        <f>tbl_Budget[[#This Row],[Variance]]/tbl_Budget[[#This Row],[Budget]]</f>
        <v>2.4710479447806646E-2</v>
      </c>
      <c r="N2060" t="str">
        <f>IF(tbl_Budget[[#This Row],[Variance_%]]&gt;0.05,"Overspend",IF(tbl_Budget[[#This Row],[Variance_%]]&lt;-0.05,"Underspend","On Budget"))</f>
        <v>On Budget</v>
      </c>
    </row>
    <row r="2061" spans="1:14" hidden="1">
      <c r="A2061" s="1">
        <v>45536</v>
      </c>
      <c r="B2061">
        <v>9</v>
      </c>
      <c r="C2061" t="s">
        <v>46</v>
      </c>
      <c r="D2061" t="s">
        <v>62</v>
      </c>
      <c r="E2061">
        <v>2024</v>
      </c>
      <c r="F2061" t="s">
        <v>26</v>
      </c>
      <c r="G2061" t="s">
        <v>23</v>
      </c>
      <c r="H2061" t="s">
        <v>19</v>
      </c>
      <c r="I2061" t="s">
        <v>27</v>
      </c>
      <c r="J2061">
        <v>6177.79</v>
      </c>
      <c r="K2061">
        <v>6312.87</v>
      </c>
      <c r="L2061" s="20">
        <f>tbl_Budget[[#This Row],[Actual]]-tbl_Budget[[#This Row],[Budget]]</f>
        <v>135.07999999999993</v>
      </c>
      <c r="M2061" s="3">
        <f>tbl_Budget[[#This Row],[Variance]]/tbl_Budget[[#This Row],[Budget]]</f>
        <v>2.1865424366966167E-2</v>
      </c>
      <c r="N2061" t="str">
        <f>IF(tbl_Budget[[#This Row],[Variance_%]]&gt;0.05,"Overspend",IF(tbl_Budget[[#This Row],[Variance_%]]&lt;-0.05,"Underspend","On Budget"))</f>
        <v>On Budget</v>
      </c>
    </row>
    <row r="2062" spans="1:14" hidden="1">
      <c r="A2062" s="1">
        <v>45536</v>
      </c>
      <c r="B2062">
        <v>9</v>
      </c>
      <c r="C2062" t="s">
        <v>46</v>
      </c>
      <c r="D2062" t="s">
        <v>62</v>
      </c>
      <c r="E2062">
        <v>2024</v>
      </c>
      <c r="F2062" t="s">
        <v>28</v>
      </c>
      <c r="G2062" t="s">
        <v>14</v>
      </c>
      <c r="H2062" t="s">
        <v>15</v>
      </c>
      <c r="I2062" t="s">
        <v>29</v>
      </c>
      <c r="J2062">
        <v>56616.13</v>
      </c>
      <c r="K2062">
        <v>66153.58</v>
      </c>
      <c r="L2062" s="20">
        <f>tbl_Budget[[#This Row],[Actual]]-tbl_Budget[[#This Row],[Budget]]</f>
        <v>9537.4500000000044</v>
      </c>
      <c r="M2062" s="3">
        <f>tbl_Budget[[#This Row],[Variance]]/tbl_Budget[[#This Row],[Budget]]</f>
        <v>0.1684581761416756</v>
      </c>
      <c r="N2062" t="str">
        <f>IF(tbl_Budget[[#This Row],[Variance_%]]&gt;0.05,"Overspend",IF(tbl_Budget[[#This Row],[Variance_%]]&lt;-0.05,"Underspend","On Budget"))</f>
        <v>Overspend</v>
      </c>
    </row>
    <row r="2063" spans="1:14" hidden="1">
      <c r="A2063" s="1">
        <v>45536</v>
      </c>
      <c r="B2063">
        <v>9</v>
      </c>
      <c r="C2063" t="s">
        <v>46</v>
      </c>
      <c r="D2063" t="s">
        <v>62</v>
      </c>
      <c r="E2063">
        <v>2024</v>
      </c>
      <c r="F2063" t="s">
        <v>28</v>
      </c>
      <c r="G2063" t="s">
        <v>14</v>
      </c>
      <c r="H2063" t="s">
        <v>17</v>
      </c>
      <c r="I2063" t="s">
        <v>29</v>
      </c>
      <c r="J2063">
        <v>53515.11</v>
      </c>
      <c r="K2063">
        <v>59972.5</v>
      </c>
      <c r="L2063" s="20">
        <f>tbl_Budget[[#This Row],[Actual]]-tbl_Budget[[#This Row],[Budget]]</f>
        <v>6457.3899999999994</v>
      </c>
      <c r="M2063" s="3">
        <f>tbl_Budget[[#This Row],[Variance]]/tbl_Budget[[#This Row],[Budget]]</f>
        <v>0.12066479915672414</v>
      </c>
      <c r="N2063" t="str">
        <f>IF(tbl_Budget[[#This Row],[Variance_%]]&gt;0.05,"Overspend",IF(tbl_Budget[[#This Row],[Variance_%]]&lt;-0.05,"Underspend","On Budget"))</f>
        <v>Overspend</v>
      </c>
    </row>
    <row r="2064" spans="1:14" hidden="1">
      <c r="A2064" s="1">
        <v>45536</v>
      </c>
      <c r="B2064">
        <v>9</v>
      </c>
      <c r="C2064" t="s">
        <v>46</v>
      </c>
      <c r="D2064" t="s">
        <v>62</v>
      </c>
      <c r="E2064">
        <v>2024</v>
      </c>
      <c r="F2064" t="s">
        <v>28</v>
      </c>
      <c r="G2064" t="s">
        <v>14</v>
      </c>
      <c r="H2064" t="s">
        <v>18</v>
      </c>
      <c r="I2064" t="s">
        <v>29</v>
      </c>
      <c r="J2064">
        <v>52942.400000000001</v>
      </c>
      <c r="K2064">
        <v>61515.77</v>
      </c>
      <c r="L2064" s="20">
        <f>tbl_Budget[[#This Row],[Actual]]-tbl_Budget[[#This Row],[Budget]]</f>
        <v>8573.3699999999953</v>
      </c>
      <c r="M2064" s="3">
        <f>tbl_Budget[[#This Row],[Variance]]/tbl_Budget[[#This Row],[Budget]]</f>
        <v>0.1619376907733687</v>
      </c>
      <c r="N2064" t="str">
        <f>IF(tbl_Budget[[#This Row],[Variance_%]]&gt;0.05,"Overspend",IF(tbl_Budget[[#This Row],[Variance_%]]&lt;-0.05,"Underspend","On Budget"))</f>
        <v>Overspend</v>
      </c>
    </row>
    <row r="2065" spans="1:14" hidden="1">
      <c r="A2065" s="1">
        <v>45536</v>
      </c>
      <c r="B2065">
        <v>9</v>
      </c>
      <c r="C2065" t="s">
        <v>46</v>
      </c>
      <c r="D2065" t="s">
        <v>62</v>
      </c>
      <c r="E2065">
        <v>2024</v>
      </c>
      <c r="F2065" t="s">
        <v>28</v>
      </c>
      <c r="G2065" t="s">
        <v>14</v>
      </c>
      <c r="H2065" t="s">
        <v>19</v>
      </c>
      <c r="I2065" t="s">
        <v>29</v>
      </c>
      <c r="J2065">
        <v>57408.639999999999</v>
      </c>
      <c r="K2065">
        <v>58552.83</v>
      </c>
      <c r="L2065" s="20">
        <f>tbl_Budget[[#This Row],[Actual]]-tbl_Budget[[#This Row],[Budget]]</f>
        <v>1144.1900000000023</v>
      </c>
      <c r="M2065" s="3">
        <f>tbl_Budget[[#This Row],[Variance]]/tbl_Budget[[#This Row],[Budget]]</f>
        <v>1.9930623683125089E-2</v>
      </c>
      <c r="N2065" t="str">
        <f>IF(tbl_Budget[[#This Row],[Variance_%]]&gt;0.05,"Overspend",IF(tbl_Budget[[#This Row],[Variance_%]]&lt;-0.05,"Underspend","On Budget"))</f>
        <v>On Budget</v>
      </c>
    </row>
    <row r="2066" spans="1:14" hidden="1">
      <c r="A2066" s="1">
        <v>45536</v>
      </c>
      <c r="B2066">
        <v>9</v>
      </c>
      <c r="C2066" t="s">
        <v>46</v>
      </c>
      <c r="D2066" t="s">
        <v>62</v>
      </c>
      <c r="E2066">
        <v>2024</v>
      </c>
      <c r="F2066" t="s">
        <v>28</v>
      </c>
      <c r="G2066" t="s">
        <v>20</v>
      </c>
      <c r="H2066" t="s">
        <v>15</v>
      </c>
      <c r="I2066" t="s">
        <v>29</v>
      </c>
      <c r="J2066">
        <v>21334.02</v>
      </c>
      <c r="K2066">
        <v>19027.14</v>
      </c>
      <c r="L2066" s="20">
        <f>tbl_Budget[[#This Row],[Actual]]-tbl_Budget[[#This Row],[Budget]]</f>
        <v>-2306.880000000001</v>
      </c>
      <c r="M2066" s="3">
        <f>tbl_Budget[[#This Row],[Variance]]/tbl_Budget[[#This Row],[Budget]]</f>
        <v>-0.1081315195167156</v>
      </c>
      <c r="N2066" t="str">
        <f>IF(tbl_Budget[[#This Row],[Variance_%]]&gt;0.05,"Overspend",IF(tbl_Budget[[#This Row],[Variance_%]]&lt;-0.05,"Underspend","On Budget"))</f>
        <v>Underspend</v>
      </c>
    </row>
    <row r="2067" spans="1:14" hidden="1">
      <c r="A2067" s="1">
        <v>45536</v>
      </c>
      <c r="B2067">
        <v>9</v>
      </c>
      <c r="C2067" t="s">
        <v>46</v>
      </c>
      <c r="D2067" t="s">
        <v>62</v>
      </c>
      <c r="E2067">
        <v>2024</v>
      </c>
      <c r="F2067" t="s">
        <v>28</v>
      </c>
      <c r="G2067" t="s">
        <v>20</v>
      </c>
      <c r="H2067" t="s">
        <v>17</v>
      </c>
      <c r="I2067" t="s">
        <v>29</v>
      </c>
      <c r="J2067">
        <v>20449.919999999998</v>
      </c>
      <c r="K2067">
        <v>19956.61</v>
      </c>
      <c r="L2067" s="20">
        <f>tbl_Budget[[#This Row],[Actual]]-tbl_Budget[[#This Row],[Budget]]</f>
        <v>-493.30999999999767</v>
      </c>
      <c r="M2067" s="3">
        <f>tbl_Budget[[#This Row],[Variance]]/tbl_Budget[[#This Row],[Budget]]</f>
        <v>-2.4122832754357851E-2</v>
      </c>
      <c r="N2067" t="str">
        <f>IF(tbl_Budget[[#This Row],[Variance_%]]&gt;0.05,"Overspend",IF(tbl_Budget[[#This Row],[Variance_%]]&lt;-0.05,"Underspend","On Budget"))</f>
        <v>On Budget</v>
      </c>
    </row>
    <row r="2068" spans="1:14" hidden="1">
      <c r="A2068" s="1">
        <v>45536</v>
      </c>
      <c r="B2068">
        <v>9</v>
      </c>
      <c r="C2068" t="s">
        <v>46</v>
      </c>
      <c r="D2068" t="s">
        <v>62</v>
      </c>
      <c r="E2068">
        <v>2024</v>
      </c>
      <c r="F2068" t="s">
        <v>28</v>
      </c>
      <c r="G2068" t="s">
        <v>20</v>
      </c>
      <c r="H2068" t="s">
        <v>18</v>
      </c>
      <c r="I2068" t="s">
        <v>29</v>
      </c>
      <c r="J2068">
        <v>20018.810000000001</v>
      </c>
      <c r="K2068">
        <v>22839.98</v>
      </c>
      <c r="L2068" s="20">
        <f>tbl_Budget[[#This Row],[Actual]]-tbl_Budget[[#This Row],[Budget]]</f>
        <v>2821.1699999999983</v>
      </c>
      <c r="M2068" s="3">
        <f>tbl_Budget[[#This Row],[Variance]]/tbl_Budget[[#This Row],[Budget]]</f>
        <v>0.14092595913543302</v>
      </c>
      <c r="N2068" t="str">
        <f>IF(tbl_Budget[[#This Row],[Variance_%]]&gt;0.05,"Overspend",IF(tbl_Budget[[#This Row],[Variance_%]]&lt;-0.05,"Underspend","On Budget"))</f>
        <v>Overspend</v>
      </c>
    </row>
    <row r="2069" spans="1:14" hidden="1">
      <c r="A2069" s="1">
        <v>45536</v>
      </c>
      <c r="B2069">
        <v>9</v>
      </c>
      <c r="C2069" t="s">
        <v>46</v>
      </c>
      <c r="D2069" t="s">
        <v>62</v>
      </c>
      <c r="E2069">
        <v>2024</v>
      </c>
      <c r="F2069" t="s">
        <v>28</v>
      </c>
      <c r="G2069" t="s">
        <v>20</v>
      </c>
      <c r="H2069" t="s">
        <v>19</v>
      </c>
      <c r="I2069" t="s">
        <v>29</v>
      </c>
      <c r="J2069">
        <v>21414.77</v>
      </c>
      <c r="K2069">
        <v>23160.53</v>
      </c>
      <c r="L2069" s="20">
        <f>tbl_Budget[[#This Row],[Actual]]-tbl_Budget[[#This Row],[Budget]]</f>
        <v>1745.7599999999984</v>
      </c>
      <c r="M2069" s="3">
        <f>tbl_Budget[[#This Row],[Variance]]/tbl_Budget[[#This Row],[Budget]]</f>
        <v>8.1521305155273602E-2</v>
      </c>
      <c r="N2069" t="str">
        <f>IF(tbl_Budget[[#This Row],[Variance_%]]&gt;0.05,"Overspend",IF(tbl_Budget[[#This Row],[Variance_%]]&lt;-0.05,"Underspend","On Budget"))</f>
        <v>Overspend</v>
      </c>
    </row>
    <row r="2070" spans="1:14">
      <c r="A2070" s="1">
        <v>45536</v>
      </c>
      <c r="B2070">
        <v>9</v>
      </c>
      <c r="C2070" t="s">
        <v>46</v>
      </c>
      <c r="D2070" t="s">
        <v>62</v>
      </c>
      <c r="E2070">
        <v>2024</v>
      </c>
      <c r="F2070" t="s">
        <v>28</v>
      </c>
      <c r="G2070" t="s">
        <v>21</v>
      </c>
      <c r="H2070" t="s">
        <v>15</v>
      </c>
      <c r="I2070" t="s">
        <v>29</v>
      </c>
      <c r="J2070">
        <v>11864.65</v>
      </c>
      <c r="K2070">
        <v>17059.349999999999</v>
      </c>
      <c r="L2070" s="20">
        <f>tbl_Budget[[#This Row],[Actual]]-tbl_Budget[[#This Row],[Budget]]</f>
        <v>5194.6999999999989</v>
      </c>
      <c r="M2070" s="3">
        <f>tbl_Budget[[#This Row],[Variance]]/tbl_Budget[[#This Row],[Budget]]</f>
        <v>0.43783002448449798</v>
      </c>
      <c r="N2070" t="str">
        <f>IF(tbl_Budget[[#This Row],[Variance_%]]&gt;0.05,"Overspend",IF(tbl_Budget[[#This Row],[Variance_%]]&lt;-0.05,"Underspend","On Budget"))</f>
        <v>Overspend</v>
      </c>
    </row>
    <row r="2071" spans="1:14">
      <c r="A2071" s="1">
        <v>45536</v>
      </c>
      <c r="B2071">
        <v>9</v>
      </c>
      <c r="C2071" t="s">
        <v>46</v>
      </c>
      <c r="D2071" t="s">
        <v>62</v>
      </c>
      <c r="E2071">
        <v>2024</v>
      </c>
      <c r="F2071" t="s">
        <v>28</v>
      </c>
      <c r="G2071" t="s">
        <v>21</v>
      </c>
      <c r="H2071" t="s">
        <v>17</v>
      </c>
      <c r="I2071" t="s">
        <v>29</v>
      </c>
      <c r="J2071">
        <v>11085.48</v>
      </c>
      <c r="K2071">
        <v>15042.73</v>
      </c>
      <c r="L2071" s="20">
        <f>tbl_Budget[[#This Row],[Actual]]-tbl_Budget[[#This Row],[Budget]]</f>
        <v>3957.25</v>
      </c>
      <c r="M2071" s="3">
        <f>tbl_Budget[[#This Row],[Variance]]/tbl_Budget[[#This Row],[Budget]]</f>
        <v>0.35697597217260779</v>
      </c>
      <c r="N2071" t="str">
        <f>IF(tbl_Budget[[#This Row],[Variance_%]]&gt;0.05,"Overspend",IF(tbl_Budget[[#This Row],[Variance_%]]&lt;-0.05,"Underspend","On Budget"))</f>
        <v>Overspend</v>
      </c>
    </row>
    <row r="2072" spans="1:14">
      <c r="A2072" s="1">
        <v>45536</v>
      </c>
      <c r="B2072">
        <v>9</v>
      </c>
      <c r="C2072" t="s">
        <v>46</v>
      </c>
      <c r="D2072" t="s">
        <v>62</v>
      </c>
      <c r="E2072">
        <v>2024</v>
      </c>
      <c r="F2072" t="s">
        <v>28</v>
      </c>
      <c r="G2072" t="s">
        <v>21</v>
      </c>
      <c r="H2072" t="s">
        <v>18</v>
      </c>
      <c r="I2072" t="s">
        <v>29</v>
      </c>
      <c r="J2072">
        <v>11564.66</v>
      </c>
      <c r="K2072">
        <v>15099.82</v>
      </c>
      <c r="L2072" s="20">
        <f>tbl_Budget[[#This Row],[Actual]]-tbl_Budget[[#This Row],[Budget]]</f>
        <v>3535.16</v>
      </c>
      <c r="M2072" s="3">
        <f>tbl_Budget[[#This Row],[Variance]]/tbl_Budget[[#This Row],[Budget]]</f>
        <v>0.30568646203174155</v>
      </c>
      <c r="N2072" t="str">
        <f>IF(tbl_Budget[[#This Row],[Variance_%]]&gt;0.05,"Overspend",IF(tbl_Budget[[#This Row],[Variance_%]]&lt;-0.05,"Underspend","On Budget"))</f>
        <v>Overspend</v>
      </c>
    </row>
    <row r="2073" spans="1:14">
      <c r="A2073" s="1">
        <v>45536</v>
      </c>
      <c r="B2073">
        <v>9</v>
      </c>
      <c r="C2073" t="s">
        <v>46</v>
      </c>
      <c r="D2073" t="s">
        <v>62</v>
      </c>
      <c r="E2073">
        <v>2024</v>
      </c>
      <c r="F2073" t="s">
        <v>28</v>
      </c>
      <c r="G2073" t="s">
        <v>21</v>
      </c>
      <c r="H2073" t="s">
        <v>19</v>
      </c>
      <c r="I2073" t="s">
        <v>29</v>
      </c>
      <c r="J2073">
        <v>12230.6</v>
      </c>
      <c r="K2073">
        <v>15843.23</v>
      </c>
      <c r="L2073" s="20">
        <f>tbl_Budget[[#This Row],[Actual]]-tbl_Budget[[#This Row],[Budget]]</f>
        <v>3612.6299999999992</v>
      </c>
      <c r="M2073" s="3">
        <f>tbl_Budget[[#This Row],[Variance]]/tbl_Budget[[#This Row],[Budget]]</f>
        <v>0.29537635111932359</v>
      </c>
      <c r="N2073" t="str">
        <f>IF(tbl_Budget[[#This Row],[Variance_%]]&gt;0.05,"Overspend",IF(tbl_Budget[[#This Row],[Variance_%]]&lt;-0.05,"Underspend","On Budget"))</f>
        <v>Overspend</v>
      </c>
    </row>
    <row r="2074" spans="1:14" hidden="1">
      <c r="A2074" s="1">
        <v>45536</v>
      </c>
      <c r="B2074">
        <v>9</v>
      </c>
      <c r="C2074" t="s">
        <v>46</v>
      </c>
      <c r="D2074" t="s">
        <v>62</v>
      </c>
      <c r="E2074">
        <v>2024</v>
      </c>
      <c r="F2074" t="s">
        <v>28</v>
      </c>
      <c r="G2074" t="s">
        <v>22</v>
      </c>
      <c r="H2074" t="s">
        <v>15</v>
      </c>
      <c r="I2074" t="s">
        <v>29</v>
      </c>
      <c r="J2074">
        <v>12441.25</v>
      </c>
      <c r="K2074">
        <v>12630.51</v>
      </c>
      <c r="L2074" s="20">
        <f>tbl_Budget[[#This Row],[Actual]]-tbl_Budget[[#This Row],[Budget]]</f>
        <v>189.26000000000022</v>
      </c>
      <c r="M2074" s="3">
        <f>tbl_Budget[[#This Row],[Variance]]/tbl_Budget[[#This Row],[Budget]]</f>
        <v>1.5212297799658412E-2</v>
      </c>
      <c r="N2074" t="str">
        <f>IF(tbl_Budget[[#This Row],[Variance_%]]&gt;0.05,"Overspend",IF(tbl_Budget[[#This Row],[Variance_%]]&lt;-0.05,"Underspend","On Budget"))</f>
        <v>On Budget</v>
      </c>
    </row>
    <row r="2075" spans="1:14" hidden="1">
      <c r="A2075" s="1">
        <v>45536</v>
      </c>
      <c r="B2075">
        <v>9</v>
      </c>
      <c r="C2075" t="s">
        <v>46</v>
      </c>
      <c r="D2075" t="s">
        <v>62</v>
      </c>
      <c r="E2075">
        <v>2024</v>
      </c>
      <c r="F2075" t="s">
        <v>28</v>
      </c>
      <c r="G2075" t="s">
        <v>22</v>
      </c>
      <c r="H2075" t="s">
        <v>17</v>
      </c>
      <c r="I2075" t="s">
        <v>29</v>
      </c>
      <c r="J2075">
        <v>11744.92</v>
      </c>
      <c r="K2075">
        <v>11668.87</v>
      </c>
      <c r="L2075" s="20">
        <f>tbl_Budget[[#This Row],[Actual]]-tbl_Budget[[#This Row],[Budget]]</f>
        <v>-76.049999999999272</v>
      </c>
      <c r="M2075" s="3">
        <f>tbl_Budget[[#This Row],[Variance]]/tbl_Budget[[#This Row],[Budget]]</f>
        <v>-6.4751398902673897E-3</v>
      </c>
      <c r="N2075" t="str">
        <f>IF(tbl_Budget[[#This Row],[Variance_%]]&gt;0.05,"Overspend",IF(tbl_Budget[[#This Row],[Variance_%]]&lt;-0.05,"Underspend","On Budget"))</f>
        <v>On Budget</v>
      </c>
    </row>
    <row r="2076" spans="1:14" hidden="1">
      <c r="A2076" s="1">
        <v>45536</v>
      </c>
      <c r="B2076">
        <v>9</v>
      </c>
      <c r="C2076" t="s">
        <v>46</v>
      </c>
      <c r="D2076" t="s">
        <v>62</v>
      </c>
      <c r="E2076">
        <v>2024</v>
      </c>
      <c r="F2076" t="s">
        <v>28</v>
      </c>
      <c r="G2076" t="s">
        <v>22</v>
      </c>
      <c r="H2076" t="s">
        <v>18</v>
      </c>
      <c r="I2076" t="s">
        <v>29</v>
      </c>
      <c r="J2076">
        <v>11819.37</v>
      </c>
      <c r="K2076">
        <v>12960.4</v>
      </c>
      <c r="L2076" s="20">
        <f>tbl_Budget[[#This Row],[Actual]]-tbl_Budget[[#This Row],[Budget]]</f>
        <v>1141.0299999999988</v>
      </c>
      <c r="M2076" s="3">
        <f>tbl_Budget[[#This Row],[Variance]]/tbl_Budget[[#This Row],[Budget]]</f>
        <v>9.6538986426518397E-2</v>
      </c>
      <c r="N2076" t="str">
        <f>IF(tbl_Budget[[#This Row],[Variance_%]]&gt;0.05,"Overspend",IF(tbl_Budget[[#This Row],[Variance_%]]&lt;-0.05,"Underspend","On Budget"))</f>
        <v>Overspend</v>
      </c>
    </row>
    <row r="2077" spans="1:14" hidden="1">
      <c r="A2077" s="1">
        <v>45536</v>
      </c>
      <c r="B2077">
        <v>9</v>
      </c>
      <c r="C2077" t="s">
        <v>46</v>
      </c>
      <c r="D2077" t="s">
        <v>62</v>
      </c>
      <c r="E2077">
        <v>2024</v>
      </c>
      <c r="F2077" t="s">
        <v>28</v>
      </c>
      <c r="G2077" t="s">
        <v>22</v>
      </c>
      <c r="H2077" t="s">
        <v>19</v>
      </c>
      <c r="I2077" t="s">
        <v>29</v>
      </c>
      <c r="J2077">
        <v>13231.62</v>
      </c>
      <c r="K2077">
        <v>15094.05</v>
      </c>
      <c r="L2077" s="20">
        <f>tbl_Budget[[#This Row],[Actual]]-tbl_Budget[[#This Row],[Budget]]</f>
        <v>1862.4299999999985</v>
      </c>
      <c r="M2077" s="3">
        <f>tbl_Budget[[#This Row],[Variance]]/tbl_Budget[[#This Row],[Budget]]</f>
        <v>0.14075600720093218</v>
      </c>
      <c r="N2077" t="str">
        <f>IF(tbl_Budget[[#This Row],[Variance_%]]&gt;0.05,"Overspend",IF(tbl_Budget[[#This Row],[Variance_%]]&lt;-0.05,"Underspend","On Budget"))</f>
        <v>Overspend</v>
      </c>
    </row>
    <row r="2078" spans="1:14" hidden="1">
      <c r="A2078" s="1">
        <v>45536</v>
      </c>
      <c r="B2078">
        <v>9</v>
      </c>
      <c r="C2078" t="s">
        <v>46</v>
      </c>
      <c r="D2078" t="s">
        <v>62</v>
      </c>
      <c r="E2078">
        <v>2024</v>
      </c>
      <c r="F2078" t="s">
        <v>28</v>
      </c>
      <c r="G2078" t="s">
        <v>23</v>
      </c>
      <c r="H2078" t="s">
        <v>15</v>
      </c>
      <c r="I2078" t="s">
        <v>29</v>
      </c>
      <c r="J2078">
        <v>7792.56</v>
      </c>
      <c r="K2078">
        <v>8367.75</v>
      </c>
      <c r="L2078" s="20">
        <f>tbl_Budget[[#This Row],[Actual]]-tbl_Budget[[#This Row],[Budget]]</f>
        <v>575.1899999999996</v>
      </c>
      <c r="M2078" s="3">
        <f>tbl_Budget[[#This Row],[Variance]]/tbl_Budget[[#This Row],[Budget]]</f>
        <v>7.3812713665342269E-2</v>
      </c>
      <c r="N2078" t="str">
        <f>IF(tbl_Budget[[#This Row],[Variance_%]]&gt;0.05,"Overspend",IF(tbl_Budget[[#This Row],[Variance_%]]&lt;-0.05,"Underspend","On Budget"))</f>
        <v>Overspend</v>
      </c>
    </row>
    <row r="2079" spans="1:14" hidden="1">
      <c r="A2079" s="1">
        <v>45536</v>
      </c>
      <c r="B2079">
        <v>9</v>
      </c>
      <c r="C2079" t="s">
        <v>46</v>
      </c>
      <c r="D2079" t="s">
        <v>62</v>
      </c>
      <c r="E2079">
        <v>2024</v>
      </c>
      <c r="F2079" t="s">
        <v>28</v>
      </c>
      <c r="G2079" t="s">
        <v>23</v>
      </c>
      <c r="H2079" t="s">
        <v>17</v>
      </c>
      <c r="I2079" t="s">
        <v>29</v>
      </c>
      <c r="J2079">
        <v>7613.93</v>
      </c>
      <c r="K2079">
        <v>7782.94</v>
      </c>
      <c r="L2079" s="20">
        <f>tbl_Budget[[#This Row],[Actual]]-tbl_Budget[[#This Row],[Budget]]</f>
        <v>169.00999999999931</v>
      </c>
      <c r="M2079" s="3">
        <f>tbl_Budget[[#This Row],[Variance]]/tbl_Budget[[#This Row],[Budget]]</f>
        <v>2.2197472264651671E-2</v>
      </c>
      <c r="N2079" t="str">
        <f>IF(tbl_Budget[[#This Row],[Variance_%]]&gt;0.05,"Overspend",IF(tbl_Budget[[#This Row],[Variance_%]]&lt;-0.05,"Underspend","On Budget"))</f>
        <v>On Budget</v>
      </c>
    </row>
    <row r="2080" spans="1:14" hidden="1">
      <c r="A2080" s="1">
        <v>45536</v>
      </c>
      <c r="B2080">
        <v>9</v>
      </c>
      <c r="C2080" t="s">
        <v>46</v>
      </c>
      <c r="D2080" t="s">
        <v>62</v>
      </c>
      <c r="E2080">
        <v>2024</v>
      </c>
      <c r="F2080" t="s">
        <v>28</v>
      </c>
      <c r="G2080" t="s">
        <v>23</v>
      </c>
      <c r="H2080" t="s">
        <v>18</v>
      </c>
      <c r="I2080" t="s">
        <v>29</v>
      </c>
      <c r="J2080">
        <v>7790.24</v>
      </c>
      <c r="K2080">
        <v>9038.56</v>
      </c>
      <c r="L2080" s="20">
        <f>tbl_Budget[[#This Row],[Actual]]-tbl_Budget[[#This Row],[Budget]]</f>
        <v>1248.3199999999997</v>
      </c>
      <c r="M2080" s="3">
        <f>tbl_Budget[[#This Row],[Variance]]/tbl_Budget[[#This Row],[Budget]]</f>
        <v>0.16024153299513233</v>
      </c>
      <c r="N2080" t="str">
        <f>IF(tbl_Budget[[#This Row],[Variance_%]]&gt;0.05,"Overspend",IF(tbl_Budget[[#This Row],[Variance_%]]&lt;-0.05,"Underspend","On Budget"))</f>
        <v>Overspend</v>
      </c>
    </row>
    <row r="2081" spans="1:14" hidden="1">
      <c r="A2081" s="1">
        <v>45536</v>
      </c>
      <c r="B2081">
        <v>9</v>
      </c>
      <c r="C2081" t="s">
        <v>46</v>
      </c>
      <c r="D2081" t="s">
        <v>62</v>
      </c>
      <c r="E2081">
        <v>2024</v>
      </c>
      <c r="F2081" t="s">
        <v>28</v>
      </c>
      <c r="G2081" t="s">
        <v>23</v>
      </c>
      <c r="H2081" t="s">
        <v>19</v>
      </c>
      <c r="I2081" t="s">
        <v>29</v>
      </c>
      <c r="J2081">
        <v>8168.57</v>
      </c>
      <c r="K2081">
        <v>7740.14</v>
      </c>
      <c r="L2081" s="20">
        <f>tbl_Budget[[#This Row],[Actual]]-tbl_Budget[[#This Row],[Budget]]</f>
        <v>-428.42999999999938</v>
      </c>
      <c r="M2081" s="3">
        <f>tbl_Budget[[#This Row],[Variance]]/tbl_Budget[[#This Row],[Budget]]</f>
        <v>-5.2448592593317973E-2</v>
      </c>
      <c r="N2081" t="str">
        <f>IF(tbl_Budget[[#This Row],[Variance_%]]&gt;0.05,"Overspend",IF(tbl_Budget[[#This Row],[Variance_%]]&lt;-0.05,"Underspend","On Budget"))</f>
        <v>Underspend</v>
      </c>
    </row>
    <row r="2082" spans="1:14" hidden="1">
      <c r="A2082" s="1">
        <v>45536</v>
      </c>
      <c r="B2082">
        <v>9</v>
      </c>
      <c r="C2082" t="s">
        <v>46</v>
      </c>
      <c r="D2082" t="s">
        <v>62</v>
      </c>
      <c r="E2082">
        <v>2024</v>
      </c>
      <c r="F2082" t="s">
        <v>30</v>
      </c>
      <c r="G2082" t="s">
        <v>14</v>
      </c>
      <c r="H2082" t="s">
        <v>15</v>
      </c>
      <c r="I2082" t="s">
        <v>31</v>
      </c>
      <c r="J2082">
        <v>43755.360000000001</v>
      </c>
      <c r="K2082">
        <v>45699.97</v>
      </c>
      <c r="L2082" s="20">
        <f>tbl_Budget[[#This Row],[Actual]]-tbl_Budget[[#This Row],[Budget]]</f>
        <v>1944.6100000000006</v>
      </c>
      <c r="M2082" s="3">
        <f>tbl_Budget[[#This Row],[Variance]]/tbl_Budget[[#This Row],[Budget]]</f>
        <v>4.4442783695528974E-2</v>
      </c>
      <c r="N2082" t="str">
        <f>IF(tbl_Budget[[#This Row],[Variance_%]]&gt;0.05,"Overspend",IF(tbl_Budget[[#This Row],[Variance_%]]&lt;-0.05,"Underspend","On Budget"))</f>
        <v>On Budget</v>
      </c>
    </row>
    <row r="2083" spans="1:14" hidden="1">
      <c r="A2083" s="1">
        <v>45536</v>
      </c>
      <c r="B2083">
        <v>9</v>
      </c>
      <c r="C2083" t="s">
        <v>46</v>
      </c>
      <c r="D2083" t="s">
        <v>62</v>
      </c>
      <c r="E2083">
        <v>2024</v>
      </c>
      <c r="F2083" t="s">
        <v>30</v>
      </c>
      <c r="G2083" t="s">
        <v>14</v>
      </c>
      <c r="H2083" t="s">
        <v>17</v>
      </c>
      <c r="I2083" t="s">
        <v>31</v>
      </c>
      <c r="J2083">
        <v>41994.44</v>
      </c>
      <c r="K2083">
        <v>41472.26</v>
      </c>
      <c r="L2083" s="20">
        <f>tbl_Budget[[#This Row],[Actual]]-tbl_Budget[[#This Row],[Budget]]</f>
        <v>-522.18000000000029</v>
      </c>
      <c r="M2083" s="3">
        <f>tbl_Budget[[#This Row],[Variance]]/tbl_Budget[[#This Row],[Budget]]</f>
        <v>-1.2434503234237681E-2</v>
      </c>
      <c r="N2083" t="str">
        <f>IF(tbl_Budget[[#This Row],[Variance_%]]&gt;0.05,"Overspend",IF(tbl_Budget[[#This Row],[Variance_%]]&lt;-0.05,"Underspend","On Budget"))</f>
        <v>On Budget</v>
      </c>
    </row>
    <row r="2084" spans="1:14" hidden="1">
      <c r="A2084" s="1">
        <v>45536</v>
      </c>
      <c r="B2084">
        <v>9</v>
      </c>
      <c r="C2084" t="s">
        <v>46</v>
      </c>
      <c r="D2084" t="s">
        <v>62</v>
      </c>
      <c r="E2084">
        <v>2024</v>
      </c>
      <c r="F2084" t="s">
        <v>30</v>
      </c>
      <c r="G2084" t="s">
        <v>14</v>
      </c>
      <c r="H2084" t="s">
        <v>18</v>
      </c>
      <c r="I2084" t="s">
        <v>31</v>
      </c>
      <c r="J2084">
        <v>42975.08</v>
      </c>
      <c r="K2084">
        <v>41686.480000000003</v>
      </c>
      <c r="L2084" s="20">
        <f>tbl_Budget[[#This Row],[Actual]]-tbl_Budget[[#This Row],[Budget]]</f>
        <v>-1288.5999999999985</v>
      </c>
      <c r="M2084" s="3">
        <f>tbl_Budget[[#This Row],[Variance]]/tbl_Budget[[#This Row],[Budget]]</f>
        <v>-2.9984819109120878E-2</v>
      </c>
      <c r="N2084" t="str">
        <f>IF(tbl_Budget[[#This Row],[Variance_%]]&gt;0.05,"Overspend",IF(tbl_Budget[[#This Row],[Variance_%]]&lt;-0.05,"Underspend","On Budget"))</f>
        <v>On Budget</v>
      </c>
    </row>
    <row r="2085" spans="1:14" hidden="1">
      <c r="A2085" s="1">
        <v>45536</v>
      </c>
      <c r="B2085">
        <v>9</v>
      </c>
      <c r="C2085" t="s">
        <v>46</v>
      </c>
      <c r="D2085" t="s">
        <v>62</v>
      </c>
      <c r="E2085">
        <v>2024</v>
      </c>
      <c r="F2085" t="s">
        <v>30</v>
      </c>
      <c r="G2085" t="s">
        <v>14</v>
      </c>
      <c r="H2085" t="s">
        <v>19</v>
      </c>
      <c r="I2085" t="s">
        <v>31</v>
      </c>
      <c r="J2085">
        <v>45539.56</v>
      </c>
      <c r="K2085">
        <v>44966.26</v>
      </c>
      <c r="L2085" s="20">
        <f>tbl_Budget[[#This Row],[Actual]]-tbl_Budget[[#This Row],[Budget]]</f>
        <v>-573.29999999999563</v>
      </c>
      <c r="M2085" s="3">
        <f>tbl_Budget[[#This Row],[Variance]]/tbl_Budget[[#This Row],[Budget]]</f>
        <v>-1.2589054439700244E-2</v>
      </c>
      <c r="N2085" t="str">
        <f>IF(tbl_Budget[[#This Row],[Variance_%]]&gt;0.05,"Overspend",IF(tbl_Budget[[#This Row],[Variance_%]]&lt;-0.05,"Underspend","On Budget"))</f>
        <v>On Budget</v>
      </c>
    </row>
    <row r="2086" spans="1:14" hidden="1">
      <c r="A2086" s="1">
        <v>45536</v>
      </c>
      <c r="B2086">
        <v>9</v>
      </c>
      <c r="C2086" t="s">
        <v>46</v>
      </c>
      <c r="D2086" t="s">
        <v>62</v>
      </c>
      <c r="E2086">
        <v>2024</v>
      </c>
      <c r="F2086" t="s">
        <v>30</v>
      </c>
      <c r="G2086" t="s">
        <v>20</v>
      </c>
      <c r="H2086" t="s">
        <v>15</v>
      </c>
      <c r="I2086" t="s">
        <v>31</v>
      </c>
      <c r="J2086">
        <v>16896.3</v>
      </c>
      <c r="K2086">
        <v>17369.11</v>
      </c>
      <c r="L2086" s="20">
        <f>tbl_Budget[[#This Row],[Actual]]-tbl_Budget[[#This Row],[Budget]]</f>
        <v>472.81000000000131</v>
      </c>
      <c r="M2086" s="3">
        <f>tbl_Budget[[#This Row],[Variance]]/tbl_Budget[[#This Row],[Budget]]</f>
        <v>2.7983049543391234E-2</v>
      </c>
      <c r="N2086" t="str">
        <f>IF(tbl_Budget[[#This Row],[Variance_%]]&gt;0.05,"Overspend",IF(tbl_Budget[[#This Row],[Variance_%]]&lt;-0.05,"Underspend","On Budget"))</f>
        <v>On Budget</v>
      </c>
    </row>
    <row r="2087" spans="1:14" hidden="1">
      <c r="A2087" s="1">
        <v>45536</v>
      </c>
      <c r="B2087">
        <v>9</v>
      </c>
      <c r="C2087" t="s">
        <v>46</v>
      </c>
      <c r="D2087" t="s">
        <v>62</v>
      </c>
      <c r="E2087">
        <v>2024</v>
      </c>
      <c r="F2087" t="s">
        <v>30</v>
      </c>
      <c r="G2087" t="s">
        <v>20</v>
      </c>
      <c r="H2087" t="s">
        <v>17</v>
      </c>
      <c r="I2087" t="s">
        <v>31</v>
      </c>
      <c r="J2087">
        <v>15593.63</v>
      </c>
      <c r="K2087">
        <v>16398.3</v>
      </c>
      <c r="L2087" s="20">
        <f>tbl_Budget[[#This Row],[Actual]]-tbl_Budget[[#This Row],[Budget]]</f>
        <v>804.67000000000007</v>
      </c>
      <c r="M2087" s="3">
        <f>tbl_Budget[[#This Row],[Variance]]/tbl_Budget[[#This Row],[Budget]]</f>
        <v>5.1602481269595352E-2</v>
      </c>
      <c r="N2087" t="str">
        <f>IF(tbl_Budget[[#This Row],[Variance_%]]&gt;0.05,"Overspend",IF(tbl_Budget[[#This Row],[Variance_%]]&lt;-0.05,"Underspend","On Budget"))</f>
        <v>Overspend</v>
      </c>
    </row>
    <row r="2088" spans="1:14" hidden="1">
      <c r="A2088" s="1">
        <v>45536</v>
      </c>
      <c r="B2088">
        <v>9</v>
      </c>
      <c r="C2088" t="s">
        <v>46</v>
      </c>
      <c r="D2088" t="s">
        <v>62</v>
      </c>
      <c r="E2088">
        <v>2024</v>
      </c>
      <c r="F2088" t="s">
        <v>30</v>
      </c>
      <c r="G2088" t="s">
        <v>20</v>
      </c>
      <c r="H2088" t="s">
        <v>18</v>
      </c>
      <c r="I2088" t="s">
        <v>31</v>
      </c>
      <c r="J2088">
        <v>16140.16</v>
      </c>
      <c r="K2088">
        <v>15599.3</v>
      </c>
      <c r="L2088" s="20">
        <f>tbl_Budget[[#This Row],[Actual]]-tbl_Budget[[#This Row],[Budget]]</f>
        <v>-540.86000000000058</v>
      </c>
      <c r="M2088" s="3">
        <f>tbl_Budget[[#This Row],[Variance]]/tbl_Budget[[#This Row],[Budget]]</f>
        <v>-3.3510200642372853E-2</v>
      </c>
      <c r="N2088" t="str">
        <f>IF(tbl_Budget[[#This Row],[Variance_%]]&gt;0.05,"Overspend",IF(tbl_Budget[[#This Row],[Variance_%]]&lt;-0.05,"Underspend","On Budget"))</f>
        <v>On Budget</v>
      </c>
    </row>
    <row r="2089" spans="1:14" hidden="1">
      <c r="A2089" s="1">
        <v>45536</v>
      </c>
      <c r="B2089">
        <v>9</v>
      </c>
      <c r="C2089" t="s">
        <v>46</v>
      </c>
      <c r="D2089" t="s">
        <v>62</v>
      </c>
      <c r="E2089">
        <v>2024</v>
      </c>
      <c r="F2089" t="s">
        <v>30</v>
      </c>
      <c r="G2089" t="s">
        <v>20</v>
      </c>
      <c r="H2089" t="s">
        <v>19</v>
      </c>
      <c r="I2089" t="s">
        <v>31</v>
      </c>
      <c r="J2089">
        <v>17890.84</v>
      </c>
      <c r="K2089">
        <v>17504.59</v>
      </c>
      <c r="L2089" s="20">
        <f>tbl_Budget[[#This Row],[Actual]]-tbl_Budget[[#This Row],[Budget]]</f>
        <v>-386.25</v>
      </c>
      <c r="M2089" s="3">
        <f>tbl_Budget[[#This Row],[Variance]]/tbl_Budget[[#This Row],[Budget]]</f>
        <v>-2.1589260202427612E-2</v>
      </c>
      <c r="N2089" t="str">
        <f>IF(tbl_Budget[[#This Row],[Variance_%]]&gt;0.05,"Overspend",IF(tbl_Budget[[#This Row],[Variance_%]]&lt;-0.05,"Underspend","On Budget"))</f>
        <v>On Budget</v>
      </c>
    </row>
    <row r="2090" spans="1:14">
      <c r="A2090" s="1">
        <v>45536</v>
      </c>
      <c r="B2090">
        <v>9</v>
      </c>
      <c r="C2090" t="s">
        <v>46</v>
      </c>
      <c r="D2090" t="s">
        <v>62</v>
      </c>
      <c r="E2090">
        <v>2024</v>
      </c>
      <c r="F2090" t="s">
        <v>30</v>
      </c>
      <c r="G2090" t="s">
        <v>21</v>
      </c>
      <c r="H2090" t="s">
        <v>15</v>
      </c>
      <c r="I2090" t="s">
        <v>31</v>
      </c>
      <c r="J2090">
        <v>7193.07</v>
      </c>
      <c r="K2090">
        <v>10143.370000000001</v>
      </c>
      <c r="L2090" s="20">
        <f>tbl_Budget[[#This Row],[Actual]]-tbl_Budget[[#This Row],[Budget]]</f>
        <v>2950.3000000000011</v>
      </c>
      <c r="M2090" s="3">
        <f>tbl_Budget[[#This Row],[Variance]]/tbl_Budget[[#This Row],[Budget]]</f>
        <v>0.41015866660549682</v>
      </c>
      <c r="N2090" t="str">
        <f>IF(tbl_Budget[[#This Row],[Variance_%]]&gt;0.05,"Overspend",IF(tbl_Budget[[#This Row],[Variance_%]]&lt;-0.05,"Underspend","On Budget"))</f>
        <v>Overspend</v>
      </c>
    </row>
    <row r="2091" spans="1:14">
      <c r="A2091" s="1">
        <v>45536</v>
      </c>
      <c r="B2091">
        <v>9</v>
      </c>
      <c r="C2091" t="s">
        <v>46</v>
      </c>
      <c r="D2091" t="s">
        <v>62</v>
      </c>
      <c r="E2091">
        <v>2024</v>
      </c>
      <c r="F2091" t="s">
        <v>30</v>
      </c>
      <c r="G2091" t="s">
        <v>21</v>
      </c>
      <c r="H2091" t="s">
        <v>17</v>
      </c>
      <c r="I2091" t="s">
        <v>31</v>
      </c>
      <c r="J2091">
        <v>6627.93</v>
      </c>
      <c r="K2091">
        <v>8981.94</v>
      </c>
      <c r="L2091" s="20">
        <f>tbl_Budget[[#This Row],[Actual]]-tbl_Budget[[#This Row],[Budget]]</f>
        <v>2354.0100000000002</v>
      </c>
      <c r="M2091" s="3">
        <f>tbl_Budget[[#This Row],[Variance]]/tbl_Budget[[#This Row],[Budget]]</f>
        <v>0.35516518732092828</v>
      </c>
      <c r="N2091" t="str">
        <f>IF(tbl_Budget[[#This Row],[Variance_%]]&gt;0.05,"Overspend",IF(tbl_Budget[[#This Row],[Variance_%]]&lt;-0.05,"Underspend","On Budget"))</f>
        <v>Overspend</v>
      </c>
    </row>
    <row r="2092" spans="1:14">
      <c r="A2092" s="1">
        <v>45536</v>
      </c>
      <c r="B2092">
        <v>9</v>
      </c>
      <c r="C2092" t="s">
        <v>46</v>
      </c>
      <c r="D2092" t="s">
        <v>62</v>
      </c>
      <c r="E2092">
        <v>2024</v>
      </c>
      <c r="F2092" t="s">
        <v>30</v>
      </c>
      <c r="G2092" t="s">
        <v>21</v>
      </c>
      <c r="H2092" t="s">
        <v>18</v>
      </c>
      <c r="I2092" t="s">
        <v>31</v>
      </c>
      <c r="J2092">
        <v>7095.53</v>
      </c>
      <c r="K2092">
        <v>9132.41</v>
      </c>
      <c r="L2092" s="20">
        <f>tbl_Budget[[#This Row],[Actual]]-tbl_Budget[[#This Row],[Budget]]</f>
        <v>2036.88</v>
      </c>
      <c r="M2092" s="3">
        <f>tbl_Budget[[#This Row],[Variance]]/tbl_Budget[[#This Row],[Budget]]</f>
        <v>0.2870652368462962</v>
      </c>
      <c r="N2092" t="str">
        <f>IF(tbl_Budget[[#This Row],[Variance_%]]&gt;0.05,"Overspend",IF(tbl_Budget[[#This Row],[Variance_%]]&lt;-0.05,"Underspend","On Budget"))</f>
        <v>Overspend</v>
      </c>
    </row>
    <row r="2093" spans="1:14">
      <c r="A2093" s="1">
        <v>45536</v>
      </c>
      <c r="B2093">
        <v>9</v>
      </c>
      <c r="C2093" t="s">
        <v>46</v>
      </c>
      <c r="D2093" t="s">
        <v>62</v>
      </c>
      <c r="E2093">
        <v>2024</v>
      </c>
      <c r="F2093" t="s">
        <v>30</v>
      </c>
      <c r="G2093" t="s">
        <v>21</v>
      </c>
      <c r="H2093" t="s">
        <v>19</v>
      </c>
      <c r="I2093" t="s">
        <v>31</v>
      </c>
      <c r="J2093">
        <v>7301.08</v>
      </c>
      <c r="K2093">
        <v>9712.64</v>
      </c>
      <c r="L2093" s="20">
        <f>tbl_Budget[[#This Row],[Actual]]-tbl_Budget[[#This Row],[Budget]]</f>
        <v>2411.5599999999995</v>
      </c>
      <c r="M2093" s="3">
        <f>tbl_Budget[[#This Row],[Variance]]/tbl_Budget[[#This Row],[Budget]]</f>
        <v>0.3303018183611191</v>
      </c>
      <c r="N2093" t="str">
        <f>IF(tbl_Budget[[#This Row],[Variance_%]]&gt;0.05,"Overspend",IF(tbl_Budget[[#This Row],[Variance_%]]&lt;-0.05,"Underspend","On Budget"))</f>
        <v>Overspend</v>
      </c>
    </row>
    <row r="2094" spans="1:14" hidden="1">
      <c r="A2094" s="1">
        <v>45536</v>
      </c>
      <c r="B2094">
        <v>9</v>
      </c>
      <c r="C2094" t="s">
        <v>46</v>
      </c>
      <c r="D2094" t="s">
        <v>62</v>
      </c>
      <c r="E2094">
        <v>2024</v>
      </c>
      <c r="F2094" t="s">
        <v>30</v>
      </c>
      <c r="G2094" t="s">
        <v>22</v>
      </c>
      <c r="H2094" t="s">
        <v>15</v>
      </c>
      <c r="I2094" t="s">
        <v>31</v>
      </c>
      <c r="J2094">
        <v>7498.15</v>
      </c>
      <c r="K2094">
        <v>7248.08</v>
      </c>
      <c r="L2094" s="20">
        <f>tbl_Budget[[#This Row],[Actual]]-tbl_Budget[[#This Row],[Budget]]</f>
        <v>-250.06999999999971</v>
      </c>
      <c r="M2094" s="3">
        <f>tbl_Budget[[#This Row],[Variance]]/tbl_Budget[[#This Row],[Budget]]</f>
        <v>-3.3350893220327645E-2</v>
      </c>
      <c r="N2094" t="str">
        <f>IF(tbl_Budget[[#This Row],[Variance_%]]&gt;0.05,"Overspend",IF(tbl_Budget[[#This Row],[Variance_%]]&lt;-0.05,"Underspend","On Budget"))</f>
        <v>On Budget</v>
      </c>
    </row>
    <row r="2095" spans="1:14" hidden="1">
      <c r="A2095" s="1">
        <v>45536</v>
      </c>
      <c r="B2095">
        <v>9</v>
      </c>
      <c r="C2095" t="s">
        <v>46</v>
      </c>
      <c r="D2095" t="s">
        <v>62</v>
      </c>
      <c r="E2095">
        <v>2024</v>
      </c>
      <c r="F2095" t="s">
        <v>30</v>
      </c>
      <c r="G2095" t="s">
        <v>22</v>
      </c>
      <c r="H2095" t="s">
        <v>17</v>
      </c>
      <c r="I2095" t="s">
        <v>31</v>
      </c>
      <c r="J2095">
        <v>7142.78</v>
      </c>
      <c r="K2095">
        <v>6860.36</v>
      </c>
      <c r="L2095" s="20">
        <f>tbl_Budget[[#This Row],[Actual]]-tbl_Budget[[#This Row],[Budget]]</f>
        <v>-282.42000000000007</v>
      </c>
      <c r="M2095" s="3">
        <f>tbl_Budget[[#This Row],[Variance]]/tbl_Budget[[#This Row],[Budget]]</f>
        <v>-3.9539227023651868E-2</v>
      </c>
      <c r="N2095" t="str">
        <f>IF(tbl_Budget[[#This Row],[Variance_%]]&gt;0.05,"Overspend",IF(tbl_Budget[[#This Row],[Variance_%]]&lt;-0.05,"Underspend","On Budget"))</f>
        <v>On Budget</v>
      </c>
    </row>
    <row r="2096" spans="1:14" hidden="1">
      <c r="A2096" s="1">
        <v>45536</v>
      </c>
      <c r="B2096">
        <v>9</v>
      </c>
      <c r="C2096" t="s">
        <v>46</v>
      </c>
      <c r="D2096" t="s">
        <v>62</v>
      </c>
      <c r="E2096">
        <v>2024</v>
      </c>
      <c r="F2096" t="s">
        <v>30</v>
      </c>
      <c r="G2096" t="s">
        <v>22</v>
      </c>
      <c r="H2096" t="s">
        <v>18</v>
      </c>
      <c r="I2096" t="s">
        <v>31</v>
      </c>
      <c r="J2096">
        <v>6940.32</v>
      </c>
      <c r="K2096">
        <v>6914.93</v>
      </c>
      <c r="L2096" s="20">
        <f>tbl_Budget[[#This Row],[Actual]]-tbl_Budget[[#This Row],[Budget]]</f>
        <v>-25.389999999999418</v>
      </c>
      <c r="M2096" s="3">
        <f>tbl_Budget[[#This Row],[Variance]]/tbl_Budget[[#This Row],[Budget]]</f>
        <v>-3.6583327569909485E-3</v>
      </c>
      <c r="N2096" t="str">
        <f>IF(tbl_Budget[[#This Row],[Variance_%]]&gt;0.05,"Overspend",IF(tbl_Budget[[#This Row],[Variance_%]]&lt;-0.05,"Underspend","On Budget"))</f>
        <v>On Budget</v>
      </c>
    </row>
    <row r="2097" spans="1:14" hidden="1">
      <c r="A2097" s="1">
        <v>45536</v>
      </c>
      <c r="B2097">
        <v>9</v>
      </c>
      <c r="C2097" t="s">
        <v>46</v>
      </c>
      <c r="D2097" t="s">
        <v>62</v>
      </c>
      <c r="E2097">
        <v>2024</v>
      </c>
      <c r="F2097" t="s">
        <v>30</v>
      </c>
      <c r="G2097" t="s">
        <v>22</v>
      </c>
      <c r="H2097" t="s">
        <v>19</v>
      </c>
      <c r="I2097" t="s">
        <v>31</v>
      </c>
      <c r="J2097">
        <v>7757.67</v>
      </c>
      <c r="K2097">
        <v>8068.96</v>
      </c>
      <c r="L2097" s="20">
        <f>tbl_Budget[[#This Row],[Actual]]-tbl_Budget[[#This Row],[Budget]]</f>
        <v>311.28999999999996</v>
      </c>
      <c r="M2097" s="3">
        <f>tbl_Budget[[#This Row],[Variance]]/tbl_Budget[[#This Row],[Budget]]</f>
        <v>4.0126739085318136E-2</v>
      </c>
      <c r="N2097" t="str">
        <f>IF(tbl_Budget[[#This Row],[Variance_%]]&gt;0.05,"Overspend",IF(tbl_Budget[[#This Row],[Variance_%]]&lt;-0.05,"Underspend","On Budget"))</f>
        <v>On Budget</v>
      </c>
    </row>
    <row r="2098" spans="1:14" hidden="1">
      <c r="A2098" s="1">
        <v>45536</v>
      </c>
      <c r="B2098">
        <v>9</v>
      </c>
      <c r="C2098" t="s">
        <v>46</v>
      </c>
      <c r="D2098" t="s">
        <v>62</v>
      </c>
      <c r="E2098">
        <v>2024</v>
      </c>
      <c r="F2098" t="s">
        <v>30</v>
      </c>
      <c r="G2098" t="s">
        <v>23</v>
      </c>
      <c r="H2098" t="s">
        <v>15</v>
      </c>
      <c r="I2098" t="s">
        <v>31</v>
      </c>
      <c r="J2098">
        <v>6372.38</v>
      </c>
      <c r="K2098">
        <v>6129.09</v>
      </c>
      <c r="L2098" s="20">
        <f>tbl_Budget[[#This Row],[Actual]]-tbl_Budget[[#This Row],[Budget]]</f>
        <v>-243.28999999999996</v>
      </c>
      <c r="M2098" s="3">
        <f>tbl_Budget[[#This Row],[Variance]]/tbl_Budget[[#This Row],[Budget]]</f>
        <v>-3.8178828004607375E-2</v>
      </c>
      <c r="N2098" t="str">
        <f>IF(tbl_Budget[[#This Row],[Variance_%]]&gt;0.05,"Overspend",IF(tbl_Budget[[#This Row],[Variance_%]]&lt;-0.05,"Underspend","On Budget"))</f>
        <v>On Budget</v>
      </c>
    </row>
    <row r="2099" spans="1:14" hidden="1">
      <c r="A2099" s="1">
        <v>45536</v>
      </c>
      <c r="B2099">
        <v>9</v>
      </c>
      <c r="C2099" t="s">
        <v>46</v>
      </c>
      <c r="D2099" t="s">
        <v>62</v>
      </c>
      <c r="E2099">
        <v>2024</v>
      </c>
      <c r="F2099" t="s">
        <v>30</v>
      </c>
      <c r="G2099" t="s">
        <v>23</v>
      </c>
      <c r="H2099" t="s">
        <v>17</v>
      </c>
      <c r="I2099" t="s">
        <v>31</v>
      </c>
      <c r="J2099">
        <v>6102.51</v>
      </c>
      <c r="K2099">
        <v>6116.41</v>
      </c>
      <c r="L2099" s="20">
        <f>tbl_Budget[[#This Row],[Actual]]-tbl_Budget[[#This Row],[Budget]]</f>
        <v>13.899999999999636</v>
      </c>
      <c r="M2099" s="3">
        <f>tbl_Budget[[#This Row],[Variance]]/tbl_Budget[[#This Row],[Budget]]</f>
        <v>2.2777512859462148E-3</v>
      </c>
      <c r="N2099" t="str">
        <f>IF(tbl_Budget[[#This Row],[Variance_%]]&gt;0.05,"Overspend",IF(tbl_Budget[[#This Row],[Variance_%]]&lt;-0.05,"Underspend","On Budget"))</f>
        <v>On Budget</v>
      </c>
    </row>
    <row r="2100" spans="1:14" hidden="1">
      <c r="A2100" s="1">
        <v>45536</v>
      </c>
      <c r="B2100">
        <v>9</v>
      </c>
      <c r="C2100" t="s">
        <v>46</v>
      </c>
      <c r="D2100" t="s">
        <v>62</v>
      </c>
      <c r="E2100">
        <v>2024</v>
      </c>
      <c r="F2100" t="s">
        <v>30</v>
      </c>
      <c r="G2100" t="s">
        <v>23</v>
      </c>
      <c r="H2100" t="s">
        <v>18</v>
      </c>
      <c r="I2100" t="s">
        <v>31</v>
      </c>
      <c r="J2100">
        <v>6144.53</v>
      </c>
      <c r="K2100">
        <v>5928.11</v>
      </c>
      <c r="L2100" s="20">
        <f>tbl_Budget[[#This Row],[Actual]]-tbl_Budget[[#This Row],[Budget]]</f>
        <v>-216.42000000000007</v>
      </c>
      <c r="M2100" s="3">
        <f>tbl_Budget[[#This Row],[Variance]]/tbl_Budget[[#This Row],[Budget]]</f>
        <v>-3.5221571055882236E-2</v>
      </c>
      <c r="N2100" t="str">
        <f>IF(tbl_Budget[[#This Row],[Variance_%]]&gt;0.05,"Overspend",IF(tbl_Budget[[#This Row],[Variance_%]]&lt;-0.05,"Underspend","On Budget"))</f>
        <v>On Budget</v>
      </c>
    </row>
    <row r="2101" spans="1:14" hidden="1">
      <c r="A2101" s="1">
        <v>45536</v>
      </c>
      <c r="B2101">
        <v>9</v>
      </c>
      <c r="C2101" t="s">
        <v>46</v>
      </c>
      <c r="D2101" t="s">
        <v>62</v>
      </c>
      <c r="E2101">
        <v>2024</v>
      </c>
      <c r="F2101" t="s">
        <v>30</v>
      </c>
      <c r="G2101" t="s">
        <v>23</v>
      </c>
      <c r="H2101" t="s">
        <v>19</v>
      </c>
      <c r="I2101" t="s">
        <v>31</v>
      </c>
      <c r="J2101">
        <v>6444.19</v>
      </c>
      <c r="K2101">
        <v>6713.33</v>
      </c>
      <c r="L2101" s="20">
        <f>tbl_Budget[[#This Row],[Actual]]-tbl_Budget[[#This Row],[Budget]]</f>
        <v>269.14000000000033</v>
      </c>
      <c r="M2101" s="3">
        <f>tbl_Budget[[#This Row],[Variance]]/tbl_Budget[[#This Row],[Budget]]</f>
        <v>4.1764752435915195E-2</v>
      </c>
      <c r="N2101" t="str">
        <f>IF(tbl_Budget[[#This Row],[Variance_%]]&gt;0.05,"Overspend",IF(tbl_Budget[[#This Row],[Variance_%]]&lt;-0.05,"Underspend","On Budget"))</f>
        <v>On Budget</v>
      </c>
    </row>
    <row r="2102" spans="1:14" hidden="1">
      <c r="A2102" s="1">
        <v>45566</v>
      </c>
      <c r="B2102">
        <v>10</v>
      </c>
      <c r="C2102" t="s">
        <v>48</v>
      </c>
      <c r="D2102" t="s">
        <v>63</v>
      </c>
      <c r="E2102">
        <v>2024</v>
      </c>
      <c r="F2102" t="s">
        <v>13</v>
      </c>
      <c r="G2102" t="s">
        <v>14</v>
      </c>
      <c r="H2102" t="s">
        <v>15</v>
      </c>
      <c r="I2102" t="s">
        <v>16</v>
      </c>
      <c r="J2102">
        <v>48911.07</v>
      </c>
      <c r="K2102">
        <v>56574.92</v>
      </c>
      <c r="L2102" s="20">
        <f>tbl_Budget[[#This Row],[Actual]]-tbl_Budget[[#This Row],[Budget]]</f>
        <v>7663.8499999999985</v>
      </c>
      <c r="M2102" s="3">
        <f>tbl_Budget[[#This Row],[Variance]]/tbl_Budget[[#This Row],[Budget]]</f>
        <v>0.15668947745367254</v>
      </c>
      <c r="N2102" t="str">
        <f>IF(tbl_Budget[[#This Row],[Variance_%]]&gt;0.05,"Overspend",IF(tbl_Budget[[#This Row],[Variance_%]]&lt;-0.05,"Underspend","On Budget"))</f>
        <v>Overspend</v>
      </c>
    </row>
    <row r="2103" spans="1:14" hidden="1">
      <c r="A2103" s="1">
        <v>45566</v>
      </c>
      <c r="B2103">
        <v>10</v>
      </c>
      <c r="C2103" t="s">
        <v>48</v>
      </c>
      <c r="D2103" t="s">
        <v>63</v>
      </c>
      <c r="E2103">
        <v>2024</v>
      </c>
      <c r="F2103" t="s">
        <v>13</v>
      </c>
      <c r="G2103" t="s">
        <v>14</v>
      </c>
      <c r="H2103" t="s">
        <v>17</v>
      </c>
      <c r="I2103" t="s">
        <v>16</v>
      </c>
      <c r="J2103">
        <v>47781.7</v>
      </c>
      <c r="K2103">
        <v>52437.24</v>
      </c>
      <c r="L2103" s="20">
        <f>tbl_Budget[[#This Row],[Actual]]-tbl_Budget[[#This Row],[Budget]]</f>
        <v>4655.5400000000009</v>
      </c>
      <c r="M2103" s="3">
        <f>tbl_Budget[[#This Row],[Variance]]/tbl_Budget[[#This Row],[Budget]]</f>
        <v>9.7433536270162033E-2</v>
      </c>
      <c r="N2103" t="str">
        <f>IF(tbl_Budget[[#This Row],[Variance_%]]&gt;0.05,"Overspend",IF(tbl_Budget[[#This Row],[Variance_%]]&lt;-0.05,"Underspend","On Budget"))</f>
        <v>Overspend</v>
      </c>
    </row>
    <row r="2104" spans="1:14" hidden="1">
      <c r="A2104" s="1">
        <v>45566</v>
      </c>
      <c r="B2104">
        <v>10</v>
      </c>
      <c r="C2104" t="s">
        <v>48</v>
      </c>
      <c r="D2104" t="s">
        <v>63</v>
      </c>
      <c r="E2104">
        <v>2024</v>
      </c>
      <c r="F2104" t="s">
        <v>13</v>
      </c>
      <c r="G2104" t="s">
        <v>14</v>
      </c>
      <c r="H2104" t="s">
        <v>18</v>
      </c>
      <c r="I2104" t="s">
        <v>16</v>
      </c>
      <c r="J2104">
        <v>46834.11</v>
      </c>
      <c r="K2104">
        <v>53331.92</v>
      </c>
      <c r="L2104" s="20">
        <f>tbl_Budget[[#This Row],[Actual]]-tbl_Budget[[#This Row],[Budget]]</f>
        <v>6497.8099999999977</v>
      </c>
      <c r="M2104" s="3">
        <f>tbl_Budget[[#This Row],[Variance]]/tbl_Budget[[#This Row],[Budget]]</f>
        <v>0.13874097319240181</v>
      </c>
      <c r="N2104" t="str">
        <f>IF(tbl_Budget[[#This Row],[Variance_%]]&gt;0.05,"Overspend",IF(tbl_Budget[[#This Row],[Variance_%]]&lt;-0.05,"Underspend","On Budget"))</f>
        <v>Overspend</v>
      </c>
    </row>
    <row r="2105" spans="1:14" hidden="1">
      <c r="A2105" s="1">
        <v>45566</v>
      </c>
      <c r="B2105">
        <v>10</v>
      </c>
      <c r="C2105" t="s">
        <v>48</v>
      </c>
      <c r="D2105" t="s">
        <v>63</v>
      </c>
      <c r="E2105">
        <v>2024</v>
      </c>
      <c r="F2105" t="s">
        <v>13</v>
      </c>
      <c r="G2105" t="s">
        <v>14</v>
      </c>
      <c r="H2105" t="s">
        <v>19</v>
      </c>
      <c r="I2105" t="s">
        <v>16</v>
      </c>
      <c r="J2105">
        <v>50180.24</v>
      </c>
      <c r="K2105">
        <v>57194.59</v>
      </c>
      <c r="L2105" s="20">
        <f>tbl_Budget[[#This Row],[Actual]]-tbl_Budget[[#This Row],[Budget]]</f>
        <v>7014.3499999999985</v>
      </c>
      <c r="M2105" s="3">
        <f>tbl_Budget[[#This Row],[Variance]]/tbl_Budget[[#This Row],[Budget]]</f>
        <v>0.13978310984562844</v>
      </c>
      <c r="N2105" t="str">
        <f>IF(tbl_Budget[[#This Row],[Variance_%]]&gt;0.05,"Overspend",IF(tbl_Budget[[#This Row],[Variance_%]]&lt;-0.05,"Underspend","On Budget"))</f>
        <v>Overspend</v>
      </c>
    </row>
    <row r="2106" spans="1:14" hidden="1">
      <c r="A2106" s="1">
        <v>45566</v>
      </c>
      <c r="B2106">
        <v>10</v>
      </c>
      <c r="C2106" t="s">
        <v>48</v>
      </c>
      <c r="D2106" t="s">
        <v>63</v>
      </c>
      <c r="E2106">
        <v>2024</v>
      </c>
      <c r="F2106" t="s">
        <v>13</v>
      </c>
      <c r="G2106" t="s">
        <v>20</v>
      </c>
      <c r="H2106" t="s">
        <v>15</v>
      </c>
      <c r="I2106" t="s">
        <v>16</v>
      </c>
      <c r="J2106">
        <v>18370.759999999998</v>
      </c>
      <c r="K2106">
        <v>21935.22</v>
      </c>
      <c r="L2106" s="20">
        <f>tbl_Budget[[#This Row],[Actual]]-tbl_Budget[[#This Row],[Budget]]</f>
        <v>3564.4600000000028</v>
      </c>
      <c r="M2106" s="3">
        <f>tbl_Budget[[#This Row],[Variance]]/tbl_Budget[[#This Row],[Budget]]</f>
        <v>0.19402898954643155</v>
      </c>
      <c r="N2106" t="str">
        <f>IF(tbl_Budget[[#This Row],[Variance_%]]&gt;0.05,"Overspend",IF(tbl_Budget[[#This Row],[Variance_%]]&lt;-0.05,"Underspend","On Budget"))</f>
        <v>Overspend</v>
      </c>
    </row>
    <row r="2107" spans="1:14" hidden="1">
      <c r="A2107" s="1">
        <v>45566</v>
      </c>
      <c r="B2107">
        <v>10</v>
      </c>
      <c r="C2107" t="s">
        <v>48</v>
      </c>
      <c r="D2107" t="s">
        <v>63</v>
      </c>
      <c r="E2107">
        <v>2024</v>
      </c>
      <c r="F2107" t="s">
        <v>13</v>
      </c>
      <c r="G2107" t="s">
        <v>20</v>
      </c>
      <c r="H2107" t="s">
        <v>17</v>
      </c>
      <c r="I2107" t="s">
        <v>16</v>
      </c>
      <c r="J2107">
        <v>17779.080000000002</v>
      </c>
      <c r="K2107">
        <v>20382.2</v>
      </c>
      <c r="L2107" s="20">
        <f>tbl_Budget[[#This Row],[Actual]]-tbl_Budget[[#This Row],[Budget]]</f>
        <v>2603.119999999999</v>
      </c>
      <c r="M2107" s="3">
        <f>tbl_Budget[[#This Row],[Variance]]/tbl_Budget[[#This Row],[Budget]]</f>
        <v>0.14641477511772255</v>
      </c>
      <c r="N2107" t="str">
        <f>IF(tbl_Budget[[#This Row],[Variance_%]]&gt;0.05,"Overspend",IF(tbl_Budget[[#This Row],[Variance_%]]&lt;-0.05,"Underspend","On Budget"))</f>
        <v>Overspend</v>
      </c>
    </row>
    <row r="2108" spans="1:14" hidden="1">
      <c r="A2108" s="1">
        <v>45566</v>
      </c>
      <c r="B2108">
        <v>10</v>
      </c>
      <c r="C2108" t="s">
        <v>48</v>
      </c>
      <c r="D2108" t="s">
        <v>63</v>
      </c>
      <c r="E2108">
        <v>2024</v>
      </c>
      <c r="F2108" t="s">
        <v>13</v>
      </c>
      <c r="G2108" t="s">
        <v>20</v>
      </c>
      <c r="H2108" t="s">
        <v>18</v>
      </c>
      <c r="I2108" t="s">
        <v>16</v>
      </c>
      <c r="J2108">
        <v>18652.36</v>
      </c>
      <c r="K2108">
        <v>21587.93</v>
      </c>
      <c r="L2108" s="20">
        <f>tbl_Budget[[#This Row],[Actual]]-tbl_Budget[[#This Row],[Budget]]</f>
        <v>2935.5699999999997</v>
      </c>
      <c r="M2108" s="3">
        <f>tbl_Budget[[#This Row],[Variance]]/tbl_Budget[[#This Row],[Budget]]</f>
        <v>0.15738330163046391</v>
      </c>
      <c r="N2108" t="str">
        <f>IF(tbl_Budget[[#This Row],[Variance_%]]&gt;0.05,"Overspend",IF(tbl_Budget[[#This Row],[Variance_%]]&lt;-0.05,"Underspend","On Budget"))</f>
        <v>Overspend</v>
      </c>
    </row>
    <row r="2109" spans="1:14" hidden="1">
      <c r="A2109" s="1">
        <v>45566</v>
      </c>
      <c r="B2109">
        <v>10</v>
      </c>
      <c r="C2109" t="s">
        <v>48</v>
      </c>
      <c r="D2109" t="s">
        <v>63</v>
      </c>
      <c r="E2109">
        <v>2024</v>
      </c>
      <c r="F2109" t="s">
        <v>13</v>
      </c>
      <c r="G2109" t="s">
        <v>20</v>
      </c>
      <c r="H2109" t="s">
        <v>19</v>
      </c>
      <c r="I2109" t="s">
        <v>16</v>
      </c>
      <c r="J2109">
        <v>20024.330000000002</v>
      </c>
      <c r="K2109">
        <v>23853.06</v>
      </c>
      <c r="L2109" s="20">
        <f>tbl_Budget[[#This Row],[Actual]]-tbl_Budget[[#This Row],[Budget]]</f>
        <v>3828.7299999999996</v>
      </c>
      <c r="M2109" s="3">
        <f>tbl_Budget[[#This Row],[Variance]]/tbl_Budget[[#This Row],[Budget]]</f>
        <v>0.19120390045509633</v>
      </c>
      <c r="N2109" t="str">
        <f>IF(tbl_Budget[[#This Row],[Variance_%]]&gt;0.05,"Overspend",IF(tbl_Budget[[#This Row],[Variance_%]]&lt;-0.05,"Underspend","On Budget"))</f>
        <v>Overspend</v>
      </c>
    </row>
    <row r="2110" spans="1:14">
      <c r="A2110" s="1">
        <v>45566</v>
      </c>
      <c r="B2110">
        <v>10</v>
      </c>
      <c r="C2110" t="s">
        <v>48</v>
      </c>
      <c r="D2110" t="s">
        <v>63</v>
      </c>
      <c r="E2110">
        <v>2024</v>
      </c>
      <c r="F2110" t="s">
        <v>13</v>
      </c>
      <c r="G2110" t="s">
        <v>21</v>
      </c>
      <c r="H2110" t="s">
        <v>15</v>
      </c>
      <c r="I2110" t="s">
        <v>16</v>
      </c>
      <c r="J2110">
        <v>10407.530000000001</v>
      </c>
      <c r="K2110">
        <v>11651.78</v>
      </c>
      <c r="L2110" s="20">
        <f>tbl_Budget[[#This Row],[Actual]]-tbl_Budget[[#This Row],[Budget]]</f>
        <v>1244.25</v>
      </c>
      <c r="M2110" s="3">
        <f>tbl_Budget[[#This Row],[Variance]]/tbl_Budget[[#This Row],[Budget]]</f>
        <v>0.11955286220649855</v>
      </c>
      <c r="N2110" t="str">
        <f>IF(tbl_Budget[[#This Row],[Variance_%]]&gt;0.05,"Overspend",IF(tbl_Budget[[#This Row],[Variance_%]]&lt;-0.05,"Underspend","On Budget"))</f>
        <v>Overspend</v>
      </c>
    </row>
    <row r="2111" spans="1:14">
      <c r="A2111" s="1">
        <v>45566</v>
      </c>
      <c r="B2111">
        <v>10</v>
      </c>
      <c r="C2111" t="s">
        <v>48</v>
      </c>
      <c r="D2111" t="s">
        <v>63</v>
      </c>
      <c r="E2111">
        <v>2024</v>
      </c>
      <c r="F2111" t="s">
        <v>13</v>
      </c>
      <c r="G2111" t="s">
        <v>21</v>
      </c>
      <c r="H2111" t="s">
        <v>17</v>
      </c>
      <c r="I2111" t="s">
        <v>16</v>
      </c>
      <c r="J2111">
        <v>10049.120000000001</v>
      </c>
      <c r="K2111">
        <v>11802.3</v>
      </c>
      <c r="L2111" s="20">
        <f>tbl_Budget[[#This Row],[Actual]]-tbl_Budget[[#This Row],[Budget]]</f>
        <v>1753.1799999999985</v>
      </c>
      <c r="M2111" s="3">
        <f>tbl_Budget[[#This Row],[Variance]]/tbl_Budget[[#This Row],[Budget]]</f>
        <v>0.17446104733548792</v>
      </c>
      <c r="N2111" t="str">
        <f>IF(tbl_Budget[[#This Row],[Variance_%]]&gt;0.05,"Overspend",IF(tbl_Budget[[#This Row],[Variance_%]]&lt;-0.05,"Underspend","On Budget"))</f>
        <v>Overspend</v>
      </c>
    </row>
    <row r="2112" spans="1:14">
      <c r="A2112" s="1">
        <v>45566</v>
      </c>
      <c r="B2112">
        <v>10</v>
      </c>
      <c r="C2112" t="s">
        <v>48</v>
      </c>
      <c r="D2112" t="s">
        <v>63</v>
      </c>
      <c r="E2112">
        <v>2024</v>
      </c>
      <c r="F2112" t="s">
        <v>13</v>
      </c>
      <c r="G2112" t="s">
        <v>21</v>
      </c>
      <c r="H2112" t="s">
        <v>18</v>
      </c>
      <c r="I2112" t="s">
        <v>16</v>
      </c>
      <c r="J2112">
        <v>10147.36</v>
      </c>
      <c r="K2112">
        <v>11448.84</v>
      </c>
      <c r="L2112" s="20">
        <f>tbl_Budget[[#This Row],[Actual]]-tbl_Budget[[#This Row],[Budget]]</f>
        <v>1301.4799999999996</v>
      </c>
      <c r="M2112" s="3">
        <f>tbl_Budget[[#This Row],[Variance]]/tbl_Budget[[#This Row],[Budget]]</f>
        <v>0.12825799025559353</v>
      </c>
      <c r="N2112" t="str">
        <f>IF(tbl_Budget[[#This Row],[Variance_%]]&gt;0.05,"Overspend",IF(tbl_Budget[[#This Row],[Variance_%]]&lt;-0.05,"Underspend","On Budget"))</f>
        <v>Overspend</v>
      </c>
    </row>
    <row r="2113" spans="1:14">
      <c r="A2113" s="1">
        <v>45566</v>
      </c>
      <c r="B2113">
        <v>10</v>
      </c>
      <c r="C2113" t="s">
        <v>48</v>
      </c>
      <c r="D2113" t="s">
        <v>63</v>
      </c>
      <c r="E2113">
        <v>2024</v>
      </c>
      <c r="F2113" t="s">
        <v>13</v>
      </c>
      <c r="G2113" t="s">
        <v>21</v>
      </c>
      <c r="H2113" t="s">
        <v>19</v>
      </c>
      <c r="I2113" t="s">
        <v>16</v>
      </c>
      <c r="J2113">
        <v>10843.33</v>
      </c>
      <c r="K2113">
        <v>12713.66</v>
      </c>
      <c r="L2113" s="20">
        <f>tbl_Budget[[#This Row],[Actual]]-tbl_Budget[[#This Row],[Budget]]</f>
        <v>1870.33</v>
      </c>
      <c r="M2113" s="3">
        <f>tbl_Budget[[#This Row],[Variance]]/tbl_Budget[[#This Row],[Budget]]</f>
        <v>0.17248668075213056</v>
      </c>
      <c r="N2113" t="str">
        <f>IF(tbl_Budget[[#This Row],[Variance_%]]&gt;0.05,"Overspend",IF(tbl_Budget[[#This Row],[Variance_%]]&lt;-0.05,"Underspend","On Budget"))</f>
        <v>Overspend</v>
      </c>
    </row>
    <row r="2114" spans="1:14" hidden="1">
      <c r="A2114" s="1">
        <v>45566</v>
      </c>
      <c r="B2114">
        <v>10</v>
      </c>
      <c r="C2114" t="s">
        <v>48</v>
      </c>
      <c r="D2114" t="s">
        <v>63</v>
      </c>
      <c r="E2114">
        <v>2024</v>
      </c>
      <c r="F2114" t="s">
        <v>13</v>
      </c>
      <c r="G2114" t="s">
        <v>22</v>
      </c>
      <c r="H2114" t="s">
        <v>15</v>
      </c>
      <c r="I2114" t="s">
        <v>16</v>
      </c>
      <c r="J2114">
        <v>8627.26</v>
      </c>
      <c r="K2114">
        <v>10116.540000000001</v>
      </c>
      <c r="L2114" s="20">
        <f>tbl_Budget[[#This Row],[Actual]]-tbl_Budget[[#This Row],[Budget]]</f>
        <v>1489.2800000000007</v>
      </c>
      <c r="M2114" s="3">
        <f>tbl_Budget[[#This Row],[Variance]]/tbl_Budget[[#This Row],[Budget]]</f>
        <v>0.17262491219692006</v>
      </c>
      <c r="N2114" t="str">
        <f>IF(tbl_Budget[[#This Row],[Variance_%]]&gt;0.05,"Overspend",IF(tbl_Budget[[#This Row],[Variance_%]]&lt;-0.05,"Underspend","On Budget"))</f>
        <v>Overspend</v>
      </c>
    </row>
    <row r="2115" spans="1:14" hidden="1">
      <c r="A2115" s="1">
        <v>45566</v>
      </c>
      <c r="B2115">
        <v>10</v>
      </c>
      <c r="C2115" t="s">
        <v>48</v>
      </c>
      <c r="D2115" t="s">
        <v>63</v>
      </c>
      <c r="E2115">
        <v>2024</v>
      </c>
      <c r="F2115" t="s">
        <v>13</v>
      </c>
      <c r="G2115" t="s">
        <v>22</v>
      </c>
      <c r="H2115" t="s">
        <v>17</v>
      </c>
      <c r="I2115" t="s">
        <v>16</v>
      </c>
      <c r="J2115">
        <v>8327.27</v>
      </c>
      <c r="K2115">
        <v>9391.99</v>
      </c>
      <c r="L2115" s="20">
        <f>tbl_Budget[[#This Row],[Actual]]-tbl_Budget[[#This Row],[Budget]]</f>
        <v>1064.7199999999993</v>
      </c>
      <c r="M2115" s="3">
        <f>tbl_Budget[[#This Row],[Variance]]/tbl_Budget[[#This Row],[Budget]]</f>
        <v>0.12785943052164747</v>
      </c>
      <c r="N2115" t="str">
        <f>IF(tbl_Budget[[#This Row],[Variance_%]]&gt;0.05,"Overspend",IF(tbl_Budget[[#This Row],[Variance_%]]&lt;-0.05,"Underspend","On Budget"))</f>
        <v>Overspend</v>
      </c>
    </row>
    <row r="2116" spans="1:14" hidden="1">
      <c r="A2116" s="1">
        <v>45566</v>
      </c>
      <c r="B2116">
        <v>10</v>
      </c>
      <c r="C2116" t="s">
        <v>48</v>
      </c>
      <c r="D2116" t="s">
        <v>63</v>
      </c>
      <c r="E2116">
        <v>2024</v>
      </c>
      <c r="F2116" t="s">
        <v>13</v>
      </c>
      <c r="G2116" t="s">
        <v>22</v>
      </c>
      <c r="H2116" t="s">
        <v>18</v>
      </c>
      <c r="I2116" t="s">
        <v>16</v>
      </c>
      <c r="J2116">
        <v>8498.35</v>
      </c>
      <c r="K2116">
        <v>9585.4699999999993</v>
      </c>
      <c r="L2116" s="20">
        <f>tbl_Budget[[#This Row],[Actual]]-tbl_Budget[[#This Row],[Budget]]</f>
        <v>1087.119999999999</v>
      </c>
      <c r="M2116" s="3">
        <f>tbl_Budget[[#This Row],[Variance]]/tbl_Budget[[#This Row],[Budget]]</f>
        <v>0.12792130237046001</v>
      </c>
      <c r="N2116" t="str">
        <f>IF(tbl_Budget[[#This Row],[Variance_%]]&gt;0.05,"Overspend",IF(tbl_Budget[[#This Row],[Variance_%]]&lt;-0.05,"Underspend","On Budget"))</f>
        <v>Overspend</v>
      </c>
    </row>
    <row r="2117" spans="1:14" hidden="1">
      <c r="A2117" s="1">
        <v>45566</v>
      </c>
      <c r="B2117">
        <v>10</v>
      </c>
      <c r="C2117" t="s">
        <v>48</v>
      </c>
      <c r="D2117" t="s">
        <v>63</v>
      </c>
      <c r="E2117">
        <v>2024</v>
      </c>
      <c r="F2117" t="s">
        <v>13</v>
      </c>
      <c r="G2117" t="s">
        <v>22</v>
      </c>
      <c r="H2117" t="s">
        <v>19</v>
      </c>
      <c r="I2117" t="s">
        <v>16</v>
      </c>
      <c r="J2117">
        <v>9168.74</v>
      </c>
      <c r="K2117">
        <v>10363.07</v>
      </c>
      <c r="L2117" s="20">
        <f>tbl_Budget[[#This Row],[Actual]]-tbl_Budget[[#This Row],[Budget]]</f>
        <v>1194.33</v>
      </c>
      <c r="M2117" s="3">
        <f>tbl_Budget[[#This Row],[Variance]]/tbl_Budget[[#This Row],[Budget]]</f>
        <v>0.13026108276600709</v>
      </c>
      <c r="N2117" t="str">
        <f>IF(tbl_Budget[[#This Row],[Variance_%]]&gt;0.05,"Overspend",IF(tbl_Budget[[#This Row],[Variance_%]]&lt;-0.05,"Underspend","On Budget"))</f>
        <v>Overspend</v>
      </c>
    </row>
    <row r="2118" spans="1:14" hidden="1">
      <c r="A2118" s="1">
        <v>45566</v>
      </c>
      <c r="B2118">
        <v>10</v>
      </c>
      <c r="C2118" t="s">
        <v>48</v>
      </c>
      <c r="D2118" t="s">
        <v>63</v>
      </c>
      <c r="E2118">
        <v>2024</v>
      </c>
      <c r="F2118" t="s">
        <v>13</v>
      </c>
      <c r="G2118" t="s">
        <v>23</v>
      </c>
      <c r="H2118" t="s">
        <v>15</v>
      </c>
      <c r="I2118" t="s">
        <v>16</v>
      </c>
      <c r="J2118">
        <v>9130.77</v>
      </c>
      <c r="K2118">
        <v>10813.45</v>
      </c>
      <c r="L2118" s="20">
        <f>tbl_Budget[[#This Row],[Actual]]-tbl_Budget[[#This Row],[Budget]]</f>
        <v>1682.6800000000003</v>
      </c>
      <c r="M2118" s="3">
        <f>tbl_Budget[[#This Row],[Variance]]/tbl_Budget[[#This Row],[Budget]]</f>
        <v>0.18428675785284265</v>
      </c>
      <c r="N2118" t="str">
        <f>IF(tbl_Budget[[#This Row],[Variance_%]]&gt;0.05,"Overspend",IF(tbl_Budget[[#This Row],[Variance_%]]&lt;-0.05,"Underspend","On Budget"))</f>
        <v>Overspend</v>
      </c>
    </row>
    <row r="2119" spans="1:14" hidden="1">
      <c r="A2119" s="1">
        <v>45566</v>
      </c>
      <c r="B2119">
        <v>10</v>
      </c>
      <c r="C2119" t="s">
        <v>48</v>
      </c>
      <c r="D2119" t="s">
        <v>63</v>
      </c>
      <c r="E2119">
        <v>2024</v>
      </c>
      <c r="F2119" t="s">
        <v>13</v>
      </c>
      <c r="G2119" t="s">
        <v>23</v>
      </c>
      <c r="H2119" t="s">
        <v>17</v>
      </c>
      <c r="I2119" t="s">
        <v>16</v>
      </c>
      <c r="J2119">
        <v>8511.58</v>
      </c>
      <c r="K2119">
        <v>10220.86</v>
      </c>
      <c r="L2119" s="20">
        <f>tbl_Budget[[#This Row],[Actual]]-tbl_Budget[[#This Row],[Budget]]</f>
        <v>1709.2800000000007</v>
      </c>
      <c r="M2119" s="3">
        <f>tbl_Budget[[#This Row],[Variance]]/tbl_Budget[[#This Row],[Budget]]</f>
        <v>0.20081817946844188</v>
      </c>
      <c r="N2119" t="str">
        <f>IF(tbl_Budget[[#This Row],[Variance_%]]&gt;0.05,"Overspend",IF(tbl_Budget[[#This Row],[Variance_%]]&lt;-0.05,"Underspend","On Budget"))</f>
        <v>Overspend</v>
      </c>
    </row>
    <row r="2120" spans="1:14" hidden="1">
      <c r="A2120" s="1">
        <v>45566</v>
      </c>
      <c r="B2120">
        <v>10</v>
      </c>
      <c r="C2120" t="s">
        <v>48</v>
      </c>
      <c r="D2120" t="s">
        <v>63</v>
      </c>
      <c r="E2120">
        <v>2024</v>
      </c>
      <c r="F2120" t="s">
        <v>13</v>
      </c>
      <c r="G2120" t="s">
        <v>23</v>
      </c>
      <c r="H2120" t="s">
        <v>18</v>
      </c>
      <c r="I2120" t="s">
        <v>16</v>
      </c>
      <c r="J2120">
        <v>8430.44</v>
      </c>
      <c r="K2120">
        <v>9365.85</v>
      </c>
      <c r="L2120" s="20">
        <f>tbl_Budget[[#This Row],[Actual]]-tbl_Budget[[#This Row],[Budget]]</f>
        <v>935.40999999999985</v>
      </c>
      <c r="M2120" s="3">
        <f>tbl_Budget[[#This Row],[Variance]]/tbl_Budget[[#This Row],[Budget]]</f>
        <v>0.11095624902140337</v>
      </c>
      <c r="N2120" t="str">
        <f>IF(tbl_Budget[[#This Row],[Variance_%]]&gt;0.05,"Overspend",IF(tbl_Budget[[#This Row],[Variance_%]]&lt;-0.05,"Underspend","On Budget"))</f>
        <v>Overspend</v>
      </c>
    </row>
    <row r="2121" spans="1:14" hidden="1">
      <c r="A2121" s="1">
        <v>45566</v>
      </c>
      <c r="B2121">
        <v>10</v>
      </c>
      <c r="C2121" t="s">
        <v>48</v>
      </c>
      <c r="D2121" t="s">
        <v>63</v>
      </c>
      <c r="E2121">
        <v>2024</v>
      </c>
      <c r="F2121" t="s">
        <v>13</v>
      </c>
      <c r="G2121" t="s">
        <v>23</v>
      </c>
      <c r="H2121" t="s">
        <v>19</v>
      </c>
      <c r="I2121" t="s">
        <v>16</v>
      </c>
      <c r="J2121">
        <v>9191.5400000000009</v>
      </c>
      <c r="K2121">
        <v>10306.06</v>
      </c>
      <c r="L2121" s="20">
        <f>tbl_Budget[[#This Row],[Actual]]-tbl_Budget[[#This Row],[Budget]]</f>
        <v>1114.5199999999986</v>
      </c>
      <c r="M2121" s="3">
        <f>tbl_Budget[[#This Row],[Variance]]/tbl_Budget[[#This Row],[Budget]]</f>
        <v>0.12125498012302602</v>
      </c>
      <c r="N2121" t="str">
        <f>IF(tbl_Budget[[#This Row],[Variance_%]]&gt;0.05,"Overspend",IF(tbl_Budget[[#This Row],[Variance_%]]&lt;-0.05,"Underspend","On Budget"))</f>
        <v>Overspend</v>
      </c>
    </row>
    <row r="2122" spans="1:14" hidden="1">
      <c r="A2122" s="1">
        <v>45566</v>
      </c>
      <c r="B2122">
        <v>10</v>
      </c>
      <c r="C2122" t="s">
        <v>48</v>
      </c>
      <c r="D2122" t="s">
        <v>63</v>
      </c>
      <c r="E2122">
        <v>2024</v>
      </c>
      <c r="F2122" t="s">
        <v>24</v>
      </c>
      <c r="G2122" t="s">
        <v>14</v>
      </c>
      <c r="H2122" t="s">
        <v>15</v>
      </c>
      <c r="I2122" t="s">
        <v>25</v>
      </c>
      <c r="J2122">
        <v>52830.32</v>
      </c>
      <c r="K2122">
        <v>46474.74</v>
      </c>
      <c r="L2122" s="20">
        <f>tbl_Budget[[#This Row],[Actual]]-tbl_Budget[[#This Row],[Budget]]</f>
        <v>-6355.5800000000017</v>
      </c>
      <c r="M2122" s="3">
        <f>tbl_Budget[[#This Row],[Variance]]/tbl_Budget[[#This Row],[Budget]]</f>
        <v>-0.12030175096421906</v>
      </c>
      <c r="N2122" t="str">
        <f>IF(tbl_Budget[[#This Row],[Variance_%]]&gt;0.05,"Overspend",IF(tbl_Budget[[#This Row],[Variance_%]]&lt;-0.05,"Underspend","On Budget"))</f>
        <v>Underspend</v>
      </c>
    </row>
    <row r="2123" spans="1:14" hidden="1">
      <c r="A2123" s="1">
        <v>45566</v>
      </c>
      <c r="B2123">
        <v>10</v>
      </c>
      <c r="C2123" t="s">
        <v>48</v>
      </c>
      <c r="D2123" t="s">
        <v>63</v>
      </c>
      <c r="E2123">
        <v>2024</v>
      </c>
      <c r="F2123" t="s">
        <v>24</v>
      </c>
      <c r="G2123" t="s">
        <v>14</v>
      </c>
      <c r="H2123" t="s">
        <v>17</v>
      </c>
      <c r="I2123" t="s">
        <v>25</v>
      </c>
      <c r="J2123">
        <v>50199.07</v>
      </c>
      <c r="K2123">
        <v>45464.480000000003</v>
      </c>
      <c r="L2123" s="20">
        <f>tbl_Budget[[#This Row],[Actual]]-tbl_Budget[[#This Row],[Budget]]</f>
        <v>-4734.5899999999965</v>
      </c>
      <c r="M2123" s="3">
        <f>tbl_Budget[[#This Row],[Variance]]/tbl_Budget[[#This Row],[Budget]]</f>
        <v>-9.4316289126471789E-2</v>
      </c>
      <c r="N2123" t="str">
        <f>IF(tbl_Budget[[#This Row],[Variance_%]]&gt;0.05,"Overspend",IF(tbl_Budget[[#This Row],[Variance_%]]&lt;-0.05,"Underspend","On Budget"))</f>
        <v>Underspend</v>
      </c>
    </row>
    <row r="2124" spans="1:14" hidden="1">
      <c r="A2124" s="1">
        <v>45566</v>
      </c>
      <c r="B2124">
        <v>10</v>
      </c>
      <c r="C2124" t="s">
        <v>48</v>
      </c>
      <c r="D2124" t="s">
        <v>63</v>
      </c>
      <c r="E2124">
        <v>2024</v>
      </c>
      <c r="F2124" t="s">
        <v>24</v>
      </c>
      <c r="G2124" t="s">
        <v>14</v>
      </c>
      <c r="H2124" t="s">
        <v>18</v>
      </c>
      <c r="I2124" t="s">
        <v>25</v>
      </c>
      <c r="J2124">
        <v>49767.66</v>
      </c>
      <c r="K2124">
        <v>43521.13</v>
      </c>
      <c r="L2124" s="20">
        <f>tbl_Budget[[#This Row],[Actual]]-tbl_Budget[[#This Row],[Budget]]</f>
        <v>-6246.5300000000061</v>
      </c>
      <c r="M2124" s="3">
        <f>tbl_Budget[[#This Row],[Variance]]/tbl_Budget[[#This Row],[Budget]]</f>
        <v>-0.12551383770102925</v>
      </c>
      <c r="N2124" t="str">
        <f>IF(tbl_Budget[[#This Row],[Variance_%]]&gt;0.05,"Overspend",IF(tbl_Budget[[#This Row],[Variance_%]]&lt;-0.05,"Underspend","On Budget"))</f>
        <v>Underspend</v>
      </c>
    </row>
    <row r="2125" spans="1:14" hidden="1">
      <c r="A2125" s="1">
        <v>45566</v>
      </c>
      <c r="B2125">
        <v>10</v>
      </c>
      <c r="C2125" t="s">
        <v>48</v>
      </c>
      <c r="D2125" t="s">
        <v>63</v>
      </c>
      <c r="E2125">
        <v>2024</v>
      </c>
      <c r="F2125" t="s">
        <v>24</v>
      </c>
      <c r="G2125" t="s">
        <v>14</v>
      </c>
      <c r="H2125" t="s">
        <v>19</v>
      </c>
      <c r="I2125" t="s">
        <v>25</v>
      </c>
      <c r="J2125">
        <v>55639.94</v>
      </c>
      <c r="K2125">
        <v>48178.34</v>
      </c>
      <c r="L2125" s="20">
        <f>tbl_Budget[[#This Row],[Actual]]-tbl_Budget[[#This Row],[Budget]]</f>
        <v>-7461.6000000000058</v>
      </c>
      <c r="M2125" s="3">
        <f>tbl_Budget[[#This Row],[Variance]]/tbl_Budget[[#This Row],[Budget]]</f>
        <v>-0.13410510507380141</v>
      </c>
      <c r="N2125" t="str">
        <f>IF(tbl_Budget[[#This Row],[Variance_%]]&gt;0.05,"Overspend",IF(tbl_Budget[[#This Row],[Variance_%]]&lt;-0.05,"Underspend","On Budget"))</f>
        <v>Underspend</v>
      </c>
    </row>
    <row r="2126" spans="1:14" hidden="1">
      <c r="A2126" s="1">
        <v>45566</v>
      </c>
      <c r="B2126">
        <v>10</v>
      </c>
      <c r="C2126" t="s">
        <v>48</v>
      </c>
      <c r="D2126" t="s">
        <v>63</v>
      </c>
      <c r="E2126">
        <v>2024</v>
      </c>
      <c r="F2126" t="s">
        <v>24</v>
      </c>
      <c r="G2126" t="s">
        <v>20</v>
      </c>
      <c r="H2126" t="s">
        <v>15</v>
      </c>
      <c r="I2126" t="s">
        <v>25</v>
      </c>
      <c r="J2126">
        <v>29340.720000000001</v>
      </c>
      <c r="K2126">
        <v>25350.18</v>
      </c>
      <c r="L2126" s="20">
        <f>tbl_Budget[[#This Row],[Actual]]-tbl_Budget[[#This Row],[Budget]]</f>
        <v>-3990.5400000000009</v>
      </c>
      <c r="M2126" s="3">
        <f>tbl_Budget[[#This Row],[Variance]]/tbl_Budget[[#This Row],[Budget]]</f>
        <v>-0.13600688735654751</v>
      </c>
      <c r="N2126" t="str">
        <f>IF(tbl_Budget[[#This Row],[Variance_%]]&gt;0.05,"Overspend",IF(tbl_Budget[[#This Row],[Variance_%]]&lt;-0.05,"Underspend","On Budget"))</f>
        <v>Underspend</v>
      </c>
    </row>
    <row r="2127" spans="1:14" hidden="1">
      <c r="A2127" s="1">
        <v>45566</v>
      </c>
      <c r="B2127">
        <v>10</v>
      </c>
      <c r="C2127" t="s">
        <v>48</v>
      </c>
      <c r="D2127" t="s">
        <v>63</v>
      </c>
      <c r="E2127">
        <v>2024</v>
      </c>
      <c r="F2127" t="s">
        <v>24</v>
      </c>
      <c r="G2127" t="s">
        <v>20</v>
      </c>
      <c r="H2127" t="s">
        <v>17</v>
      </c>
      <c r="I2127" t="s">
        <v>25</v>
      </c>
      <c r="J2127">
        <v>26543.37</v>
      </c>
      <c r="K2127">
        <v>23135.5</v>
      </c>
      <c r="L2127" s="20">
        <f>tbl_Budget[[#This Row],[Actual]]-tbl_Budget[[#This Row],[Budget]]</f>
        <v>-3407.869999999999</v>
      </c>
      <c r="M2127" s="3">
        <f>tbl_Budget[[#This Row],[Variance]]/tbl_Budget[[#This Row],[Budget]]</f>
        <v>-0.1283887464176553</v>
      </c>
      <c r="N2127" t="str">
        <f>IF(tbl_Budget[[#This Row],[Variance_%]]&gt;0.05,"Overspend",IF(tbl_Budget[[#This Row],[Variance_%]]&lt;-0.05,"Underspend","On Budget"))</f>
        <v>Underspend</v>
      </c>
    </row>
    <row r="2128" spans="1:14" hidden="1">
      <c r="A2128" s="1">
        <v>45566</v>
      </c>
      <c r="B2128">
        <v>10</v>
      </c>
      <c r="C2128" t="s">
        <v>48</v>
      </c>
      <c r="D2128" t="s">
        <v>63</v>
      </c>
      <c r="E2128">
        <v>2024</v>
      </c>
      <c r="F2128" t="s">
        <v>24</v>
      </c>
      <c r="G2128" t="s">
        <v>20</v>
      </c>
      <c r="H2128" t="s">
        <v>18</v>
      </c>
      <c r="I2128" t="s">
        <v>25</v>
      </c>
      <c r="J2128">
        <v>27690.83</v>
      </c>
      <c r="K2128">
        <v>24551.1</v>
      </c>
      <c r="L2128" s="20">
        <f>tbl_Budget[[#This Row],[Actual]]-tbl_Budget[[#This Row],[Budget]]</f>
        <v>-3139.7300000000032</v>
      </c>
      <c r="M2128" s="3">
        <f>tbl_Budget[[#This Row],[Variance]]/tbl_Budget[[#This Row],[Budget]]</f>
        <v>-0.11338518924857084</v>
      </c>
      <c r="N2128" t="str">
        <f>IF(tbl_Budget[[#This Row],[Variance_%]]&gt;0.05,"Overspend",IF(tbl_Budget[[#This Row],[Variance_%]]&lt;-0.05,"Underspend","On Budget"))</f>
        <v>Underspend</v>
      </c>
    </row>
    <row r="2129" spans="1:14" hidden="1">
      <c r="A2129" s="1">
        <v>45566</v>
      </c>
      <c r="B2129">
        <v>10</v>
      </c>
      <c r="C2129" t="s">
        <v>48</v>
      </c>
      <c r="D2129" t="s">
        <v>63</v>
      </c>
      <c r="E2129">
        <v>2024</v>
      </c>
      <c r="F2129" t="s">
        <v>24</v>
      </c>
      <c r="G2129" t="s">
        <v>20</v>
      </c>
      <c r="H2129" t="s">
        <v>19</v>
      </c>
      <c r="I2129" t="s">
        <v>25</v>
      </c>
      <c r="J2129">
        <v>29544.82</v>
      </c>
      <c r="K2129">
        <v>26164.85</v>
      </c>
      <c r="L2129" s="20">
        <f>tbl_Budget[[#This Row],[Actual]]-tbl_Budget[[#This Row],[Budget]]</f>
        <v>-3379.9700000000012</v>
      </c>
      <c r="M2129" s="3">
        <f>tbl_Budget[[#This Row],[Variance]]/tbl_Budget[[#This Row],[Budget]]</f>
        <v>-0.11440144160634592</v>
      </c>
      <c r="N2129" t="str">
        <f>IF(tbl_Budget[[#This Row],[Variance_%]]&gt;0.05,"Overspend",IF(tbl_Budget[[#This Row],[Variance_%]]&lt;-0.05,"Underspend","On Budget"))</f>
        <v>Underspend</v>
      </c>
    </row>
    <row r="2130" spans="1:14">
      <c r="A2130" s="1">
        <v>45566</v>
      </c>
      <c r="B2130">
        <v>10</v>
      </c>
      <c r="C2130" t="s">
        <v>48</v>
      </c>
      <c r="D2130" t="s">
        <v>63</v>
      </c>
      <c r="E2130">
        <v>2024</v>
      </c>
      <c r="F2130" t="s">
        <v>24</v>
      </c>
      <c r="G2130" t="s">
        <v>21</v>
      </c>
      <c r="H2130" t="s">
        <v>15</v>
      </c>
      <c r="I2130" t="s">
        <v>25</v>
      </c>
      <c r="J2130">
        <v>11331.23</v>
      </c>
      <c r="K2130">
        <v>9740.1200000000008</v>
      </c>
      <c r="L2130" s="20">
        <f>tbl_Budget[[#This Row],[Actual]]-tbl_Budget[[#This Row],[Budget]]</f>
        <v>-1591.1099999999988</v>
      </c>
      <c r="M2130" s="3">
        <f>tbl_Budget[[#This Row],[Variance]]/tbl_Budget[[#This Row],[Budget]]</f>
        <v>-0.14041811877439597</v>
      </c>
      <c r="N2130" t="str">
        <f>IF(tbl_Budget[[#This Row],[Variance_%]]&gt;0.05,"Overspend",IF(tbl_Budget[[#This Row],[Variance_%]]&lt;-0.05,"Underspend","On Budget"))</f>
        <v>Underspend</v>
      </c>
    </row>
    <row r="2131" spans="1:14">
      <c r="A2131" s="1">
        <v>45566</v>
      </c>
      <c r="B2131">
        <v>10</v>
      </c>
      <c r="C2131" t="s">
        <v>48</v>
      </c>
      <c r="D2131" t="s">
        <v>63</v>
      </c>
      <c r="E2131">
        <v>2024</v>
      </c>
      <c r="F2131" t="s">
        <v>24</v>
      </c>
      <c r="G2131" t="s">
        <v>21</v>
      </c>
      <c r="H2131" t="s">
        <v>17</v>
      </c>
      <c r="I2131" t="s">
        <v>25</v>
      </c>
      <c r="J2131">
        <v>10318.89</v>
      </c>
      <c r="K2131">
        <v>9088.5</v>
      </c>
      <c r="L2131" s="20">
        <f>tbl_Budget[[#This Row],[Actual]]-tbl_Budget[[#This Row],[Budget]]</f>
        <v>-1230.3899999999994</v>
      </c>
      <c r="M2131" s="3">
        <f>tbl_Budget[[#This Row],[Variance]]/tbl_Budget[[#This Row],[Budget]]</f>
        <v>-0.11923666208284026</v>
      </c>
      <c r="N2131" t="str">
        <f>IF(tbl_Budget[[#This Row],[Variance_%]]&gt;0.05,"Overspend",IF(tbl_Budget[[#This Row],[Variance_%]]&lt;-0.05,"Underspend","On Budget"))</f>
        <v>Underspend</v>
      </c>
    </row>
    <row r="2132" spans="1:14">
      <c r="A2132" s="1">
        <v>45566</v>
      </c>
      <c r="B2132">
        <v>10</v>
      </c>
      <c r="C2132" t="s">
        <v>48</v>
      </c>
      <c r="D2132" t="s">
        <v>63</v>
      </c>
      <c r="E2132">
        <v>2024</v>
      </c>
      <c r="F2132" t="s">
        <v>24</v>
      </c>
      <c r="G2132" t="s">
        <v>21</v>
      </c>
      <c r="H2132" t="s">
        <v>18</v>
      </c>
      <c r="I2132" t="s">
        <v>25</v>
      </c>
      <c r="J2132">
        <v>11009.9</v>
      </c>
      <c r="K2132">
        <v>9379.6</v>
      </c>
      <c r="L2132" s="20">
        <f>tbl_Budget[[#This Row],[Actual]]-tbl_Budget[[#This Row],[Budget]]</f>
        <v>-1630.2999999999993</v>
      </c>
      <c r="M2132" s="3">
        <f>tbl_Budget[[#This Row],[Variance]]/tbl_Budget[[#This Row],[Budget]]</f>
        <v>-0.14807582266868902</v>
      </c>
      <c r="N2132" t="str">
        <f>IF(tbl_Budget[[#This Row],[Variance_%]]&gt;0.05,"Overspend",IF(tbl_Budget[[#This Row],[Variance_%]]&lt;-0.05,"Underspend","On Budget"))</f>
        <v>Underspend</v>
      </c>
    </row>
    <row r="2133" spans="1:14">
      <c r="A2133" s="1">
        <v>45566</v>
      </c>
      <c r="B2133">
        <v>10</v>
      </c>
      <c r="C2133" t="s">
        <v>48</v>
      </c>
      <c r="D2133" t="s">
        <v>63</v>
      </c>
      <c r="E2133">
        <v>2024</v>
      </c>
      <c r="F2133" t="s">
        <v>24</v>
      </c>
      <c r="G2133" t="s">
        <v>21</v>
      </c>
      <c r="H2133" t="s">
        <v>19</v>
      </c>
      <c r="I2133" t="s">
        <v>25</v>
      </c>
      <c r="J2133">
        <v>11756.77</v>
      </c>
      <c r="K2133">
        <v>10074.98</v>
      </c>
      <c r="L2133" s="20">
        <f>tbl_Budget[[#This Row],[Actual]]-tbl_Budget[[#This Row],[Budget]]</f>
        <v>-1681.7900000000009</v>
      </c>
      <c r="M2133" s="3">
        <f>tbl_Budget[[#This Row],[Variance]]/tbl_Budget[[#This Row],[Budget]]</f>
        <v>-0.14304864346244767</v>
      </c>
      <c r="N2133" t="str">
        <f>IF(tbl_Budget[[#This Row],[Variance_%]]&gt;0.05,"Overspend",IF(tbl_Budget[[#This Row],[Variance_%]]&lt;-0.05,"Underspend","On Budget"))</f>
        <v>Underspend</v>
      </c>
    </row>
    <row r="2134" spans="1:14" hidden="1">
      <c r="A2134" s="1">
        <v>45566</v>
      </c>
      <c r="B2134">
        <v>10</v>
      </c>
      <c r="C2134" t="s">
        <v>48</v>
      </c>
      <c r="D2134" t="s">
        <v>63</v>
      </c>
      <c r="E2134">
        <v>2024</v>
      </c>
      <c r="F2134" t="s">
        <v>24</v>
      </c>
      <c r="G2134" t="s">
        <v>22</v>
      </c>
      <c r="H2134" t="s">
        <v>15</v>
      </c>
      <c r="I2134" t="s">
        <v>25</v>
      </c>
      <c r="J2134">
        <v>9231.25</v>
      </c>
      <c r="K2134">
        <v>8100</v>
      </c>
      <c r="L2134" s="20">
        <f>tbl_Budget[[#This Row],[Actual]]-tbl_Budget[[#This Row],[Budget]]</f>
        <v>-1131.25</v>
      </c>
      <c r="M2134" s="3">
        <f>tbl_Budget[[#This Row],[Variance]]/tbl_Budget[[#This Row],[Budget]]</f>
        <v>-0.12254570074475288</v>
      </c>
      <c r="N2134" t="str">
        <f>IF(tbl_Budget[[#This Row],[Variance_%]]&gt;0.05,"Overspend",IF(tbl_Budget[[#This Row],[Variance_%]]&lt;-0.05,"Underspend","On Budget"))</f>
        <v>Underspend</v>
      </c>
    </row>
    <row r="2135" spans="1:14" hidden="1">
      <c r="A2135" s="1">
        <v>45566</v>
      </c>
      <c r="B2135">
        <v>10</v>
      </c>
      <c r="C2135" t="s">
        <v>48</v>
      </c>
      <c r="D2135" t="s">
        <v>63</v>
      </c>
      <c r="E2135">
        <v>2024</v>
      </c>
      <c r="F2135" t="s">
        <v>24</v>
      </c>
      <c r="G2135" t="s">
        <v>22</v>
      </c>
      <c r="H2135" t="s">
        <v>17</v>
      </c>
      <c r="I2135" t="s">
        <v>25</v>
      </c>
      <c r="J2135">
        <v>8560.84</v>
      </c>
      <c r="K2135">
        <v>7683.58</v>
      </c>
      <c r="L2135" s="20">
        <f>tbl_Budget[[#This Row],[Actual]]-tbl_Budget[[#This Row],[Budget]]</f>
        <v>-877.26000000000022</v>
      </c>
      <c r="M2135" s="3">
        <f>tbl_Budget[[#This Row],[Variance]]/tbl_Budget[[#This Row],[Budget]]</f>
        <v>-0.10247358904032784</v>
      </c>
      <c r="N2135" t="str">
        <f>IF(tbl_Budget[[#This Row],[Variance_%]]&gt;0.05,"Overspend",IF(tbl_Budget[[#This Row],[Variance_%]]&lt;-0.05,"Underspend","On Budget"))</f>
        <v>Underspend</v>
      </c>
    </row>
    <row r="2136" spans="1:14" hidden="1">
      <c r="A2136" s="1">
        <v>45566</v>
      </c>
      <c r="B2136">
        <v>10</v>
      </c>
      <c r="C2136" t="s">
        <v>48</v>
      </c>
      <c r="D2136" t="s">
        <v>63</v>
      </c>
      <c r="E2136">
        <v>2024</v>
      </c>
      <c r="F2136" t="s">
        <v>24</v>
      </c>
      <c r="G2136" t="s">
        <v>22</v>
      </c>
      <c r="H2136" t="s">
        <v>18</v>
      </c>
      <c r="I2136" t="s">
        <v>25</v>
      </c>
      <c r="J2136">
        <v>8597.91</v>
      </c>
      <c r="K2136">
        <v>7379.29</v>
      </c>
      <c r="L2136" s="20">
        <f>tbl_Budget[[#This Row],[Actual]]-tbl_Budget[[#This Row],[Budget]]</f>
        <v>-1218.6199999999999</v>
      </c>
      <c r="M2136" s="3">
        <f>tbl_Budget[[#This Row],[Variance]]/tbl_Budget[[#This Row],[Budget]]</f>
        <v>-0.14173444476622807</v>
      </c>
      <c r="N2136" t="str">
        <f>IF(tbl_Budget[[#This Row],[Variance_%]]&gt;0.05,"Overspend",IF(tbl_Budget[[#This Row],[Variance_%]]&lt;-0.05,"Underspend","On Budget"))</f>
        <v>Underspend</v>
      </c>
    </row>
    <row r="2137" spans="1:14" hidden="1">
      <c r="A2137" s="1">
        <v>45566</v>
      </c>
      <c r="B2137">
        <v>10</v>
      </c>
      <c r="C2137" t="s">
        <v>48</v>
      </c>
      <c r="D2137" t="s">
        <v>63</v>
      </c>
      <c r="E2137">
        <v>2024</v>
      </c>
      <c r="F2137" t="s">
        <v>24</v>
      </c>
      <c r="G2137" t="s">
        <v>22</v>
      </c>
      <c r="H2137" t="s">
        <v>19</v>
      </c>
      <c r="I2137" t="s">
        <v>25</v>
      </c>
      <c r="J2137">
        <v>9741.75</v>
      </c>
      <c r="K2137">
        <v>8348.09</v>
      </c>
      <c r="L2137" s="20">
        <f>tbl_Budget[[#This Row],[Actual]]-tbl_Budget[[#This Row],[Budget]]</f>
        <v>-1393.6599999999999</v>
      </c>
      <c r="M2137" s="3">
        <f>tbl_Budget[[#This Row],[Variance]]/tbl_Budget[[#This Row],[Budget]]</f>
        <v>-0.14306053840429078</v>
      </c>
      <c r="N2137" t="str">
        <f>IF(tbl_Budget[[#This Row],[Variance_%]]&gt;0.05,"Overspend",IF(tbl_Budget[[#This Row],[Variance_%]]&lt;-0.05,"Underspend","On Budget"))</f>
        <v>Underspend</v>
      </c>
    </row>
    <row r="2138" spans="1:14" hidden="1">
      <c r="A2138" s="1">
        <v>45566</v>
      </c>
      <c r="B2138">
        <v>10</v>
      </c>
      <c r="C2138" t="s">
        <v>48</v>
      </c>
      <c r="D2138" t="s">
        <v>63</v>
      </c>
      <c r="E2138">
        <v>2024</v>
      </c>
      <c r="F2138" t="s">
        <v>24</v>
      </c>
      <c r="G2138" t="s">
        <v>23</v>
      </c>
      <c r="H2138" t="s">
        <v>15</v>
      </c>
      <c r="I2138" t="s">
        <v>25</v>
      </c>
      <c r="J2138">
        <v>7810.09</v>
      </c>
      <c r="K2138">
        <v>6641.08</v>
      </c>
      <c r="L2138" s="20">
        <f>tbl_Budget[[#This Row],[Actual]]-tbl_Budget[[#This Row],[Budget]]</f>
        <v>-1169.0100000000002</v>
      </c>
      <c r="M2138" s="3">
        <f>tbl_Budget[[#This Row],[Variance]]/tbl_Budget[[#This Row],[Budget]]</f>
        <v>-0.14967945311769779</v>
      </c>
      <c r="N2138" t="str">
        <f>IF(tbl_Budget[[#This Row],[Variance_%]]&gt;0.05,"Overspend",IF(tbl_Budget[[#This Row],[Variance_%]]&lt;-0.05,"Underspend","On Budget"))</f>
        <v>Underspend</v>
      </c>
    </row>
    <row r="2139" spans="1:14" hidden="1">
      <c r="A2139" s="1">
        <v>45566</v>
      </c>
      <c r="B2139">
        <v>10</v>
      </c>
      <c r="C2139" t="s">
        <v>48</v>
      </c>
      <c r="D2139" t="s">
        <v>63</v>
      </c>
      <c r="E2139">
        <v>2024</v>
      </c>
      <c r="F2139" t="s">
        <v>24</v>
      </c>
      <c r="G2139" t="s">
        <v>23</v>
      </c>
      <c r="H2139" t="s">
        <v>17</v>
      </c>
      <c r="I2139" t="s">
        <v>25</v>
      </c>
      <c r="J2139">
        <v>7644.56</v>
      </c>
      <c r="K2139">
        <v>6706.39</v>
      </c>
      <c r="L2139" s="20">
        <f>tbl_Budget[[#This Row],[Actual]]-tbl_Budget[[#This Row],[Budget]]</f>
        <v>-938.17000000000007</v>
      </c>
      <c r="M2139" s="3">
        <f>tbl_Budget[[#This Row],[Variance]]/tbl_Budget[[#This Row],[Budget]]</f>
        <v>-0.12272387161589418</v>
      </c>
      <c r="N2139" t="str">
        <f>IF(tbl_Budget[[#This Row],[Variance_%]]&gt;0.05,"Overspend",IF(tbl_Budget[[#This Row],[Variance_%]]&lt;-0.05,"Underspend","On Budget"))</f>
        <v>Underspend</v>
      </c>
    </row>
    <row r="2140" spans="1:14" hidden="1">
      <c r="A2140" s="1">
        <v>45566</v>
      </c>
      <c r="B2140">
        <v>10</v>
      </c>
      <c r="C2140" t="s">
        <v>48</v>
      </c>
      <c r="D2140" t="s">
        <v>63</v>
      </c>
      <c r="E2140">
        <v>2024</v>
      </c>
      <c r="F2140" t="s">
        <v>24</v>
      </c>
      <c r="G2140" t="s">
        <v>23</v>
      </c>
      <c r="H2140" t="s">
        <v>18</v>
      </c>
      <c r="I2140" t="s">
        <v>25</v>
      </c>
      <c r="J2140">
        <v>7553.41</v>
      </c>
      <c r="K2140">
        <v>6436.32</v>
      </c>
      <c r="L2140" s="20">
        <f>tbl_Budget[[#This Row],[Actual]]-tbl_Budget[[#This Row],[Budget]]</f>
        <v>-1117.0900000000001</v>
      </c>
      <c r="M2140" s="3">
        <f>tbl_Budget[[#This Row],[Variance]]/tbl_Budget[[#This Row],[Budget]]</f>
        <v>-0.14789214407797274</v>
      </c>
      <c r="N2140" t="str">
        <f>IF(tbl_Budget[[#This Row],[Variance_%]]&gt;0.05,"Overspend",IF(tbl_Budget[[#This Row],[Variance_%]]&lt;-0.05,"Underspend","On Budget"))</f>
        <v>Underspend</v>
      </c>
    </row>
    <row r="2141" spans="1:14" hidden="1">
      <c r="A2141" s="1">
        <v>45566</v>
      </c>
      <c r="B2141">
        <v>10</v>
      </c>
      <c r="C2141" t="s">
        <v>48</v>
      </c>
      <c r="D2141" t="s">
        <v>63</v>
      </c>
      <c r="E2141">
        <v>2024</v>
      </c>
      <c r="F2141" t="s">
        <v>24</v>
      </c>
      <c r="G2141" t="s">
        <v>23</v>
      </c>
      <c r="H2141" t="s">
        <v>19</v>
      </c>
      <c r="I2141" t="s">
        <v>25</v>
      </c>
      <c r="J2141">
        <v>8149.45</v>
      </c>
      <c r="K2141">
        <v>7167.72</v>
      </c>
      <c r="L2141" s="20">
        <f>tbl_Budget[[#This Row],[Actual]]-tbl_Budget[[#This Row],[Budget]]</f>
        <v>-981.72999999999956</v>
      </c>
      <c r="M2141" s="3">
        <f>tbl_Budget[[#This Row],[Variance]]/tbl_Budget[[#This Row],[Budget]]</f>
        <v>-0.12046579830540706</v>
      </c>
      <c r="N2141" t="str">
        <f>IF(tbl_Budget[[#This Row],[Variance_%]]&gt;0.05,"Overspend",IF(tbl_Budget[[#This Row],[Variance_%]]&lt;-0.05,"Underspend","On Budget"))</f>
        <v>Underspend</v>
      </c>
    </row>
    <row r="2142" spans="1:14" hidden="1">
      <c r="A2142" s="1">
        <v>45566</v>
      </c>
      <c r="B2142">
        <v>10</v>
      </c>
      <c r="C2142" t="s">
        <v>48</v>
      </c>
      <c r="D2142" t="s">
        <v>63</v>
      </c>
      <c r="E2142">
        <v>2024</v>
      </c>
      <c r="F2142" t="s">
        <v>26</v>
      </c>
      <c r="G2142" t="s">
        <v>14</v>
      </c>
      <c r="H2142" t="s">
        <v>15</v>
      </c>
      <c r="I2142" t="s">
        <v>27</v>
      </c>
      <c r="J2142">
        <v>46500.32</v>
      </c>
      <c r="K2142">
        <v>46180.959999999999</v>
      </c>
      <c r="L2142" s="20">
        <f>tbl_Budget[[#This Row],[Actual]]-tbl_Budget[[#This Row],[Budget]]</f>
        <v>-319.36000000000058</v>
      </c>
      <c r="M2142" s="3">
        <f>tbl_Budget[[#This Row],[Variance]]/tbl_Budget[[#This Row],[Budget]]</f>
        <v>-6.8679097262126492E-3</v>
      </c>
      <c r="N2142" t="str">
        <f>IF(tbl_Budget[[#This Row],[Variance_%]]&gt;0.05,"Overspend",IF(tbl_Budget[[#This Row],[Variance_%]]&lt;-0.05,"Underspend","On Budget"))</f>
        <v>On Budget</v>
      </c>
    </row>
    <row r="2143" spans="1:14" hidden="1">
      <c r="A2143" s="1">
        <v>45566</v>
      </c>
      <c r="B2143">
        <v>10</v>
      </c>
      <c r="C2143" t="s">
        <v>48</v>
      </c>
      <c r="D2143" t="s">
        <v>63</v>
      </c>
      <c r="E2143">
        <v>2024</v>
      </c>
      <c r="F2143" t="s">
        <v>26</v>
      </c>
      <c r="G2143" t="s">
        <v>14</v>
      </c>
      <c r="H2143" t="s">
        <v>17</v>
      </c>
      <c r="I2143" t="s">
        <v>27</v>
      </c>
      <c r="J2143">
        <v>43272.22</v>
      </c>
      <c r="K2143">
        <v>42941</v>
      </c>
      <c r="L2143" s="20">
        <f>tbl_Budget[[#This Row],[Actual]]-tbl_Budget[[#This Row],[Budget]]</f>
        <v>-331.22000000000116</v>
      </c>
      <c r="M2143" s="3">
        <f>tbl_Budget[[#This Row],[Variance]]/tbl_Budget[[#This Row],[Budget]]</f>
        <v>-7.6543334268498629E-3</v>
      </c>
      <c r="N2143" t="str">
        <f>IF(tbl_Budget[[#This Row],[Variance_%]]&gt;0.05,"Overspend",IF(tbl_Budget[[#This Row],[Variance_%]]&lt;-0.05,"Underspend","On Budget"))</f>
        <v>On Budget</v>
      </c>
    </row>
    <row r="2144" spans="1:14" hidden="1">
      <c r="A2144" s="1">
        <v>45566</v>
      </c>
      <c r="B2144">
        <v>10</v>
      </c>
      <c r="C2144" t="s">
        <v>48</v>
      </c>
      <c r="D2144" t="s">
        <v>63</v>
      </c>
      <c r="E2144">
        <v>2024</v>
      </c>
      <c r="F2144" t="s">
        <v>26</v>
      </c>
      <c r="G2144" t="s">
        <v>14</v>
      </c>
      <c r="H2144" t="s">
        <v>18</v>
      </c>
      <c r="I2144" t="s">
        <v>27</v>
      </c>
      <c r="J2144">
        <v>42878.51</v>
      </c>
      <c r="K2144">
        <v>43222.35</v>
      </c>
      <c r="L2144" s="20">
        <f>tbl_Budget[[#This Row],[Actual]]-tbl_Budget[[#This Row],[Budget]]</f>
        <v>343.83999999999651</v>
      </c>
      <c r="M2144" s="3">
        <f>tbl_Budget[[#This Row],[Variance]]/tbl_Budget[[#This Row],[Budget]]</f>
        <v>8.0189353594608704E-3</v>
      </c>
      <c r="N2144" t="str">
        <f>IF(tbl_Budget[[#This Row],[Variance_%]]&gt;0.05,"Overspend",IF(tbl_Budget[[#This Row],[Variance_%]]&lt;-0.05,"Underspend","On Budget"))</f>
        <v>On Budget</v>
      </c>
    </row>
    <row r="2145" spans="1:14" hidden="1">
      <c r="A2145" s="1">
        <v>45566</v>
      </c>
      <c r="B2145">
        <v>10</v>
      </c>
      <c r="C2145" t="s">
        <v>48</v>
      </c>
      <c r="D2145" t="s">
        <v>63</v>
      </c>
      <c r="E2145">
        <v>2024</v>
      </c>
      <c r="F2145" t="s">
        <v>26</v>
      </c>
      <c r="G2145" t="s">
        <v>14</v>
      </c>
      <c r="H2145" t="s">
        <v>19</v>
      </c>
      <c r="I2145" t="s">
        <v>27</v>
      </c>
      <c r="J2145">
        <v>46572.21</v>
      </c>
      <c r="K2145">
        <v>47340.74</v>
      </c>
      <c r="L2145" s="20">
        <f>tbl_Budget[[#This Row],[Actual]]-tbl_Budget[[#This Row],[Budget]]</f>
        <v>768.52999999999884</v>
      </c>
      <c r="M2145" s="3">
        <f>tbl_Budget[[#This Row],[Variance]]/tbl_Budget[[#This Row],[Budget]]</f>
        <v>1.6501901026384595E-2</v>
      </c>
      <c r="N2145" t="str">
        <f>IF(tbl_Budget[[#This Row],[Variance_%]]&gt;0.05,"Overspend",IF(tbl_Budget[[#This Row],[Variance_%]]&lt;-0.05,"Underspend","On Budget"))</f>
        <v>On Budget</v>
      </c>
    </row>
    <row r="2146" spans="1:14" hidden="1">
      <c r="A2146" s="1">
        <v>45566</v>
      </c>
      <c r="B2146">
        <v>10</v>
      </c>
      <c r="C2146" t="s">
        <v>48</v>
      </c>
      <c r="D2146" t="s">
        <v>63</v>
      </c>
      <c r="E2146">
        <v>2024</v>
      </c>
      <c r="F2146" t="s">
        <v>26</v>
      </c>
      <c r="G2146" t="s">
        <v>20</v>
      </c>
      <c r="H2146" t="s">
        <v>15</v>
      </c>
      <c r="I2146" t="s">
        <v>27</v>
      </c>
      <c r="J2146">
        <v>15767.82</v>
      </c>
      <c r="K2146">
        <v>15264.56</v>
      </c>
      <c r="L2146" s="20">
        <f>tbl_Budget[[#This Row],[Actual]]-tbl_Budget[[#This Row],[Budget]]</f>
        <v>-503.26000000000022</v>
      </c>
      <c r="M2146" s="3">
        <f>tbl_Budget[[#This Row],[Variance]]/tbl_Budget[[#This Row],[Budget]]</f>
        <v>-3.1916904175719928E-2</v>
      </c>
      <c r="N2146" t="str">
        <f>IF(tbl_Budget[[#This Row],[Variance_%]]&gt;0.05,"Overspend",IF(tbl_Budget[[#This Row],[Variance_%]]&lt;-0.05,"Underspend","On Budget"))</f>
        <v>On Budget</v>
      </c>
    </row>
    <row r="2147" spans="1:14" hidden="1">
      <c r="A2147" s="1">
        <v>45566</v>
      </c>
      <c r="B2147">
        <v>10</v>
      </c>
      <c r="C2147" t="s">
        <v>48</v>
      </c>
      <c r="D2147" t="s">
        <v>63</v>
      </c>
      <c r="E2147">
        <v>2024</v>
      </c>
      <c r="F2147" t="s">
        <v>26</v>
      </c>
      <c r="G2147" t="s">
        <v>20</v>
      </c>
      <c r="H2147" t="s">
        <v>17</v>
      </c>
      <c r="I2147" t="s">
        <v>27</v>
      </c>
      <c r="J2147">
        <v>14597.58</v>
      </c>
      <c r="K2147">
        <v>14801.71</v>
      </c>
      <c r="L2147" s="20">
        <f>tbl_Budget[[#This Row],[Actual]]-tbl_Budget[[#This Row],[Budget]]</f>
        <v>204.1299999999992</v>
      </c>
      <c r="M2147" s="3">
        <f>tbl_Budget[[#This Row],[Variance]]/tbl_Budget[[#This Row],[Budget]]</f>
        <v>1.3983824716151526E-2</v>
      </c>
      <c r="N2147" t="str">
        <f>IF(tbl_Budget[[#This Row],[Variance_%]]&gt;0.05,"Overspend",IF(tbl_Budget[[#This Row],[Variance_%]]&lt;-0.05,"Underspend","On Budget"))</f>
        <v>On Budget</v>
      </c>
    </row>
    <row r="2148" spans="1:14" hidden="1">
      <c r="A2148" s="1">
        <v>45566</v>
      </c>
      <c r="B2148">
        <v>10</v>
      </c>
      <c r="C2148" t="s">
        <v>48</v>
      </c>
      <c r="D2148" t="s">
        <v>63</v>
      </c>
      <c r="E2148">
        <v>2024</v>
      </c>
      <c r="F2148" t="s">
        <v>26</v>
      </c>
      <c r="G2148" t="s">
        <v>20</v>
      </c>
      <c r="H2148" t="s">
        <v>18</v>
      </c>
      <c r="I2148" t="s">
        <v>27</v>
      </c>
      <c r="J2148">
        <v>15340.58</v>
      </c>
      <c r="K2148">
        <v>15077.48</v>
      </c>
      <c r="L2148" s="20">
        <f>tbl_Budget[[#This Row],[Actual]]-tbl_Budget[[#This Row],[Budget]]</f>
        <v>-263.10000000000036</v>
      </c>
      <c r="M2148" s="3">
        <f>tbl_Budget[[#This Row],[Variance]]/tbl_Budget[[#This Row],[Budget]]</f>
        <v>-1.7150590134140976E-2</v>
      </c>
      <c r="N2148" t="str">
        <f>IF(tbl_Budget[[#This Row],[Variance_%]]&gt;0.05,"Overspend",IF(tbl_Budget[[#This Row],[Variance_%]]&lt;-0.05,"Underspend","On Budget"))</f>
        <v>On Budget</v>
      </c>
    </row>
    <row r="2149" spans="1:14" hidden="1">
      <c r="A2149" s="1">
        <v>45566</v>
      </c>
      <c r="B2149">
        <v>10</v>
      </c>
      <c r="C2149" t="s">
        <v>48</v>
      </c>
      <c r="D2149" t="s">
        <v>63</v>
      </c>
      <c r="E2149">
        <v>2024</v>
      </c>
      <c r="F2149" t="s">
        <v>26</v>
      </c>
      <c r="G2149" t="s">
        <v>20</v>
      </c>
      <c r="H2149" t="s">
        <v>19</v>
      </c>
      <c r="I2149" t="s">
        <v>27</v>
      </c>
      <c r="J2149">
        <v>15910.97</v>
      </c>
      <c r="K2149">
        <v>15684.56</v>
      </c>
      <c r="L2149" s="20">
        <f>tbl_Budget[[#This Row],[Actual]]-tbl_Budget[[#This Row],[Budget]]</f>
        <v>-226.40999999999985</v>
      </c>
      <c r="M2149" s="3">
        <f>tbl_Budget[[#This Row],[Variance]]/tbl_Budget[[#This Row],[Budget]]</f>
        <v>-1.4229804971035698E-2</v>
      </c>
      <c r="N2149" t="str">
        <f>IF(tbl_Budget[[#This Row],[Variance_%]]&gt;0.05,"Overspend",IF(tbl_Budget[[#This Row],[Variance_%]]&lt;-0.05,"Underspend","On Budget"))</f>
        <v>On Budget</v>
      </c>
    </row>
    <row r="2150" spans="1:14">
      <c r="A2150" s="1">
        <v>45566</v>
      </c>
      <c r="B2150">
        <v>10</v>
      </c>
      <c r="C2150" t="s">
        <v>48</v>
      </c>
      <c r="D2150" t="s">
        <v>63</v>
      </c>
      <c r="E2150">
        <v>2024</v>
      </c>
      <c r="F2150" t="s">
        <v>26</v>
      </c>
      <c r="G2150" t="s">
        <v>21</v>
      </c>
      <c r="H2150" t="s">
        <v>15</v>
      </c>
      <c r="I2150" t="s">
        <v>27</v>
      </c>
      <c r="J2150">
        <v>8659.9</v>
      </c>
      <c r="K2150">
        <v>8771.98</v>
      </c>
      <c r="L2150" s="20">
        <f>tbl_Budget[[#This Row],[Actual]]-tbl_Budget[[#This Row],[Budget]]</f>
        <v>112.07999999999993</v>
      </c>
      <c r="M2150" s="3">
        <f>tbl_Budget[[#This Row],[Variance]]/tbl_Budget[[#This Row],[Budget]]</f>
        <v>1.2942412729939137E-2</v>
      </c>
      <c r="N2150" t="str">
        <f>IF(tbl_Budget[[#This Row],[Variance_%]]&gt;0.05,"Overspend",IF(tbl_Budget[[#This Row],[Variance_%]]&lt;-0.05,"Underspend","On Budget"))</f>
        <v>On Budget</v>
      </c>
    </row>
    <row r="2151" spans="1:14">
      <c r="A2151" s="1">
        <v>45566</v>
      </c>
      <c r="B2151">
        <v>10</v>
      </c>
      <c r="C2151" t="s">
        <v>48</v>
      </c>
      <c r="D2151" t="s">
        <v>63</v>
      </c>
      <c r="E2151">
        <v>2024</v>
      </c>
      <c r="F2151" t="s">
        <v>26</v>
      </c>
      <c r="G2151" t="s">
        <v>21</v>
      </c>
      <c r="H2151" t="s">
        <v>17</v>
      </c>
      <c r="I2151" t="s">
        <v>27</v>
      </c>
      <c r="J2151">
        <v>8271.0499999999993</v>
      </c>
      <c r="K2151">
        <v>8395.26</v>
      </c>
      <c r="L2151" s="20">
        <f>tbl_Budget[[#This Row],[Actual]]-tbl_Budget[[#This Row],[Budget]]</f>
        <v>124.21000000000095</v>
      </c>
      <c r="M2151" s="3">
        <f>tbl_Budget[[#This Row],[Variance]]/tbl_Budget[[#This Row],[Budget]]</f>
        <v>1.5017440349169809E-2</v>
      </c>
      <c r="N2151" t="str">
        <f>IF(tbl_Budget[[#This Row],[Variance_%]]&gt;0.05,"Overspend",IF(tbl_Budget[[#This Row],[Variance_%]]&lt;-0.05,"Underspend","On Budget"))</f>
        <v>On Budget</v>
      </c>
    </row>
    <row r="2152" spans="1:14">
      <c r="A2152" s="1">
        <v>45566</v>
      </c>
      <c r="B2152">
        <v>10</v>
      </c>
      <c r="C2152" t="s">
        <v>48</v>
      </c>
      <c r="D2152" t="s">
        <v>63</v>
      </c>
      <c r="E2152">
        <v>2024</v>
      </c>
      <c r="F2152" t="s">
        <v>26</v>
      </c>
      <c r="G2152" t="s">
        <v>21</v>
      </c>
      <c r="H2152" t="s">
        <v>18</v>
      </c>
      <c r="I2152" t="s">
        <v>27</v>
      </c>
      <c r="J2152">
        <v>8539.9</v>
      </c>
      <c r="K2152">
        <v>8581.39</v>
      </c>
      <c r="L2152" s="20">
        <f>tbl_Budget[[#This Row],[Actual]]-tbl_Budget[[#This Row],[Budget]]</f>
        <v>41.489999999999782</v>
      </c>
      <c r="M2152" s="3">
        <f>tbl_Budget[[#This Row],[Variance]]/tbl_Budget[[#This Row],[Budget]]</f>
        <v>4.8583707069169172E-3</v>
      </c>
      <c r="N2152" t="str">
        <f>IF(tbl_Budget[[#This Row],[Variance_%]]&gt;0.05,"Overspend",IF(tbl_Budget[[#This Row],[Variance_%]]&lt;-0.05,"Underspend","On Budget"))</f>
        <v>On Budget</v>
      </c>
    </row>
    <row r="2153" spans="1:14">
      <c r="A2153" s="1">
        <v>45566</v>
      </c>
      <c r="B2153">
        <v>10</v>
      </c>
      <c r="C2153" t="s">
        <v>48</v>
      </c>
      <c r="D2153" t="s">
        <v>63</v>
      </c>
      <c r="E2153">
        <v>2024</v>
      </c>
      <c r="F2153" t="s">
        <v>26</v>
      </c>
      <c r="G2153" t="s">
        <v>21</v>
      </c>
      <c r="H2153" t="s">
        <v>19</v>
      </c>
      <c r="I2153" t="s">
        <v>27</v>
      </c>
      <c r="J2153">
        <v>9087.35</v>
      </c>
      <c r="K2153">
        <v>9073.4699999999993</v>
      </c>
      <c r="L2153" s="20">
        <f>tbl_Budget[[#This Row],[Actual]]-tbl_Budget[[#This Row],[Budget]]</f>
        <v>-13.880000000001019</v>
      </c>
      <c r="M2153" s="3">
        <f>tbl_Budget[[#This Row],[Variance]]/tbl_Budget[[#This Row],[Budget]]</f>
        <v>-1.5273979763078364E-3</v>
      </c>
      <c r="N2153" t="str">
        <f>IF(tbl_Budget[[#This Row],[Variance_%]]&gt;0.05,"Overspend",IF(tbl_Budget[[#This Row],[Variance_%]]&lt;-0.05,"Underspend","On Budget"))</f>
        <v>On Budget</v>
      </c>
    </row>
    <row r="2154" spans="1:14" hidden="1">
      <c r="A2154" s="1">
        <v>45566</v>
      </c>
      <c r="B2154">
        <v>10</v>
      </c>
      <c r="C2154" t="s">
        <v>48</v>
      </c>
      <c r="D2154" t="s">
        <v>63</v>
      </c>
      <c r="E2154">
        <v>2024</v>
      </c>
      <c r="F2154" t="s">
        <v>26</v>
      </c>
      <c r="G2154" t="s">
        <v>22</v>
      </c>
      <c r="H2154" t="s">
        <v>15</v>
      </c>
      <c r="I2154" t="s">
        <v>27</v>
      </c>
      <c r="J2154">
        <v>7074.55</v>
      </c>
      <c r="K2154">
        <v>7251.27</v>
      </c>
      <c r="L2154" s="20">
        <f>tbl_Budget[[#This Row],[Actual]]-tbl_Budget[[#This Row],[Budget]]</f>
        <v>176.72000000000025</v>
      </c>
      <c r="M2154" s="3">
        <f>tbl_Budget[[#This Row],[Variance]]/tbl_Budget[[#This Row],[Budget]]</f>
        <v>2.4979680686404118E-2</v>
      </c>
      <c r="N2154" t="str">
        <f>IF(tbl_Budget[[#This Row],[Variance_%]]&gt;0.05,"Overspend",IF(tbl_Budget[[#This Row],[Variance_%]]&lt;-0.05,"Underspend","On Budget"))</f>
        <v>On Budget</v>
      </c>
    </row>
    <row r="2155" spans="1:14" hidden="1">
      <c r="A2155" s="1">
        <v>45566</v>
      </c>
      <c r="B2155">
        <v>10</v>
      </c>
      <c r="C2155" t="s">
        <v>48</v>
      </c>
      <c r="D2155" t="s">
        <v>63</v>
      </c>
      <c r="E2155">
        <v>2024</v>
      </c>
      <c r="F2155" t="s">
        <v>26</v>
      </c>
      <c r="G2155" t="s">
        <v>22</v>
      </c>
      <c r="H2155" t="s">
        <v>17</v>
      </c>
      <c r="I2155" t="s">
        <v>27</v>
      </c>
      <c r="J2155">
        <v>6940.35</v>
      </c>
      <c r="K2155">
        <v>7088.31</v>
      </c>
      <c r="L2155" s="20">
        <f>tbl_Budget[[#This Row],[Actual]]-tbl_Budget[[#This Row],[Budget]]</f>
        <v>147.96000000000004</v>
      </c>
      <c r="M2155" s="3">
        <f>tbl_Budget[[#This Row],[Variance]]/tbl_Budget[[#This Row],[Budget]]</f>
        <v>2.1318809570122547E-2</v>
      </c>
      <c r="N2155" t="str">
        <f>IF(tbl_Budget[[#This Row],[Variance_%]]&gt;0.05,"Overspend",IF(tbl_Budget[[#This Row],[Variance_%]]&lt;-0.05,"Underspend","On Budget"))</f>
        <v>On Budget</v>
      </c>
    </row>
    <row r="2156" spans="1:14" hidden="1">
      <c r="A2156" s="1">
        <v>45566</v>
      </c>
      <c r="B2156">
        <v>10</v>
      </c>
      <c r="C2156" t="s">
        <v>48</v>
      </c>
      <c r="D2156" t="s">
        <v>63</v>
      </c>
      <c r="E2156">
        <v>2024</v>
      </c>
      <c r="F2156" t="s">
        <v>26</v>
      </c>
      <c r="G2156" t="s">
        <v>22</v>
      </c>
      <c r="H2156" t="s">
        <v>18</v>
      </c>
      <c r="I2156" t="s">
        <v>27</v>
      </c>
      <c r="J2156">
        <v>6994.93</v>
      </c>
      <c r="K2156">
        <v>6856.93</v>
      </c>
      <c r="L2156" s="20">
        <f>tbl_Budget[[#This Row],[Actual]]-tbl_Budget[[#This Row],[Budget]]</f>
        <v>-138</v>
      </c>
      <c r="M2156" s="3">
        <f>tbl_Budget[[#This Row],[Variance]]/tbl_Budget[[#This Row],[Budget]]</f>
        <v>-1.9728574839204965E-2</v>
      </c>
      <c r="N2156" t="str">
        <f>IF(tbl_Budget[[#This Row],[Variance_%]]&gt;0.05,"Overspend",IF(tbl_Budget[[#This Row],[Variance_%]]&lt;-0.05,"Underspend","On Budget"))</f>
        <v>On Budget</v>
      </c>
    </row>
    <row r="2157" spans="1:14" hidden="1">
      <c r="A2157" s="1">
        <v>45566</v>
      </c>
      <c r="B2157">
        <v>10</v>
      </c>
      <c r="C2157" t="s">
        <v>48</v>
      </c>
      <c r="D2157" t="s">
        <v>63</v>
      </c>
      <c r="E2157">
        <v>2024</v>
      </c>
      <c r="F2157" t="s">
        <v>26</v>
      </c>
      <c r="G2157" t="s">
        <v>22</v>
      </c>
      <c r="H2157" t="s">
        <v>19</v>
      </c>
      <c r="I2157" t="s">
        <v>27</v>
      </c>
      <c r="J2157">
        <v>7266.88</v>
      </c>
      <c r="K2157">
        <v>7116.21</v>
      </c>
      <c r="L2157" s="20">
        <f>tbl_Budget[[#This Row],[Actual]]-tbl_Budget[[#This Row],[Budget]]</f>
        <v>-150.67000000000007</v>
      </c>
      <c r="M2157" s="3">
        <f>tbl_Budget[[#This Row],[Variance]]/tbl_Budget[[#This Row],[Budget]]</f>
        <v>-2.0733794971156821E-2</v>
      </c>
      <c r="N2157" t="str">
        <f>IF(tbl_Budget[[#This Row],[Variance_%]]&gt;0.05,"Overspend",IF(tbl_Budget[[#This Row],[Variance_%]]&lt;-0.05,"Underspend","On Budget"))</f>
        <v>On Budget</v>
      </c>
    </row>
    <row r="2158" spans="1:14" hidden="1">
      <c r="A2158" s="1">
        <v>45566</v>
      </c>
      <c r="B2158">
        <v>10</v>
      </c>
      <c r="C2158" t="s">
        <v>48</v>
      </c>
      <c r="D2158" t="s">
        <v>63</v>
      </c>
      <c r="E2158">
        <v>2024</v>
      </c>
      <c r="F2158" t="s">
        <v>26</v>
      </c>
      <c r="G2158" t="s">
        <v>23</v>
      </c>
      <c r="H2158" t="s">
        <v>15</v>
      </c>
      <c r="I2158" t="s">
        <v>27</v>
      </c>
      <c r="J2158">
        <v>6217.33</v>
      </c>
      <c r="K2158">
        <v>6191.84</v>
      </c>
      <c r="L2158" s="20">
        <f>tbl_Budget[[#This Row],[Actual]]-tbl_Budget[[#This Row],[Budget]]</f>
        <v>-25.489999999999782</v>
      </c>
      <c r="M2158" s="3">
        <f>tbl_Budget[[#This Row],[Variance]]/tbl_Budget[[#This Row],[Budget]]</f>
        <v>-4.0998306346936358E-3</v>
      </c>
      <c r="N2158" t="str">
        <f>IF(tbl_Budget[[#This Row],[Variance_%]]&gt;0.05,"Overspend",IF(tbl_Budget[[#This Row],[Variance_%]]&lt;-0.05,"Underspend","On Budget"))</f>
        <v>On Budget</v>
      </c>
    </row>
    <row r="2159" spans="1:14" hidden="1">
      <c r="A2159" s="1">
        <v>45566</v>
      </c>
      <c r="B2159">
        <v>10</v>
      </c>
      <c r="C2159" t="s">
        <v>48</v>
      </c>
      <c r="D2159" t="s">
        <v>63</v>
      </c>
      <c r="E2159">
        <v>2024</v>
      </c>
      <c r="F2159" t="s">
        <v>26</v>
      </c>
      <c r="G2159" t="s">
        <v>23</v>
      </c>
      <c r="H2159" t="s">
        <v>17</v>
      </c>
      <c r="I2159" t="s">
        <v>27</v>
      </c>
      <c r="J2159">
        <v>5856.17</v>
      </c>
      <c r="K2159">
        <v>5868.65</v>
      </c>
      <c r="L2159" s="20">
        <f>tbl_Budget[[#This Row],[Actual]]-tbl_Budget[[#This Row],[Budget]]</f>
        <v>12.479999999999563</v>
      </c>
      <c r="M2159" s="3">
        <f>tbl_Budget[[#This Row],[Variance]]/tbl_Budget[[#This Row],[Budget]]</f>
        <v>2.1310856754499208E-3</v>
      </c>
      <c r="N2159" t="str">
        <f>IF(tbl_Budget[[#This Row],[Variance_%]]&gt;0.05,"Overspend",IF(tbl_Budget[[#This Row],[Variance_%]]&lt;-0.05,"Underspend","On Budget"))</f>
        <v>On Budget</v>
      </c>
    </row>
    <row r="2160" spans="1:14" hidden="1">
      <c r="A2160" s="1">
        <v>45566</v>
      </c>
      <c r="B2160">
        <v>10</v>
      </c>
      <c r="C2160" t="s">
        <v>48</v>
      </c>
      <c r="D2160" t="s">
        <v>63</v>
      </c>
      <c r="E2160">
        <v>2024</v>
      </c>
      <c r="F2160" t="s">
        <v>26</v>
      </c>
      <c r="G2160" t="s">
        <v>23</v>
      </c>
      <c r="H2160" t="s">
        <v>18</v>
      </c>
      <c r="I2160" t="s">
        <v>27</v>
      </c>
      <c r="J2160">
        <v>6084.33</v>
      </c>
      <c r="K2160">
        <v>5998.42</v>
      </c>
      <c r="L2160" s="20">
        <f>tbl_Budget[[#This Row],[Actual]]-tbl_Budget[[#This Row],[Budget]]</f>
        <v>-85.909999999999854</v>
      </c>
      <c r="M2160" s="3">
        <f>tbl_Budget[[#This Row],[Variance]]/tbl_Budget[[#This Row],[Budget]]</f>
        <v>-1.4119878441833341E-2</v>
      </c>
      <c r="N2160" t="str">
        <f>IF(tbl_Budget[[#This Row],[Variance_%]]&gt;0.05,"Overspend",IF(tbl_Budget[[#This Row],[Variance_%]]&lt;-0.05,"Underspend","On Budget"))</f>
        <v>On Budget</v>
      </c>
    </row>
    <row r="2161" spans="1:14" hidden="1">
      <c r="A2161" s="1">
        <v>45566</v>
      </c>
      <c r="B2161">
        <v>10</v>
      </c>
      <c r="C2161" t="s">
        <v>48</v>
      </c>
      <c r="D2161" t="s">
        <v>63</v>
      </c>
      <c r="E2161">
        <v>2024</v>
      </c>
      <c r="F2161" t="s">
        <v>26</v>
      </c>
      <c r="G2161" t="s">
        <v>23</v>
      </c>
      <c r="H2161" t="s">
        <v>19</v>
      </c>
      <c r="I2161" t="s">
        <v>27</v>
      </c>
      <c r="J2161">
        <v>6232.57</v>
      </c>
      <c r="K2161">
        <v>6067.62</v>
      </c>
      <c r="L2161" s="20">
        <f>tbl_Budget[[#This Row],[Actual]]-tbl_Budget[[#This Row],[Budget]]</f>
        <v>-164.94999999999982</v>
      </c>
      <c r="M2161" s="3">
        <f>tbl_Budget[[#This Row],[Variance]]/tbl_Budget[[#This Row],[Budget]]</f>
        <v>-2.646580784491788E-2</v>
      </c>
      <c r="N2161" t="str">
        <f>IF(tbl_Budget[[#This Row],[Variance_%]]&gt;0.05,"Overspend",IF(tbl_Budget[[#This Row],[Variance_%]]&lt;-0.05,"Underspend","On Budget"))</f>
        <v>On Budget</v>
      </c>
    </row>
    <row r="2162" spans="1:14" hidden="1">
      <c r="A2162" s="1">
        <v>45566</v>
      </c>
      <c r="B2162">
        <v>10</v>
      </c>
      <c r="C2162" t="s">
        <v>48</v>
      </c>
      <c r="D2162" t="s">
        <v>63</v>
      </c>
      <c r="E2162">
        <v>2024</v>
      </c>
      <c r="F2162" t="s">
        <v>28</v>
      </c>
      <c r="G2162" t="s">
        <v>14</v>
      </c>
      <c r="H2162" t="s">
        <v>15</v>
      </c>
      <c r="I2162" t="s">
        <v>29</v>
      </c>
      <c r="J2162">
        <v>53517.46</v>
      </c>
      <c r="K2162">
        <v>47765.01</v>
      </c>
      <c r="L2162" s="20">
        <f>tbl_Budget[[#This Row],[Actual]]-tbl_Budget[[#This Row],[Budget]]</f>
        <v>-5752.4499999999971</v>
      </c>
      <c r="M2162" s="3">
        <f>tbl_Budget[[#This Row],[Variance]]/tbl_Budget[[#This Row],[Budget]]</f>
        <v>-0.10748735085708472</v>
      </c>
      <c r="N2162" t="str">
        <f>IF(tbl_Budget[[#This Row],[Variance_%]]&gt;0.05,"Overspend",IF(tbl_Budget[[#This Row],[Variance_%]]&lt;-0.05,"Underspend","On Budget"))</f>
        <v>Underspend</v>
      </c>
    </row>
    <row r="2163" spans="1:14" hidden="1">
      <c r="A2163" s="1">
        <v>45566</v>
      </c>
      <c r="B2163">
        <v>10</v>
      </c>
      <c r="C2163" t="s">
        <v>48</v>
      </c>
      <c r="D2163" t="s">
        <v>63</v>
      </c>
      <c r="E2163">
        <v>2024</v>
      </c>
      <c r="F2163" t="s">
        <v>28</v>
      </c>
      <c r="G2163" t="s">
        <v>14</v>
      </c>
      <c r="H2163" t="s">
        <v>17</v>
      </c>
      <c r="I2163" t="s">
        <v>29</v>
      </c>
      <c r="J2163">
        <v>51367.68</v>
      </c>
      <c r="K2163">
        <v>55767.8</v>
      </c>
      <c r="L2163" s="20">
        <f>tbl_Budget[[#This Row],[Actual]]-tbl_Budget[[#This Row],[Budget]]</f>
        <v>4400.1200000000026</v>
      </c>
      <c r="M2163" s="3">
        <f>tbl_Budget[[#This Row],[Variance]]/tbl_Budget[[#This Row],[Budget]]</f>
        <v>8.5659309511350382E-2</v>
      </c>
      <c r="N2163" t="str">
        <f>IF(tbl_Budget[[#This Row],[Variance_%]]&gt;0.05,"Overspend",IF(tbl_Budget[[#This Row],[Variance_%]]&lt;-0.05,"Underspend","On Budget"))</f>
        <v>Overspend</v>
      </c>
    </row>
    <row r="2164" spans="1:14" hidden="1">
      <c r="A2164" s="1">
        <v>45566</v>
      </c>
      <c r="B2164">
        <v>10</v>
      </c>
      <c r="C2164" t="s">
        <v>48</v>
      </c>
      <c r="D2164" t="s">
        <v>63</v>
      </c>
      <c r="E2164">
        <v>2024</v>
      </c>
      <c r="F2164" t="s">
        <v>28</v>
      </c>
      <c r="G2164" t="s">
        <v>14</v>
      </c>
      <c r="H2164" t="s">
        <v>18</v>
      </c>
      <c r="I2164" t="s">
        <v>29</v>
      </c>
      <c r="J2164">
        <v>54683.02</v>
      </c>
      <c r="K2164">
        <v>50498.16</v>
      </c>
      <c r="L2164" s="20">
        <f>tbl_Budget[[#This Row],[Actual]]-tbl_Budget[[#This Row],[Budget]]</f>
        <v>-4184.8599999999933</v>
      </c>
      <c r="M2164" s="3">
        <f>tbl_Budget[[#This Row],[Variance]]/tbl_Budget[[#This Row],[Budget]]</f>
        <v>-7.6529423576093519E-2</v>
      </c>
      <c r="N2164" t="str">
        <f>IF(tbl_Budget[[#This Row],[Variance_%]]&gt;0.05,"Overspend",IF(tbl_Budget[[#This Row],[Variance_%]]&lt;-0.05,"Underspend","On Budget"))</f>
        <v>Underspend</v>
      </c>
    </row>
    <row r="2165" spans="1:14" hidden="1">
      <c r="A2165" s="1">
        <v>45566</v>
      </c>
      <c r="B2165">
        <v>10</v>
      </c>
      <c r="C2165" t="s">
        <v>48</v>
      </c>
      <c r="D2165" t="s">
        <v>63</v>
      </c>
      <c r="E2165">
        <v>2024</v>
      </c>
      <c r="F2165" t="s">
        <v>28</v>
      </c>
      <c r="G2165" t="s">
        <v>14</v>
      </c>
      <c r="H2165" t="s">
        <v>19</v>
      </c>
      <c r="I2165" t="s">
        <v>29</v>
      </c>
      <c r="J2165">
        <v>55570.67</v>
      </c>
      <c r="K2165">
        <v>60214.45</v>
      </c>
      <c r="L2165" s="20">
        <f>tbl_Budget[[#This Row],[Actual]]-tbl_Budget[[#This Row],[Budget]]</f>
        <v>4643.7799999999988</v>
      </c>
      <c r="M2165" s="3">
        <f>tbl_Budget[[#This Row],[Variance]]/tbl_Budget[[#This Row],[Budget]]</f>
        <v>8.3565305223060993E-2</v>
      </c>
      <c r="N2165" t="str">
        <f>IF(tbl_Budget[[#This Row],[Variance_%]]&gt;0.05,"Overspend",IF(tbl_Budget[[#This Row],[Variance_%]]&lt;-0.05,"Underspend","On Budget"))</f>
        <v>Overspend</v>
      </c>
    </row>
    <row r="2166" spans="1:14" hidden="1">
      <c r="A2166" s="1">
        <v>45566</v>
      </c>
      <c r="B2166">
        <v>10</v>
      </c>
      <c r="C2166" t="s">
        <v>48</v>
      </c>
      <c r="D2166" t="s">
        <v>63</v>
      </c>
      <c r="E2166">
        <v>2024</v>
      </c>
      <c r="F2166" t="s">
        <v>28</v>
      </c>
      <c r="G2166" t="s">
        <v>20</v>
      </c>
      <c r="H2166" t="s">
        <v>15</v>
      </c>
      <c r="I2166" t="s">
        <v>29</v>
      </c>
      <c r="J2166">
        <v>21007.49</v>
      </c>
      <c r="K2166">
        <v>18999.400000000001</v>
      </c>
      <c r="L2166" s="20">
        <f>tbl_Budget[[#This Row],[Actual]]-tbl_Budget[[#This Row],[Budget]]</f>
        <v>-2008.0900000000001</v>
      </c>
      <c r="M2166" s="3">
        <f>tbl_Budget[[#This Row],[Variance]]/tbl_Budget[[#This Row],[Budget]]</f>
        <v>-9.558923983779119E-2</v>
      </c>
      <c r="N2166" t="str">
        <f>IF(tbl_Budget[[#This Row],[Variance_%]]&gt;0.05,"Overspend",IF(tbl_Budget[[#This Row],[Variance_%]]&lt;-0.05,"Underspend","On Budget"))</f>
        <v>Underspend</v>
      </c>
    </row>
    <row r="2167" spans="1:14" hidden="1">
      <c r="A2167" s="1">
        <v>45566</v>
      </c>
      <c r="B2167">
        <v>10</v>
      </c>
      <c r="C2167" t="s">
        <v>48</v>
      </c>
      <c r="D2167" t="s">
        <v>63</v>
      </c>
      <c r="E2167">
        <v>2024</v>
      </c>
      <c r="F2167" t="s">
        <v>28</v>
      </c>
      <c r="G2167" t="s">
        <v>20</v>
      </c>
      <c r="H2167" t="s">
        <v>17</v>
      </c>
      <c r="I2167" t="s">
        <v>29</v>
      </c>
      <c r="J2167">
        <v>19527.310000000001</v>
      </c>
      <c r="K2167">
        <v>19503.72</v>
      </c>
      <c r="L2167" s="20">
        <f>tbl_Budget[[#This Row],[Actual]]-tbl_Budget[[#This Row],[Budget]]</f>
        <v>-23.590000000000146</v>
      </c>
      <c r="M2167" s="3">
        <f>tbl_Budget[[#This Row],[Variance]]/tbl_Budget[[#This Row],[Budget]]</f>
        <v>-1.2080516978529119E-3</v>
      </c>
      <c r="N2167" t="str">
        <f>IF(tbl_Budget[[#This Row],[Variance_%]]&gt;0.05,"Overspend",IF(tbl_Budget[[#This Row],[Variance_%]]&lt;-0.05,"Underspend","On Budget"))</f>
        <v>On Budget</v>
      </c>
    </row>
    <row r="2168" spans="1:14" hidden="1">
      <c r="A2168" s="1">
        <v>45566</v>
      </c>
      <c r="B2168">
        <v>10</v>
      </c>
      <c r="C2168" t="s">
        <v>48</v>
      </c>
      <c r="D2168" t="s">
        <v>63</v>
      </c>
      <c r="E2168">
        <v>2024</v>
      </c>
      <c r="F2168" t="s">
        <v>28</v>
      </c>
      <c r="G2168" t="s">
        <v>20</v>
      </c>
      <c r="H2168" t="s">
        <v>18</v>
      </c>
      <c r="I2168" t="s">
        <v>29</v>
      </c>
      <c r="J2168">
        <v>20071.990000000002</v>
      </c>
      <c r="K2168">
        <v>19093.77</v>
      </c>
      <c r="L2168" s="20">
        <f>tbl_Budget[[#This Row],[Actual]]-tbl_Budget[[#This Row],[Budget]]</f>
        <v>-978.22000000000116</v>
      </c>
      <c r="M2168" s="3">
        <f>tbl_Budget[[#This Row],[Variance]]/tbl_Budget[[#This Row],[Budget]]</f>
        <v>-4.8735576293132923E-2</v>
      </c>
      <c r="N2168" t="str">
        <f>IF(tbl_Budget[[#This Row],[Variance_%]]&gt;0.05,"Overspend",IF(tbl_Budget[[#This Row],[Variance_%]]&lt;-0.05,"Underspend","On Budget"))</f>
        <v>On Budget</v>
      </c>
    </row>
    <row r="2169" spans="1:14" hidden="1">
      <c r="A2169" s="1">
        <v>45566</v>
      </c>
      <c r="B2169">
        <v>10</v>
      </c>
      <c r="C2169" t="s">
        <v>48</v>
      </c>
      <c r="D2169" t="s">
        <v>63</v>
      </c>
      <c r="E2169">
        <v>2024</v>
      </c>
      <c r="F2169" t="s">
        <v>28</v>
      </c>
      <c r="G2169" t="s">
        <v>20</v>
      </c>
      <c r="H2169" t="s">
        <v>19</v>
      </c>
      <c r="I2169" t="s">
        <v>29</v>
      </c>
      <c r="J2169">
        <v>21514.26</v>
      </c>
      <c r="K2169">
        <v>18495.330000000002</v>
      </c>
      <c r="L2169" s="20">
        <f>tbl_Budget[[#This Row],[Actual]]-tbl_Budget[[#This Row],[Budget]]</f>
        <v>-3018.9299999999967</v>
      </c>
      <c r="M2169" s="3">
        <f>tbl_Budget[[#This Row],[Variance]]/tbl_Budget[[#This Row],[Budget]]</f>
        <v>-0.14032227926965635</v>
      </c>
      <c r="N2169" t="str">
        <f>IF(tbl_Budget[[#This Row],[Variance_%]]&gt;0.05,"Overspend",IF(tbl_Budget[[#This Row],[Variance_%]]&lt;-0.05,"Underspend","On Budget"))</f>
        <v>Underspend</v>
      </c>
    </row>
    <row r="2170" spans="1:14">
      <c r="A2170" s="1">
        <v>45566</v>
      </c>
      <c r="B2170">
        <v>10</v>
      </c>
      <c r="C2170" t="s">
        <v>48</v>
      </c>
      <c r="D2170" t="s">
        <v>63</v>
      </c>
      <c r="E2170">
        <v>2024</v>
      </c>
      <c r="F2170" t="s">
        <v>28</v>
      </c>
      <c r="G2170" t="s">
        <v>21</v>
      </c>
      <c r="H2170" t="s">
        <v>15</v>
      </c>
      <c r="I2170" t="s">
        <v>29</v>
      </c>
      <c r="J2170">
        <v>11464.56</v>
      </c>
      <c r="K2170">
        <v>13234.67</v>
      </c>
      <c r="L2170" s="20">
        <f>tbl_Budget[[#This Row],[Actual]]-tbl_Budget[[#This Row],[Budget]]</f>
        <v>1770.1100000000006</v>
      </c>
      <c r="M2170" s="3">
        <f>tbl_Budget[[#This Row],[Variance]]/tbl_Budget[[#This Row],[Budget]]</f>
        <v>0.1543984243616851</v>
      </c>
      <c r="N2170" t="str">
        <f>IF(tbl_Budget[[#This Row],[Variance_%]]&gt;0.05,"Overspend",IF(tbl_Budget[[#This Row],[Variance_%]]&lt;-0.05,"Underspend","On Budget"))</f>
        <v>Overspend</v>
      </c>
    </row>
    <row r="2171" spans="1:14">
      <c r="A2171" s="1">
        <v>45566</v>
      </c>
      <c r="B2171">
        <v>10</v>
      </c>
      <c r="C2171" t="s">
        <v>48</v>
      </c>
      <c r="D2171" t="s">
        <v>63</v>
      </c>
      <c r="E2171">
        <v>2024</v>
      </c>
      <c r="F2171" t="s">
        <v>28</v>
      </c>
      <c r="G2171" t="s">
        <v>21</v>
      </c>
      <c r="H2171" t="s">
        <v>17</v>
      </c>
      <c r="I2171" t="s">
        <v>29</v>
      </c>
      <c r="J2171">
        <v>11292.65</v>
      </c>
      <c r="K2171">
        <v>10481.9</v>
      </c>
      <c r="L2171" s="20">
        <f>tbl_Budget[[#This Row],[Actual]]-tbl_Budget[[#This Row],[Budget]]</f>
        <v>-810.75</v>
      </c>
      <c r="M2171" s="3">
        <f>tbl_Budget[[#This Row],[Variance]]/tbl_Budget[[#This Row],[Budget]]</f>
        <v>-7.1794485793857069E-2</v>
      </c>
      <c r="N2171" t="str">
        <f>IF(tbl_Budget[[#This Row],[Variance_%]]&gt;0.05,"Overspend",IF(tbl_Budget[[#This Row],[Variance_%]]&lt;-0.05,"Underspend","On Budget"))</f>
        <v>Underspend</v>
      </c>
    </row>
    <row r="2172" spans="1:14">
      <c r="A2172" s="1">
        <v>45566</v>
      </c>
      <c r="B2172">
        <v>10</v>
      </c>
      <c r="C2172" t="s">
        <v>48</v>
      </c>
      <c r="D2172" t="s">
        <v>63</v>
      </c>
      <c r="E2172">
        <v>2024</v>
      </c>
      <c r="F2172" t="s">
        <v>28</v>
      </c>
      <c r="G2172" t="s">
        <v>21</v>
      </c>
      <c r="H2172" t="s">
        <v>18</v>
      </c>
      <c r="I2172" t="s">
        <v>29</v>
      </c>
      <c r="J2172">
        <v>11587.94</v>
      </c>
      <c r="K2172">
        <v>10267.450000000001</v>
      </c>
      <c r="L2172" s="20">
        <f>tbl_Budget[[#This Row],[Actual]]-tbl_Budget[[#This Row],[Budget]]</f>
        <v>-1320.4899999999998</v>
      </c>
      <c r="M2172" s="3">
        <f>tbl_Budget[[#This Row],[Variance]]/tbl_Budget[[#This Row],[Budget]]</f>
        <v>-0.11395381750336986</v>
      </c>
      <c r="N2172" t="str">
        <f>IF(tbl_Budget[[#This Row],[Variance_%]]&gt;0.05,"Overspend",IF(tbl_Budget[[#This Row],[Variance_%]]&lt;-0.05,"Underspend","On Budget"))</f>
        <v>Underspend</v>
      </c>
    </row>
    <row r="2173" spans="1:14">
      <c r="A2173" s="1">
        <v>45566</v>
      </c>
      <c r="B2173">
        <v>10</v>
      </c>
      <c r="C2173" t="s">
        <v>48</v>
      </c>
      <c r="D2173" t="s">
        <v>63</v>
      </c>
      <c r="E2173">
        <v>2024</v>
      </c>
      <c r="F2173" t="s">
        <v>28</v>
      </c>
      <c r="G2173" t="s">
        <v>21</v>
      </c>
      <c r="H2173" t="s">
        <v>19</v>
      </c>
      <c r="I2173" t="s">
        <v>29</v>
      </c>
      <c r="J2173">
        <v>12327.08</v>
      </c>
      <c r="K2173">
        <v>13662.21</v>
      </c>
      <c r="L2173" s="20">
        <f>tbl_Budget[[#This Row],[Actual]]-tbl_Budget[[#This Row],[Budget]]</f>
        <v>1335.1299999999992</v>
      </c>
      <c r="M2173" s="3">
        <f>tbl_Budget[[#This Row],[Variance]]/tbl_Budget[[#This Row],[Budget]]</f>
        <v>0.10830869922155119</v>
      </c>
      <c r="N2173" t="str">
        <f>IF(tbl_Budget[[#This Row],[Variance_%]]&gt;0.05,"Overspend",IF(tbl_Budget[[#This Row],[Variance_%]]&lt;-0.05,"Underspend","On Budget"))</f>
        <v>Overspend</v>
      </c>
    </row>
    <row r="2174" spans="1:14" hidden="1">
      <c r="A2174" s="1">
        <v>45566</v>
      </c>
      <c r="B2174">
        <v>10</v>
      </c>
      <c r="C2174" t="s">
        <v>48</v>
      </c>
      <c r="D2174" t="s">
        <v>63</v>
      </c>
      <c r="E2174">
        <v>2024</v>
      </c>
      <c r="F2174" t="s">
        <v>28</v>
      </c>
      <c r="G2174" t="s">
        <v>22</v>
      </c>
      <c r="H2174" t="s">
        <v>15</v>
      </c>
      <c r="I2174" t="s">
        <v>29</v>
      </c>
      <c r="J2174">
        <v>12725.24</v>
      </c>
      <c r="K2174">
        <v>13885.27</v>
      </c>
      <c r="L2174" s="20">
        <f>tbl_Budget[[#This Row],[Actual]]-tbl_Budget[[#This Row],[Budget]]</f>
        <v>1160.0300000000007</v>
      </c>
      <c r="M2174" s="3">
        <f>tbl_Budget[[#This Row],[Variance]]/tbl_Budget[[#This Row],[Budget]]</f>
        <v>9.1159773803873301E-2</v>
      </c>
      <c r="N2174" t="str">
        <f>IF(tbl_Budget[[#This Row],[Variance_%]]&gt;0.05,"Overspend",IF(tbl_Budget[[#This Row],[Variance_%]]&lt;-0.05,"Underspend","On Budget"))</f>
        <v>Overspend</v>
      </c>
    </row>
    <row r="2175" spans="1:14" hidden="1">
      <c r="A2175" s="1">
        <v>45566</v>
      </c>
      <c r="B2175">
        <v>10</v>
      </c>
      <c r="C2175" t="s">
        <v>48</v>
      </c>
      <c r="D2175" t="s">
        <v>63</v>
      </c>
      <c r="E2175">
        <v>2024</v>
      </c>
      <c r="F2175" t="s">
        <v>28</v>
      </c>
      <c r="G2175" t="s">
        <v>22</v>
      </c>
      <c r="H2175" t="s">
        <v>17</v>
      </c>
      <c r="I2175" t="s">
        <v>29</v>
      </c>
      <c r="J2175">
        <v>12303.73</v>
      </c>
      <c r="K2175">
        <v>10742.43</v>
      </c>
      <c r="L2175" s="20">
        <f>tbl_Budget[[#This Row],[Actual]]-tbl_Budget[[#This Row],[Budget]]</f>
        <v>-1561.2999999999993</v>
      </c>
      <c r="M2175" s="3">
        <f>tbl_Budget[[#This Row],[Variance]]/tbl_Budget[[#This Row],[Budget]]</f>
        <v>-0.1268964777348007</v>
      </c>
      <c r="N2175" t="str">
        <f>IF(tbl_Budget[[#This Row],[Variance_%]]&gt;0.05,"Overspend",IF(tbl_Budget[[#This Row],[Variance_%]]&lt;-0.05,"Underspend","On Budget"))</f>
        <v>Underspend</v>
      </c>
    </row>
    <row r="2176" spans="1:14" hidden="1">
      <c r="A2176" s="1">
        <v>45566</v>
      </c>
      <c r="B2176">
        <v>10</v>
      </c>
      <c r="C2176" t="s">
        <v>48</v>
      </c>
      <c r="D2176" t="s">
        <v>63</v>
      </c>
      <c r="E2176">
        <v>2024</v>
      </c>
      <c r="F2176" t="s">
        <v>28</v>
      </c>
      <c r="G2176" t="s">
        <v>22</v>
      </c>
      <c r="H2176" t="s">
        <v>18</v>
      </c>
      <c r="I2176" t="s">
        <v>29</v>
      </c>
      <c r="J2176">
        <v>12418.34</v>
      </c>
      <c r="K2176">
        <v>12057.89</v>
      </c>
      <c r="L2176" s="20">
        <f>tbl_Budget[[#This Row],[Actual]]-tbl_Budget[[#This Row],[Budget]]</f>
        <v>-360.45000000000073</v>
      </c>
      <c r="M2176" s="3">
        <f>tbl_Budget[[#This Row],[Variance]]/tbl_Budget[[#This Row],[Budget]]</f>
        <v>-2.9025618560934933E-2</v>
      </c>
      <c r="N2176" t="str">
        <f>IF(tbl_Budget[[#This Row],[Variance_%]]&gt;0.05,"Overspend",IF(tbl_Budget[[#This Row],[Variance_%]]&lt;-0.05,"Underspend","On Budget"))</f>
        <v>On Budget</v>
      </c>
    </row>
    <row r="2177" spans="1:14" hidden="1">
      <c r="A2177" s="1">
        <v>45566</v>
      </c>
      <c r="B2177">
        <v>10</v>
      </c>
      <c r="C2177" t="s">
        <v>48</v>
      </c>
      <c r="D2177" t="s">
        <v>63</v>
      </c>
      <c r="E2177">
        <v>2024</v>
      </c>
      <c r="F2177" t="s">
        <v>28</v>
      </c>
      <c r="G2177" t="s">
        <v>22</v>
      </c>
      <c r="H2177" t="s">
        <v>19</v>
      </c>
      <c r="I2177" t="s">
        <v>29</v>
      </c>
      <c r="J2177">
        <v>13201.49</v>
      </c>
      <c r="K2177">
        <v>11546.84</v>
      </c>
      <c r="L2177" s="20">
        <f>tbl_Budget[[#This Row],[Actual]]-tbl_Budget[[#This Row],[Budget]]</f>
        <v>-1654.6499999999996</v>
      </c>
      <c r="M2177" s="3">
        <f>tbl_Budget[[#This Row],[Variance]]/tbl_Budget[[#This Row],[Budget]]</f>
        <v>-0.12533812471168024</v>
      </c>
      <c r="N2177" t="str">
        <f>IF(tbl_Budget[[#This Row],[Variance_%]]&gt;0.05,"Overspend",IF(tbl_Budget[[#This Row],[Variance_%]]&lt;-0.05,"Underspend","On Budget"))</f>
        <v>Underspend</v>
      </c>
    </row>
    <row r="2178" spans="1:14" hidden="1">
      <c r="A2178" s="1">
        <v>45566</v>
      </c>
      <c r="B2178">
        <v>10</v>
      </c>
      <c r="C2178" t="s">
        <v>48</v>
      </c>
      <c r="D2178" t="s">
        <v>63</v>
      </c>
      <c r="E2178">
        <v>2024</v>
      </c>
      <c r="F2178" t="s">
        <v>28</v>
      </c>
      <c r="G2178" t="s">
        <v>23</v>
      </c>
      <c r="H2178" t="s">
        <v>15</v>
      </c>
      <c r="I2178" t="s">
        <v>29</v>
      </c>
      <c r="J2178">
        <v>8473.65</v>
      </c>
      <c r="K2178">
        <v>8157.8</v>
      </c>
      <c r="L2178" s="20">
        <f>tbl_Budget[[#This Row],[Actual]]-tbl_Budget[[#This Row],[Budget]]</f>
        <v>-315.84999999999945</v>
      </c>
      <c r="M2178" s="3">
        <f>tbl_Budget[[#This Row],[Variance]]/tbl_Budget[[#This Row],[Budget]]</f>
        <v>-3.7274374089087875E-2</v>
      </c>
      <c r="N2178" t="str">
        <f>IF(tbl_Budget[[#This Row],[Variance_%]]&gt;0.05,"Overspend",IF(tbl_Budget[[#This Row],[Variance_%]]&lt;-0.05,"Underspend","On Budget"))</f>
        <v>On Budget</v>
      </c>
    </row>
    <row r="2179" spans="1:14" hidden="1">
      <c r="A2179" s="1">
        <v>45566</v>
      </c>
      <c r="B2179">
        <v>10</v>
      </c>
      <c r="C2179" t="s">
        <v>48</v>
      </c>
      <c r="D2179" t="s">
        <v>63</v>
      </c>
      <c r="E2179">
        <v>2024</v>
      </c>
      <c r="F2179" t="s">
        <v>28</v>
      </c>
      <c r="G2179" t="s">
        <v>23</v>
      </c>
      <c r="H2179" t="s">
        <v>17</v>
      </c>
      <c r="I2179" t="s">
        <v>29</v>
      </c>
      <c r="J2179">
        <v>8096.57</v>
      </c>
      <c r="K2179">
        <v>8701.9</v>
      </c>
      <c r="L2179" s="20">
        <f>tbl_Budget[[#This Row],[Actual]]-tbl_Budget[[#This Row],[Budget]]</f>
        <v>605.32999999999993</v>
      </c>
      <c r="M2179" s="3">
        <f>tbl_Budget[[#This Row],[Variance]]/tbl_Budget[[#This Row],[Budget]]</f>
        <v>7.4763757986406582E-2</v>
      </c>
      <c r="N2179" t="str">
        <f>IF(tbl_Budget[[#This Row],[Variance_%]]&gt;0.05,"Overspend",IF(tbl_Budget[[#This Row],[Variance_%]]&lt;-0.05,"Underspend","On Budget"))</f>
        <v>Overspend</v>
      </c>
    </row>
    <row r="2180" spans="1:14" hidden="1">
      <c r="A2180" s="1">
        <v>45566</v>
      </c>
      <c r="B2180">
        <v>10</v>
      </c>
      <c r="C2180" t="s">
        <v>48</v>
      </c>
      <c r="D2180" t="s">
        <v>63</v>
      </c>
      <c r="E2180">
        <v>2024</v>
      </c>
      <c r="F2180" t="s">
        <v>28</v>
      </c>
      <c r="G2180" t="s">
        <v>23</v>
      </c>
      <c r="H2180" t="s">
        <v>18</v>
      </c>
      <c r="I2180" t="s">
        <v>29</v>
      </c>
      <c r="J2180">
        <v>8036.27</v>
      </c>
      <c r="K2180">
        <v>7896.2</v>
      </c>
      <c r="L2180" s="20">
        <f>tbl_Budget[[#This Row],[Actual]]-tbl_Budget[[#This Row],[Budget]]</f>
        <v>-140.07000000000062</v>
      </c>
      <c r="M2180" s="3">
        <f>tbl_Budget[[#This Row],[Variance]]/tbl_Budget[[#This Row],[Budget]]</f>
        <v>-1.7429727970812405E-2</v>
      </c>
      <c r="N2180" t="str">
        <f>IF(tbl_Budget[[#This Row],[Variance_%]]&gt;0.05,"Overspend",IF(tbl_Budget[[#This Row],[Variance_%]]&lt;-0.05,"Underspend","On Budget"))</f>
        <v>On Budget</v>
      </c>
    </row>
    <row r="2181" spans="1:14" hidden="1">
      <c r="A2181" s="1">
        <v>45566</v>
      </c>
      <c r="B2181">
        <v>10</v>
      </c>
      <c r="C2181" t="s">
        <v>48</v>
      </c>
      <c r="D2181" t="s">
        <v>63</v>
      </c>
      <c r="E2181">
        <v>2024</v>
      </c>
      <c r="F2181" t="s">
        <v>28</v>
      </c>
      <c r="G2181" t="s">
        <v>23</v>
      </c>
      <c r="H2181" t="s">
        <v>19</v>
      </c>
      <c r="I2181" t="s">
        <v>29</v>
      </c>
      <c r="J2181">
        <v>8824.44</v>
      </c>
      <c r="K2181">
        <v>9799.44</v>
      </c>
      <c r="L2181" s="20">
        <f>tbl_Budget[[#This Row],[Actual]]-tbl_Budget[[#This Row],[Budget]]</f>
        <v>975</v>
      </c>
      <c r="M2181" s="3">
        <f>tbl_Budget[[#This Row],[Variance]]/tbl_Budget[[#This Row],[Budget]]</f>
        <v>0.11048859757673007</v>
      </c>
      <c r="N2181" t="str">
        <f>IF(tbl_Budget[[#This Row],[Variance_%]]&gt;0.05,"Overspend",IF(tbl_Budget[[#This Row],[Variance_%]]&lt;-0.05,"Underspend","On Budget"))</f>
        <v>Overspend</v>
      </c>
    </row>
    <row r="2182" spans="1:14" hidden="1">
      <c r="A2182" s="1">
        <v>45566</v>
      </c>
      <c r="B2182">
        <v>10</v>
      </c>
      <c r="C2182" t="s">
        <v>48</v>
      </c>
      <c r="D2182" t="s">
        <v>63</v>
      </c>
      <c r="E2182">
        <v>2024</v>
      </c>
      <c r="F2182" t="s">
        <v>30</v>
      </c>
      <c r="G2182" t="s">
        <v>14</v>
      </c>
      <c r="H2182" t="s">
        <v>15</v>
      </c>
      <c r="I2182" t="s">
        <v>31</v>
      </c>
      <c r="J2182">
        <v>43647.34</v>
      </c>
      <c r="K2182">
        <v>44991.22</v>
      </c>
      <c r="L2182" s="20">
        <f>tbl_Budget[[#This Row],[Actual]]-tbl_Budget[[#This Row],[Budget]]</f>
        <v>1343.8800000000047</v>
      </c>
      <c r="M2182" s="3">
        <f>tbl_Budget[[#This Row],[Variance]]/tbl_Budget[[#This Row],[Budget]]</f>
        <v>3.0789505156557186E-2</v>
      </c>
      <c r="N2182" t="str">
        <f>IF(tbl_Budget[[#This Row],[Variance_%]]&gt;0.05,"Overspend",IF(tbl_Budget[[#This Row],[Variance_%]]&lt;-0.05,"Underspend","On Budget"))</f>
        <v>On Budget</v>
      </c>
    </row>
    <row r="2183" spans="1:14" hidden="1">
      <c r="A2183" s="1">
        <v>45566</v>
      </c>
      <c r="B2183">
        <v>10</v>
      </c>
      <c r="C2183" t="s">
        <v>48</v>
      </c>
      <c r="D2183" t="s">
        <v>63</v>
      </c>
      <c r="E2183">
        <v>2024</v>
      </c>
      <c r="F2183" t="s">
        <v>30</v>
      </c>
      <c r="G2183" t="s">
        <v>14</v>
      </c>
      <c r="H2183" t="s">
        <v>17</v>
      </c>
      <c r="I2183" t="s">
        <v>31</v>
      </c>
      <c r="J2183">
        <v>42830.18</v>
      </c>
      <c r="K2183">
        <v>41961.35</v>
      </c>
      <c r="L2183" s="20">
        <f>tbl_Budget[[#This Row],[Actual]]-tbl_Budget[[#This Row],[Budget]]</f>
        <v>-868.83000000000175</v>
      </c>
      <c r="M2183" s="3">
        <f>tbl_Budget[[#This Row],[Variance]]/tbl_Budget[[#This Row],[Budget]]</f>
        <v>-2.0285462260490189E-2</v>
      </c>
      <c r="N2183" t="str">
        <f>IF(tbl_Budget[[#This Row],[Variance_%]]&gt;0.05,"Overspend",IF(tbl_Budget[[#This Row],[Variance_%]]&lt;-0.05,"Underspend","On Budget"))</f>
        <v>On Budget</v>
      </c>
    </row>
    <row r="2184" spans="1:14" hidden="1">
      <c r="A2184" s="1">
        <v>45566</v>
      </c>
      <c r="B2184">
        <v>10</v>
      </c>
      <c r="C2184" t="s">
        <v>48</v>
      </c>
      <c r="D2184" t="s">
        <v>63</v>
      </c>
      <c r="E2184">
        <v>2024</v>
      </c>
      <c r="F2184" t="s">
        <v>30</v>
      </c>
      <c r="G2184" t="s">
        <v>14</v>
      </c>
      <c r="H2184" t="s">
        <v>18</v>
      </c>
      <c r="I2184" t="s">
        <v>31</v>
      </c>
      <c r="J2184">
        <v>43592.89</v>
      </c>
      <c r="K2184">
        <v>43224.94</v>
      </c>
      <c r="L2184" s="20">
        <f>tbl_Budget[[#This Row],[Actual]]-tbl_Budget[[#This Row],[Budget]]</f>
        <v>-367.94999999999709</v>
      </c>
      <c r="M2184" s="3">
        <f>tbl_Budget[[#This Row],[Variance]]/tbl_Budget[[#This Row],[Budget]]</f>
        <v>-8.4405966202285992E-3</v>
      </c>
      <c r="N2184" t="str">
        <f>IF(tbl_Budget[[#This Row],[Variance_%]]&gt;0.05,"Overspend",IF(tbl_Budget[[#This Row],[Variance_%]]&lt;-0.05,"Underspend","On Budget"))</f>
        <v>On Budget</v>
      </c>
    </row>
    <row r="2185" spans="1:14" hidden="1">
      <c r="A2185" s="1">
        <v>45566</v>
      </c>
      <c r="B2185">
        <v>10</v>
      </c>
      <c r="C2185" t="s">
        <v>48</v>
      </c>
      <c r="D2185" t="s">
        <v>63</v>
      </c>
      <c r="E2185">
        <v>2024</v>
      </c>
      <c r="F2185" t="s">
        <v>30</v>
      </c>
      <c r="G2185" t="s">
        <v>14</v>
      </c>
      <c r="H2185" t="s">
        <v>19</v>
      </c>
      <c r="I2185" t="s">
        <v>31</v>
      </c>
      <c r="J2185">
        <v>46750.33</v>
      </c>
      <c r="K2185">
        <v>45965.48</v>
      </c>
      <c r="L2185" s="20">
        <f>tbl_Budget[[#This Row],[Actual]]-tbl_Budget[[#This Row],[Budget]]</f>
        <v>-784.84999999999854</v>
      </c>
      <c r="M2185" s="3">
        <f>tbl_Budget[[#This Row],[Variance]]/tbl_Budget[[#This Row],[Budget]]</f>
        <v>-1.6788116789763805E-2</v>
      </c>
      <c r="N2185" t="str">
        <f>IF(tbl_Budget[[#This Row],[Variance_%]]&gt;0.05,"Overspend",IF(tbl_Budget[[#This Row],[Variance_%]]&lt;-0.05,"Underspend","On Budget"))</f>
        <v>On Budget</v>
      </c>
    </row>
    <row r="2186" spans="1:14" hidden="1">
      <c r="A2186" s="1">
        <v>45566</v>
      </c>
      <c r="B2186">
        <v>10</v>
      </c>
      <c r="C2186" t="s">
        <v>48</v>
      </c>
      <c r="D2186" t="s">
        <v>63</v>
      </c>
      <c r="E2186">
        <v>2024</v>
      </c>
      <c r="F2186" t="s">
        <v>30</v>
      </c>
      <c r="G2186" t="s">
        <v>20</v>
      </c>
      <c r="H2186" t="s">
        <v>15</v>
      </c>
      <c r="I2186" t="s">
        <v>31</v>
      </c>
      <c r="J2186">
        <v>16806.509999999998</v>
      </c>
      <c r="K2186">
        <v>16758.54</v>
      </c>
      <c r="L2186" s="20">
        <f>tbl_Budget[[#This Row],[Actual]]-tbl_Budget[[#This Row],[Budget]]</f>
        <v>-47.969999999997526</v>
      </c>
      <c r="M2186" s="3">
        <f>tbl_Budget[[#This Row],[Variance]]/tbl_Budget[[#This Row],[Budget]]</f>
        <v>-2.8542511205477835E-3</v>
      </c>
      <c r="N2186" t="str">
        <f>IF(tbl_Budget[[#This Row],[Variance_%]]&gt;0.05,"Overspend",IF(tbl_Budget[[#This Row],[Variance_%]]&lt;-0.05,"Underspend","On Budget"))</f>
        <v>On Budget</v>
      </c>
    </row>
    <row r="2187" spans="1:14" hidden="1">
      <c r="A2187" s="1">
        <v>45566</v>
      </c>
      <c r="B2187">
        <v>10</v>
      </c>
      <c r="C2187" t="s">
        <v>48</v>
      </c>
      <c r="D2187" t="s">
        <v>63</v>
      </c>
      <c r="E2187">
        <v>2024</v>
      </c>
      <c r="F2187" t="s">
        <v>30</v>
      </c>
      <c r="G2187" t="s">
        <v>20</v>
      </c>
      <c r="H2187" t="s">
        <v>17</v>
      </c>
      <c r="I2187" t="s">
        <v>31</v>
      </c>
      <c r="J2187">
        <v>15633.18</v>
      </c>
      <c r="K2187">
        <v>15654.33</v>
      </c>
      <c r="L2187" s="20">
        <f>tbl_Budget[[#This Row],[Actual]]-tbl_Budget[[#This Row],[Budget]]</f>
        <v>21.149999999999636</v>
      </c>
      <c r="M2187" s="3">
        <f>tbl_Budget[[#This Row],[Variance]]/tbl_Budget[[#This Row],[Budget]]</f>
        <v>1.3528917341193306E-3</v>
      </c>
      <c r="N2187" t="str">
        <f>IF(tbl_Budget[[#This Row],[Variance_%]]&gt;0.05,"Overspend",IF(tbl_Budget[[#This Row],[Variance_%]]&lt;-0.05,"Underspend","On Budget"))</f>
        <v>On Budget</v>
      </c>
    </row>
    <row r="2188" spans="1:14" hidden="1">
      <c r="A2188" s="1">
        <v>45566</v>
      </c>
      <c r="B2188">
        <v>10</v>
      </c>
      <c r="C2188" t="s">
        <v>48</v>
      </c>
      <c r="D2188" t="s">
        <v>63</v>
      </c>
      <c r="E2188">
        <v>2024</v>
      </c>
      <c r="F2188" t="s">
        <v>30</v>
      </c>
      <c r="G2188" t="s">
        <v>20</v>
      </c>
      <c r="H2188" t="s">
        <v>18</v>
      </c>
      <c r="I2188" t="s">
        <v>31</v>
      </c>
      <c r="J2188">
        <v>15853.27</v>
      </c>
      <c r="K2188">
        <v>15836.32</v>
      </c>
      <c r="L2188" s="20">
        <f>tbl_Budget[[#This Row],[Actual]]-tbl_Budget[[#This Row],[Budget]]</f>
        <v>-16.950000000000728</v>
      </c>
      <c r="M2188" s="3">
        <f>tbl_Budget[[#This Row],[Variance]]/tbl_Budget[[#This Row],[Budget]]</f>
        <v>-1.0691800492895615E-3</v>
      </c>
      <c r="N2188" t="str">
        <f>IF(tbl_Budget[[#This Row],[Variance_%]]&gt;0.05,"Overspend",IF(tbl_Budget[[#This Row],[Variance_%]]&lt;-0.05,"Underspend","On Budget"))</f>
        <v>On Budget</v>
      </c>
    </row>
    <row r="2189" spans="1:14" hidden="1">
      <c r="A2189" s="1">
        <v>45566</v>
      </c>
      <c r="B2189">
        <v>10</v>
      </c>
      <c r="C2189" t="s">
        <v>48</v>
      </c>
      <c r="D2189" t="s">
        <v>63</v>
      </c>
      <c r="E2189">
        <v>2024</v>
      </c>
      <c r="F2189" t="s">
        <v>30</v>
      </c>
      <c r="G2189" t="s">
        <v>20</v>
      </c>
      <c r="H2189" t="s">
        <v>19</v>
      </c>
      <c r="I2189" t="s">
        <v>31</v>
      </c>
      <c r="J2189">
        <v>17854.61</v>
      </c>
      <c r="K2189">
        <v>18139.02</v>
      </c>
      <c r="L2189" s="20">
        <f>tbl_Budget[[#This Row],[Actual]]-tbl_Budget[[#This Row],[Budget]]</f>
        <v>284.40999999999985</v>
      </c>
      <c r="M2189" s="3">
        <f>tbl_Budget[[#This Row],[Variance]]/tbl_Budget[[#This Row],[Budget]]</f>
        <v>1.5929219400479755E-2</v>
      </c>
      <c r="N2189" t="str">
        <f>IF(tbl_Budget[[#This Row],[Variance_%]]&gt;0.05,"Overspend",IF(tbl_Budget[[#This Row],[Variance_%]]&lt;-0.05,"Underspend","On Budget"))</f>
        <v>On Budget</v>
      </c>
    </row>
    <row r="2190" spans="1:14">
      <c r="A2190" s="1">
        <v>45566</v>
      </c>
      <c r="B2190">
        <v>10</v>
      </c>
      <c r="C2190" t="s">
        <v>48</v>
      </c>
      <c r="D2190" t="s">
        <v>63</v>
      </c>
      <c r="E2190">
        <v>2024</v>
      </c>
      <c r="F2190" t="s">
        <v>30</v>
      </c>
      <c r="G2190" t="s">
        <v>21</v>
      </c>
      <c r="H2190" t="s">
        <v>15</v>
      </c>
      <c r="I2190" t="s">
        <v>31</v>
      </c>
      <c r="J2190">
        <v>6968.09</v>
      </c>
      <c r="K2190">
        <v>6926.24</v>
      </c>
      <c r="L2190" s="20">
        <f>tbl_Budget[[#This Row],[Actual]]-tbl_Budget[[#This Row],[Budget]]</f>
        <v>-41.850000000000364</v>
      </c>
      <c r="M2190" s="3">
        <f>tbl_Budget[[#This Row],[Variance]]/tbl_Budget[[#This Row],[Budget]]</f>
        <v>-6.0059499805542645E-3</v>
      </c>
      <c r="N2190" t="str">
        <f>IF(tbl_Budget[[#This Row],[Variance_%]]&gt;0.05,"Overspend",IF(tbl_Budget[[#This Row],[Variance_%]]&lt;-0.05,"Underspend","On Budget"))</f>
        <v>On Budget</v>
      </c>
    </row>
    <row r="2191" spans="1:14">
      <c r="A2191" s="1">
        <v>45566</v>
      </c>
      <c r="B2191">
        <v>10</v>
      </c>
      <c r="C2191" t="s">
        <v>48</v>
      </c>
      <c r="D2191" t="s">
        <v>63</v>
      </c>
      <c r="E2191">
        <v>2024</v>
      </c>
      <c r="F2191" t="s">
        <v>30</v>
      </c>
      <c r="G2191" t="s">
        <v>21</v>
      </c>
      <c r="H2191" t="s">
        <v>17</v>
      </c>
      <c r="I2191" t="s">
        <v>31</v>
      </c>
      <c r="J2191">
        <v>6898.14</v>
      </c>
      <c r="K2191">
        <v>6934.72</v>
      </c>
      <c r="L2191" s="20">
        <f>tbl_Budget[[#This Row],[Actual]]-tbl_Budget[[#This Row],[Budget]]</f>
        <v>36.579999999999927</v>
      </c>
      <c r="M2191" s="3">
        <f>tbl_Budget[[#This Row],[Variance]]/tbl_Budget[[#This Row],[Budget]]</f>
        <v>5.3028787470245494E-3</v>
      </c>
      <c r="N2191" t="str">
        <f>IF(tbl_Budget[[#This Row],[Variance_%]]&gt;0.05,"Overspend",IF(tbl_Budget[[#This Row],[Variance_%]]&lt;-0.05,"Underspend","On Budget"))</f>
        <v>On Budget</v>
      </c>
    </row>
    <row r="2192" spans="1:14">
      <c r="A2192" s="1">
        <v>45566</v>
      </c>
      <c r="B2192">
        <v>10</v>
      </c>
      <c r="C2192" t="s">
        <v>48</v>
      </c>
      <c r="D2192" t="s">
        <v>63</v>
      </c>
      <c r="E2192">
        <v>2024</v>
      </c>
      <c r="F2192" t="s">
        <v>30</v>
      </c>
      <c r="G2192" t="s">
        <v>21</v>
      </c>
      <c r="H2192" t="s">
        <v>18</v>
      </c>
      <c r="I2192" t="s">
        <v>31</v>
      </c>
      <c r="J2192">
        <v>6859.4</v>
      </c>
      <c r="K2192">
        <v>6608.21</v>
      </c>
      <c r="L2192" s="20">
        <f>tbl_Budget[[#This Row],[Actual]]-tbl_Budget[[#This Row],[Budget]]</f>
        <v>-251.1899999999996</v>
      </c>
      <c r="M2192" s="3">
        <f>tbl_Budget[[#This Row],[Variance]]/tbl_Budget[[#This Row],[Budget]]</f>
        <v>-3.6619820975595477E-2</v>
      </c>
      <c r="N2192" t="str">
        <f>IF(tbl_Budget[[#This Row],[Variance_%]]&gt;0.05,"Overspend",IF(tbl_Budget[[#This Row],[Variance_%]]&lt;-0.05,"Underspend","On Budget"))</f>
        <v>On Budget</v>
      </c>
    </row>
    <row r="2193" spans="1:14">
      <c r="A2193" s="1">
        <v>45566</v>
      </c>
      <c r="B2193">
        <v>10</v>
      </c>
      <c r="C2193" t="s">
        <v>48</v>
      </c>
      <c r="D2193" t="s">
        <v>63</v>
      </c>
      <c r="E2193">
        <v>2024</v>
      </c>
      <c r="F2193" t="s">
        <v>30</v>
      </c>
      <c r="G2193" t="s">
        <v>21</v>
      </c>
      <c r="H2193" t="s">
        <v>19</v>
      </c>
      <c r="I2193" t="s">
        <v>31</v>
      </c>
      <c r="J2193">
        <v>7501.69</v>
      </c>
      <c r="K2193">
        <v>7435.92</v>
      </c>
      <c r="L2193" s="20">
        <f>tbl_Budget[[#This Row],[Actual]]-tbl_Budget[[#This Row],[Budget]]</f>
        <v>-65.769999999999527</v>
      </c>
      <c r="M2193" s="3">
        <f>tbl_Budget[[#This Row],[Variance]]/tbl_Budget[[#This Row],[Budget]]</f>
        <v>-8.7673577553857244E-3</v>
      </c>
      <c r="N2193" t="str">
        <f>IF(tbl_Budget[[#This Row],[Variance_%]]&gt;0.05,"Overspend",IF(tbl_Budget[[#This Row],[Variance_%]]&lt;-0.05,"Underspend","On Budget"))</f>
        <v>On Budget</v>
      </c>
    </row>
    <row r="2194" spans="1:14" hidden="1">
      <c r="A2194" s="1">
        <v>45566</v>
      </c>
      <c r="B2194">
        <v>10</v>
      </c>
      <c r="C2194" t="s">
        <v>48</v>
      </c>
      <c r="D2194" t="s">
        <v>63</v>
      </c>
      <c r="E2194">
        <v>2024</v>
      </c>
      <c r="F2194" t="s">
        <v>30</v>
      </c>
      <c r="G2194" t="s">
        <v>22</v>
      </c>
      <c r="H2194" t="s">
        <v>15</v>
      </c>
      <c r="I2194" t="s">
        <v>31</v>
      </c>
      <c r="J2194">
        <v>7643.13</v>
      </c>
      <c r="K2194">
        <v>7387.73</v>
      </c>
      <c r="L2194" s="20">
        <f>tbl_Budget[[#This Row],[Actual]]-tbl_Budget[[#This Row],[Budget]]</f>
        <v>-255.40000000000055</v>
      </c>
      <c r="M2194" s="3">
        <f>tbl_Budget[[#This Row],[Variance]]/tbl_Budget[[#This Row],[Budget]]</f>
        <v>-3.3415629460705303E-2</v>
      </c>
      <c r="N2194" t="str">
        <f>IF(tbl_Budget[[#This Row],[Variance_%]]&gt;0.05,"Overspend",IF(tbl_Budget[[#This Row],[Variance_%]]&lt;-0.05,"Underspend","On Budget"))</f>
        <v>On Budget</v>
      </c>
    </row>
    <row r="2195" spans="1:14" hidden="1">
      <c r="A2195" s="1">
        <v>45566</v>
      </c>
      <c r="B2195">
        <v>10</v>
      </c>
      <c r="C2195" t="s">
        <v>48</v>
      </c>
      <c r="D2195" t="s">
        <v>63</v>
      </c>
      <c r="E2195">
        <v>2024</v>
      </c>
      <c r="F2195" t="s">
        <v>30</v>
      </c>
      <c r="G2195" t="s">
        <v>22</v>
      </c>
      <c r="H2195" t="s">
        <v>17</v>
      </c>
      <c r="I2195" t="s">
        <v>31</v>
      </c>
      <c r="J2195">
        <v>7366.26</v>
      </c>
      <c r="K2195">
        <v>7188.03</v>
      </c>
      <c r="L2195" s="20">
        <f>tbl_Budget[[#This Row],[Actual]]-tbl_Budget[[#This Row],[Budget]]</f>
        <v>-178.23000000000047</v>
      </c>
      <c r="M2195" s="3">
        <f>tbl_Budget[[#This Row],[Variance]]/tbl_Budget[[#This Row],[Budget]]</f>
        <v>-2.4195453323667706E-2</v>
      </c>
      <c r="N2195" t="str">
        <f>IF(tbl_Budget[[#This Row],[Variance_%]]&gt;0.05,"Overspend",IF(tbl_Budget[[#This Row],[Variance_%]]&lt;-0.05,"Underspend","On Budget"))</f>
        <v>On Budget</v>
      </c>
    </row>
    <row r="2196" spans="1:14" hidden="1">
      <c r="A2196" s="1">
        <v>45566</v>
      </c>
      <c r="B2196">
        <v>10</v>
      </c>
      <c r="C2196" t="s">
        <v>48</v>
      </c>
      <c r="D2196" t="s">
        <v>63</v>
      </c>
      <c r="E2196">
        <v>2024</v>
      </c>
      <c r="F2196" t="s">
        <v>30</v>
      </c>
      <c r="G2196" t="s">
        <v>22</v>
      </c>
      <c r="H2196" t="s">
        <v>18</v>
      </c>
      <c r="I2196" t="s">
        <v>31</v>
      </c>
      <c r="J2196">
        <v>7706.52</v>
      </c>
      <c r="K2196">
        <v>7409.36</v>
      </c>
      <c r="L2196" s="20">
        <f>tbl_Budget[[#This Row],[Actual]]-tbl_Budget[[#This Row],[Budget]]</f>
        <v>-297.16000000000076</v>
      </c>
      <c r="M2196" s="3">
        <f>tbl_Budget[[#This Row],[Variance]]/tbl_Budget[[#This Row],[Budget]]</f>
        <v>-3.8559557361818403E-2</v>
      </c>
      <c r="N2196" t="str">
        <f>IF(tbl_Budget[[#This Row],[Variance_%]]&gt;0.05,"Overspend",IF(tbl_Budget[[#This Row],[Variance_%]]&lt;-0.05,"Underspend","On Budget"))</f>
        <v>On Budget</v>
      </c>
    </row>
    <row r="2197" spans="1:14" hidden="1">
      <c r="A2197" s="1">
        <v>45566</v>
      </c>
      <c r="B2197">
        <v>10</v>
      </c>
      <c r="C2197" t="s">
        <v>48</v>
      </c>
      <c r="D2197" t="s">
        <v>63</v>
      </c>
      <c r="E2197">
        <v>2024</v>
      </c>
      <c r="F2197" t="s">
        <v>30</v>
      </c>
      <c r="G2197" t="s">
        <v>22</v>
      </c>
      <c r="H2197" t="s">
        <v>19</v>
      </c>
      <c r="I2197" t="s">
        <v>31</v>
      </c>
      <c r="J2197">
        <v>8012.69</v>
      </c>
      <c r="K2197">
        <v>7750.6</v>
      </c>
      <c r="L2197" s="20">
        <f>tbl_Budget[[#This Row],[Actual]]-tbl_Budget[[#This Row],[Budget]]</f>
        <v>-262.08999999999924</v>
      </c>
      <c r="M2197" s="3">
        <f>tbl_Budget[[#This Row],[Variance]]/tbl_Budget[[#This Row],[Budget]]</f>
        <v>-3.2709364770133281E-2</v>
      </c>
      <c r="N2197" t="str">
        <f>IF(tbl_Budget[[#This Row],[Variance_%]]&gt;0.05,"Overspend",IF(tbl_Budget[[#This Row],[Variance_%]]&lt;-0.05,"Underspend","On Budget"))</f>
        <v>On Budget</v>
      </c>
    </row>
    <row r="2198" spans="1:14" hidden="1">
      <c r="A2198" s="1">
        <v>45566</v>
      </c>
      <c r="B2198">
        <v>10</v>
      </c>
      <c r="C2198" t="s">
        <v>48</v>
      </c>
      <c r="D2198" t="s">
        <v>63</v>
      </c>
      <c r="E2198">
        <v>2024</v>
      </c>
      <c r="F2198" t="s">
        <v>30</v>
      </c>
      <c r="G2198" t="s">
        <v>23</v>
      </c>
      <c r="H2198" t="s">
        <v>15</v>
      </c>
      <c r="I2198" t="s">
        <v>31</v>
      </c>
      <c r="J2198">
        <v>6655.64</v>
      </c>
      <c r="K2198">
        <v>6383.2</v>
      </c>
      <c r="L2198" s="20">
        <f>tbl_Budget[[#This Row],[Actual]]-tbl_Budget[[#This Row],[Budget]]</f>
        <v>-272.44000000000051</v>
      </c>
      <c r="M2198" s="3">
        <f>tbl_Budget[[#This Row],[Variance]]/tbl_Budget[[#This Row],[Budget]]</f>
        <v>-4.0933704346989994E-2</v>
      </c>
      <c r="N2198" t="str">
        <f>IF(tbl_Budget[[#This Row],[Variance_%]]&gt;0.05,"Overspend",IF(tbl_Budget[[#This Row],[Variance_%]]&lt;-0.05,"Underspend","On Budget"))</f>
        <v>On Budget</v>
      </c>
    </row>
    <row r="2199" spans="1:14" hidden="1">
      <c r="A2199" s="1">
        <v>45566</v>
      </c>
      <c r="B2199">
        <v>10</v>
      </c>
      <c r="C2199" t="s">
        <v>48</v>
      </c>
      <c r="D2199" t="s">
        <v>63</v>
      </c>
      <c r="E2199">
        <v>2024</v>
      </c>
      <c r="F2199" t="s">
        <v>30</v>
      </c>
      <c r="G2199" t="s">
        <v>23</v>
      </c>
      <c r="H2199" t="s">
        <v>17</v>
      </c>
      <c r="I2199" t="s">
        <v>31</v>
      </c>
      <c r="J2199">
        <v>6427.08</v>
      </c>
      <c r="K2199">
        <v>6322.29</v>
      </c>
      <c r="L2199" s="20">
        <f>tbl_Budget[[#This Row],[Actual]]-tbl_Budget[[#This Row],[Budget]]</f>
        <v>-104.78999999999996</v>
      </c>
      <c r="M2199" s="3">
        <f>tbl_Budget[[#This Row],[Variance]]/tbl_Budget[[#This Row],[Budget]]</f>
        <v>-1.6304449298904008E-2</v>
      </c>
      <c r="N2199" t="str">
        <f>IF(tbl_Budget[[#This Row],[Variance_%]]&gt;0.05,"Overspend",IF(tbl_Budget[[#This Row],[Variance_%]]&lt;-0.05,"Underspend","On Budget"))</f>
        <v>On Budget</v>
      </c>
    </row>
    <row r="2200" spans="1:14" hidden="1">
      <c r="A2200" s="1">
        <v>45566</v>
      </c>
      <c r="B2200">
        <v>10</v>
      </c>
      <c r="C2200" t="s">
        <v>48</v>
      </c>
      <c r="D2200" t="s">
        <v>63</v>
      </c>
      <c r="E2200">
        <v>2024</v>
      </c>
      <c r="F2200" t="s">
        <v>30</v>
      </c>
      <c r="G2200" t="s">
        <v>23</v>
      </c>
      <c r="H2200" t="s">
        <v>18</v>
      </c>
      <c r="I2200" t="s">
        <v>31</v>
      </c>
      <c r="J2200">
        <v>6469.8</v>
      </c>
      <c r="K2200">
        <v>6721.33</v>
      </c>
      <c r="L2200" s="20">
        <f>tbl_Budget[[#This Row],[Actual]]-tbl_Budget[[#This Row],[Budget]]</f>
        <v>251.52999999999975</v>
      </c>
      <c r="M2200" s="3">
        <f>tbl_Budget[[#This Row],[Variance]]/tbl_Budget[[#This Row],[Budget]]</f>
        <v>3.8877554174781254E-2</v>
      </c>
      <c r="N2200" t="str">
        <f>IF(tbl_Budget[[#This Row],[Variance_%]]&gt;0.05,"Overspend",IF(tbl_Budget[[#This Row],[Variance_%]]&lt;-0.05,"Underspend","On Budget"))</f>
        <v>On Budget</v>
      </c>
    </row>
    <row r="2201" spans="1:14" hidden="1">
      <c r="A2201" s="1">
        <v>45566</v>
      </c>
      <c r="B2201">
        <v>10</v>
      </c>
      <c r="C2201" t="s">
        <v>48</v>
      </c>
      <c r="D2201" t="s">
        <v>63</v>
      </c>
      <c r="E2201">
        <v>2024</v>
      </c>
      <c r="F2201" t="s">
        <v>30</v>
      </c>
      <c r="G2201" t="s">
        <v>23</v>
      </c>
      <c r="H2201" t="s">
        <v>19</v>
      </c>
      <c r="I2201" t="s">
        <v>31</v>
      </c>
      <c r="J2201">
        <v>7010.82</v>
      </c>
      <c r="K2201">
        <v>7091.43</v>
      </c>
      <c r="L2201" s="20">
        <f>tbl_Budget[[#This Row],[Actual]]-tbl_Budget[[#This Row],[Budget]]</f>
        <v>80.610000000000582</v>
      </c>
      <c r="M2201" s="3">
        <f>tbl_Budget[[#This Row],[Variance]]/tbl_Budget[[#This Row],[Budget]]</f>
        <v>1.1497941752890616E-2</v>
      </c>
      <c r="N2201" t="str">
        <f>IF(tbl_Budget[[#This Row],[Variance_%]]&gt;0.05,"Overspend",IF(tbl_Budget[[#This Row],[Variance_%]]&lt;-0.05,"Underspend","On Budget"))</f>
        <v>On Budget</v>
      </c>
    </row>
    <row r="2202" spans="1:14" hidden="1">
      <c r="A2202" s="1">
        <v>45597</v>
      </c>
      <c r="B2202">
        <v>11</v>
      </c>
      <c r="C2202" t="s">
        <v>50</v>
      </c>
      <c r="D2202" t="s">
        <v>64</v>
      </c>
      <c r="E2202">
        <v>2024</v>
      </c>
      <c r="F2202" t="s">
        <v>13</v>
      </c>
      <c r="G2202" t="s">
        <v>14</v>
      </c>
      <c r="H2202" t="s">
        <v>15</v>
      </c>
      <c r="I2202" t="s">
        <v>16</v>
      </c>
      <c r="J2202">
        <v>49200.27</v>
      </c>
      <c r="K2202">
        <v>55893.760000000002</v>
      </c>
      <c r="L2202" s="20">
        <f>tbl_Budget[[#This Row],[Actual]]-tbl_Budget[[#This Row],[Budget]]</f>
        <v>6693.4900000000052</v>
      </c>
      <c r="M2202" s="3">
        <f>tbl_Budget[[#This Row],[Variance]]/tbl_Budget[[#This Row],[Budget]]</f>
        <v>0.13604579812265269</v>
      </c>
      <c r="N2202" t="str">
        <f>IF(tbl_Budget[[#This Row],[Variance_%]]&gt;0.05,"Overspend",IF(tbl_Budget[[#This Row],[Variance_%]]&lt;-0.05,"Underspend","On Budget"))</f>
        <v>Overspend</v>
      </c>
    </row>
    <row r="2203" spans="1:14" hidden="1">
      <c r="A2203" s="1">
        <v>45597</v>
      </c>
      <c r="B2203">
        <v>11</v>
      </c>
      <c r="C2203" t="s">
        <v>50</v>
      </c>
      <c r="D2203" t="s">
        <v>64</v>
      </c>
      <c r="E2203">
        <v>2024</v>
      </c>
      <c r="F2203" t="s">
        <v>13</v>
      </c>
      <c r="G2203" t="s">
        <v>14</v>
      </c>
      <c r="H2203" t="s">
        <v>17</v>
      </c>
      <c r="I2203" t="s">
        <v>16</v>
      </c>
      <c r="J2203">
        <v>46064.91</v>
      </c>
      <c r="K2203">
        <v>52508</v>
      </c>
      <c r="L2203" s="20">
        <f>tbl_Budget[[#This Row],[Actual]]-tbl_Budget[[#This Row],[Budget]]</f>
        <v>6443.0899999999965</v>
      </c>
      <c r="M2203" s="3">
        <f>tbl_Budget[[#This Row],[Variance]]/tbl_Budget[[#This Row],[Budget]]</f>
        <v>0.13986980545495467</v>
      </c>
      <c r="N2203" t="str">
        <f>IF(tbl_Budget[[#This Row],[Variance_%]]&gt;0.05,"Overspend",IF(tbl_Budget[[#This Row],[Variance_%]]&lt;-0.05,"Underspend","On Budget"))</f>
        <v>Overspend</v>
      </c>
    </row>
    <row r="2204" spans="1:14" hidden="1">
      <c r="A2204" s="1">
        <v>45597</v>
      </c>
      <c r="B2204">
        <v>11</v>
      </c>
      <c r="C2204" t="s">
        <v>50</v>
      </c>
      <c r="D2204" t="s">
        <v>64</v>
      </c>
      <c r="E2204">
        <v>2024</v>
      </c>
      <c r="F2204" t="s">
        <v>13</v>
      </c>
      <c r="G2204" t="s">
        <v>14</v>
      </c>
      <c r="H2204" t="s">
        <v>18</v>
      </c>
      <c r="I2204" t="s">
        <v>16</v>
      </c>
      <c r="J2204">
        <v>46731.75</v>
      </c>
      <c r="K2204">
        <v>52956.12</v>
      </c>
      <c r="L2204" s="20">
        <f>tbl_Budget[[#This Row],[Actual]]-tbl_Budget[[#This Row],[Budget]]</f>
        <v>6224.3700000000026</v>
      </c>
      <c r="M2204" s="3">
        <f>tbl_Budget[[#This Row],[Variance]]/tbl_Budget[[#This Row],[Budget]]</f>
        <v>0.13319359964050143</v>
      </c>
      <c r="N2204" t="str">
        <f>IF(tbl_Budget[[#This Row],[Variance_%]]&gt;0.05,"Overspend",IF(tbl_Budget[[#This Row],[Variance_%]]&lt;-0.05,"Underspend","On Budget"))</f>
        <v>Overspend</v>
      </c>
    </row>
    <row r="2205" spans="1:14" hidden="1">
      <c r="A2205" s="1">
        <v>45597</v>
      </c>
      <c r="B2205">
        <v>11</v>
      </c>
      <c r="C2205" t="s">
        <v>50</v>
      </c>
      <c r="D2205" t="s">
        <v>64</v>
      </c>
      <c r="E2205">
        <v>2024</v>
      </c>
      <c r="F2205" t="s">
        <v>13</v>
      </c>
      <c r="G2205" t="s">
        <v>14</v>
      </c>
      <c r="H2205" t="s">
        <v>19</v>
      </c>
      <c r="I2205" t="s">
        <v>16</v>
      </c>
      <c r="J2205">
        <v>51680.02</v>
      </c>
      <c r="K2205">
        <v>61066.39</v>
      </c>
      <c r="L2205" s="20">
        <f>tbl_Budget[[#This Row],[Actual]]-tbl_Budget[[#This Row],[Budget]]</f>
        <v>9386.3700000000026</v>
      </c>
      <c r="M2205" s="3">
        <f>tbl_Budget[[#This Row],[Variance]]/tbl_Budget[[#This Row],[Budget]]</f>
        <v>0.18162473621333744</v>
      </c>
      <c r="N2205" t="str">
        <f>IF(tbl_Budget[[#This Row],[Variance_%]]&gt;0.05,"Overspend",IF(tbl_Budget[[#This Row],[Variance_%]]&lt;-0.05,"Underspend","On Budget"))</f>
        <v>Overspend</v>
      </c>
    </row>
    <row r="2206" spans="1:14" hidden="1">
      <c r="A2206" s="1">
        <v>45597</v>
      </c>
      <c r="B2206">
        <v>11</v>
      </c>
      <c r="C2206" t="s">
        <v>50</v>
      </c>
      <c r="D2206" t="s">
        <v>64</v>
      </c>
      <c r="E2206">
        <v>2024</v>
      </c>
      <c r="F2206" t="s">
        <v>13</v>
      </c>
      <c r="G2206" t="s">
        <v>20</v>
      </c>
      <c r="H2206" t="s">
        <v>15</v>
      </c>
      <c r="I2206" t="s">
        <v>16</v>
      </c>
      <c r="J2206">
        <v>19264.18</v>
      </c>
      <c r="K2206">
        <v>22541.58</v>
      </c>
      <c r="L2206" s="20">
        <f>tbl_Budget[[#This Row],[Actual]]-tbl_Budget[[#This Row],[Budget]]</f>
        <v>3277.4000000000015</v>
      </c>
      <c r="M2206" s="3">
        <f>tbl_Budget[[#This Row],[Variance]]/tbl_Budget[[#This Row],[Budget]]</f>
        <v>0.17012922429088606</v>
      </c>
      <c r="N2206" t="str">
        <f>IF(tbl_Budget[[#This Row],[Variance_%]]&gt;0.05,"Overspend",IF(tbl_Budget[[#This Row],[Variance_%]]&lt;-0.05,"Underspend","On Budget"))</f>
        <v>Overspend</v>
      </c>
    </row>
    <row r="2207" spans="1:14" hidden="1">
      <c r="A2207" s="1">
        <v>45597</v>
      </c>
      <c r="B2207">
        <v>11</v>
      </c>
      <c r="C2207" t="s">
        <v>50</v>
      </c>
      <c r="D2207" t="s">
        <v>64</v>
      </c>
      <c r="E2207">
        <v>2024</v>
      </c>
      <c r="F2207" t="s">
        <v>13</v>
      </c>
      <c r="G2207" t="s">
        <v>20</v>
      </c>
      <c r="H2207" t="s">
        <v>17</v>
      </c>
      <c r="I2207" t="s">
        <v>16</v>
      </c>
      <c r="J2207">
        <v>18461.39</v>
      </c>
      <c r="K2207">
        <v>20374.14</v>
      </c>
      <c r="L2207" s="20">
        <f>tbl_Budget[[#This Row],[Actual]]-tbl_Budget[[#This Row],[Budget]]</f>
        <v>1912.75</v>
      </c>
      <c r="M2207" s="3">
        <f>tbl_Budget[[#This Row],[Variance]]/tbl_Budget[[#This Row],[Budget]]</f>
        <v>0.10360812484867066</v>
      </c>
      <c r="N2207" t="str">
        <f>IF(tbl_Budget[[#This Row],[Variance_%]]&gt;0.05,"Overspend",IF(tbl_Budget[[#This Row],[Variance_%]]&lt;-0.05,"Underspend","On Budget"))</f>
        <v>Overspend</v>
      </c>
    </row>
    <row r="2208" spans="1:14" hidden="1">
      <c r="A2208" s="1">
        <v>45597</v>
      </c>
      <c r="B2208">
        <v>11</v>
      </c>
      <c r="C2208" t="s">
        <v>50</v>
      </c>
      <c r="D2208" t="s">
        <v>64</v>
      </c>
      <c r="E2208">
        <v>2024</v>
      </c>
      <c r="F2208" t="s">
        <v>13</v>
      </c>
      <c r="G2208" t="s">
        <v>20</v>
      </c>
      <c r="H2208" t="s">
        <v>18</v>
      </c>
      <c r="I2208" t="s">
        <v>16</v>
      </c>
      <c r="J2208">
        <v>18635.419999999998</v>
      </c>
      <c r="K2208">
        <v>21159.09</v>
      </c>
      <c r="L2208" s="20">
        <f>tbl_Budget[[#This Row],[Actual]]-tbl_Budget[[#This Row],[Budget]]</f>
        <v>2523.6700000000019</v>
      </c>
      <c r="M2208" s="3">
        <f>tbl_Budget[[#This Row],[Variance]]/tbl_Budget[[#This Row],[Budget]]</f>
        <v>0.13542329606738149</v>
      </c>
      <c r="N2208" t="str">
        <f>IF(tbl_Budget[[#This Row],[Variance_%]]&gt;0.05,"Overspend",IF(tbl_Budget[[#This Row],[Variance_%]]&lt;-0.05,"Underspend","On Budget"))</f>
        <v>Overspend</v>
      </c>
    </row>
    <row r="2209" spans="1:14" hidden="1">
      <c r="A2209" s="1">
        <v>45597</v>
      </c>
      <c r="B2209">
        <v>11</v>
      </c>
      <c r="C2209" t="s">
        <v>50</v>
      </c>
      <c r="D2209" t="s">
        <v>64</v>
      </c>
      <c r="E2209">
        <v>2024</v>
      </c>
      <c r="F2209" t="s">
        <v>13</v>
      </c>
      <c r="G2209" t="s">
        <v>20</v>
      </c>
      <c r="H2209" t="s">
        <v>19</v>
      </c>
      <c r="I2209" t="s">
        <v>16</v>
      </c>
      <c r="J2209">
        <v>19433.87</v>
      </c>
      <c r="K2209">
        <v>21283.74</v>
      </c>
      <c r="L2209" s="20">
        <f>tbl_Budget[[#This Row],[Actual]]-tbl_Budget[[#This Row],[Budget]]</f>
        <v>1849.8700000000026</v>
      </c>
      <c r="M2209" s="3">
        <f>tbl_Budget[[#This Row],[Variance]]/tbl_Budget[[#This Row],[Budget]]</f>
        <v>9.5187937348557072E-2</v>
      </c>
      <c r="N2209" t="str">
        <f>IF(tbl_Budget[[#This Row],[Variance_%]]&gt;0.05,"Overspend",IF(tbl_Budget[[#This Row],[Variance_%]]&lt;-0.05,"Underspend","On Budget"))</f>
        <v>Overspend</v>
      </c>
    </row>
    <row r="2210" spans="1:14">
      <c r="A2210" s="1">
        <v>45597</v>
      </c>
      <c r="B2210">
        <v>11</v>
      </c>
      <c r="C2210" t="s">
        <v>50</v>
      </c>
      <c r="D2210" t="s">
        <v>64</v>
      </c>
      <c r="E2210">
        <v>2024</v>
      </c>
      <c r="F2210" t="s">
        <v>13</v>
      </c>
      <c r="G2210" t="s">
        <v>21</v>
      </c>
      <c r="H2210" t="s">
        <v>15</v>
      </c>
      <c r="I2210" t="s">
        <v>16</v>
      </c>
      <c r="J2210">
        <v>10352.75</v>
      </c>
      <c r="K2210">
        <v>11515.39</v>
      </c>
      <c r="L2210" s="20">
        <f>tbl_Budget[[#This Row],[Actual]]-tbl_Budget[[#This Row],[Budget]]</f>
        <v>1162.6399999999994</v>
      </c>
      <c r="M2210" s="3">
        <f>tbl_Budget[[#This Row],[Variance]]/tbl_Budget[[#This Row],[Budget]]</f>
        <v>0.11230252831373301</v>
      </c>
      <c r="N2210" t="str">
        <f>IF(tbl_Budget[[#This Row],[Variance_%]]&gt;0.05,"Overspend",IF(tbl_Budget[[#This Row],[Variance_%]]&lt;-0.05,"Underspend","On Budget"))</f>
        <v>Overspend</v>
      </c>
    </row>
    <row r="2211" spans="1:14">
      <c r="A2211" s="1">
        <v>45597</v>
      </c>
      <c r="B2211">
        <v>11</v>
      </c>
      <c r="C2211" t="s">
        <v>50</v>
      </c>
      <c r="D2211" t="s">
        <v>64</v>
      </c>
      <c r="E2211">
        <v>2024</v>
      </c>
      <c r="F2211" t="s">
        <v>13</v>
      </c>
      <c r="G2211" t="s">
        <v>21</v>
      </c>
      <c r="H2211" t="s">
        <v>17</v>
      </c>
      <c r="I2211" t="s">
        <v>16</v>
      </c>
      <c r="J2211">
        <v>10111.26</v>
      </c>
      <c r="K2211">
        <v>11627.38</v>
      </c>
      <c r="L2211" s="20">
        <f>tbl_Budget[[#This Row],[Actual]]-tbl_Budget[[#This Row],[Budget]]</f>
        <v>1516.119999999999</v>
      </c>
      <c r="M2211" s="3">
        <f>tbl_Budget[[#This Row],[Variance]]/tbl_Budget[[#This Row],[Budget]]</f>
        <v>0.14994372610337375</v>
      </c>
      <c r="N2211" t="str">
        <f>IF(tbl_Budget[[#This Row],[Variance_%]]&gt;0.05,"Overspend",IF(tbl_Budget[[#This Row],[Variance_%]]&lt;-0.05,"Underspend","On Budget"))</f>
        <v>Overspend</v>
      </c>
    </row>
    <row r="2212" spans="1:14">
      <c r="A2212" s="1">
        <v>45597</v>
      </c>
      <c r="B2212">
        <v>11</v>
      </c>
      <c r="C2212" t="s">
        <v>50</v>
      </c>
      <c r="D2212" t="s">
        <v>64</v>
      </c>
      <c r="E2212">
        <v>2024</v>
      </c>
      <c r="F2212" t="s">
        <v>13</v>
      </c>
      <c r="G2212" t="s">
        <v>21</v>
      </c>
      <c r="H2212" t="s">
        <v>18</v>
      </c>
      <c r="I2212" t="s">
        <v>16</v>
      </c>
      <c r="J2212">
        <v>10002.98</v>
      </c>
      <c r="K2212">
        <v>11336.89</v>
      </c>
      <c r="L2212" s="20">
        <f>tbl_Budget[[#This Row],[Actual]]-tbl_Budget[[#This Row],[Budget]]</f>
        <v>1333.9099999999999</v>
      </c>
      <c r="M2212" s="3">
        <f>tbl_Budget[[#This Row],[Variance]]/tbl_Budget[[#This Row],[Budget]]</f>
        <v>0.13335126132412539</v>
      </c>
      <c r="N2212" t="str">
        <f>IF(tbl_Budget[[#This Row],[Variance_%]]&gt;0.05,"Overspend",IF(tbl_Budget[[#This Row],[Variance_%]]&lt;-0.05,"Underspend","On Budget"))</f>
        <v>Overspend</v>
      </c>
    </row>
    <row r="2213" spans="1:14">
      <c r="A2213" s="1">
        <v>45597</v>
      </c>
      <c r="B2213">
        <v>11</v>
      </c>
      <c r="C2213" t="s">
        <v>50</v>
      </c>
      <c r="D2213" t="s">
        <v>64</v>
      </c>
      <c r="E2213">
        <v>2024</v>
      </c>
      <c r="F2213" t="s">
        <v>13</v>
      </c>
      <c r="G2213" t="s">
        <v>21</v>
      </c>
      <c r="H2213" t="s">
        <v>19</v>
      </c>
      <c r="I2213" t="s">
        <v>16</v>
      </c>
      <c r="J2213">
        <v>11293.88</v>
      </c>
      <c r="K2213">
        <v>12810.19</v>
      </c>
      <c r="L2213" s="20">
        <f>tbl_Budget[[#This Row],[Actual]]-tbl_Budget[[#This Row],[Budget]]</f>
        <v>1516.3100000000013</v>
      </c>
      <c r="M2213" s="3">
        <f>tbl_Budget[[#This Row],[Variance]]/tbl_Budget[[#This Row],[Budget]]</f>
        <v>0.13425943962570891</v>
      </c>
      <c r="N2213" t="str">
        <f>IF(tbl_Budget[[#This Row],[Variance_%]]&gt;0.05,"Overspend",IF(tbl_Budget[[#This Row],[Variance_%]]&lt;-0.05,"Underspend","On Budget"))</f>
        <v>Overspend</v>
      </c>
    </row>
    <row r="2214" spans="1:14" hidden="1">
      <c r="A2214" s="1">
        <v>45597</v>
      </c>
      <c r="B2214">
        <v>11</v>
      </c>
      <c r="C2214" t="s">
        <v>50</v>
      </c>
      <c r="D2214" t="s">
        <v>64</v>
      </c>
      <c r="E2214">
        <v>2024</v>
      </c>
      <c r="F2214" t="s">
        <v>13</v>
      </c>
      <c r="G2214" t="s">
        <v>22</v>
      </c>
      <c r="H2214" t="s">
        <v>15</v>
      </c>
      <c r="I2214" t="s">
        <v>16</v>
      </c>
      <c r="J2214">
        <v>8820.7000000000007</v>
      </c>
      <c r="K2214">
        <v>10465.450000000001</v>
      </c>
      <c r="L2214" s="20">
        <f>tbl_Budget[[#This Row],[Actual]]-tbl_Budget[[#This Row],[Budget]]</f>
        <v>1644.75</v>
      </c>
      <c r="M2214" s="3">
        <f>tbl_Budget[[#This Row],[Variance]]/tbl_Budget[[#This Row],[Budget]]</f>
        <v>0.18646479304363597</v>
      </c>
      <c r="N2214" t="str">
        <f>IF(tbl_Budget[[#This Row],[Variance_%]]&gt;0.05,"Overspend",IF(tbl_Budget[[#This Row],[Variance_%]]&lt;-0.05,"Underspend","On Budget"))</f>
        <v>Overspend</v>
      </c>
    </row>
    <row r="2215" spans="1:14" hidden="1">
      <c r="A2215" s="1">
        <v>45597</v>
      </c>
      <c r="B2215">
        <v>11</v>
      </c>
      <c r="C2215" t="s">
        <v>50</v>
      </c>
      <c r="D2215" t="s">
        <v>64</v>
      </c>
      <c r="E2215">
        <v>2024</v>
      </c>
      <c r="F2215" t="s">
        <v>13</v>
      </c>
      <c r="G2215" t="s">
        <v>22</v>
      </c>
      <c r="H2215" t="s">
        <v>17</v>
      </c>
      <c r="I2215" t="s">
        <v>16</v>
      </c>
      <c r="J2215">
        <v>8117.78</v>
      </c>
      <c r="K2215">
        <v>8981.58</v>
      </c>
      <c r="L2215" s="20">
        <f>tbl_Budget[[#This Row],[Actual]]-tbl_Budget[[#This Row],[Budget]]</f>
        <v>863.80000000000018</v>
      </c>
      <c r="M2215" s="3">
        <f>tbl_Budget[[#This Row],[Variance]]/tbl_Budget[[#This Row],[Budget]]</f>
        <v>0.10640840229717979</v>
      </c>
      <c r="N2215" t="str">
        <f>IF(tbl_Budget[[#This Row],[Variance_%]]&gt;0.05,"Overspend",IF(tbl_Budget[[#This Row],[Variance_%]]&lt;-0.05,"Underspend","On Budget"))</f>
        <v>Overspend</v>
      </c>
    </row>
    <row r="2216" spans="1:14" hidden="1">
      <c r="A2216" s="1">
        <v>45597</v>
      </c>
      <c r="B2216">
        <v>11</v>
      </c>
      <c r="C2216" t="s">
        <v>50</v>
      </c>
      <c r="D2216" t="s">
        <v>64</v>
      </c>
      <c r="E2216">
        <v>2024</v>
      </c>
      <c r="F2216" t="s">
        <v>13</v>
      </c>
      <c r="G2216" t="s">
        <v>22</v>
      </c>
      <c r="H2216" t="s">
        <v>18</v>
      </c>
      <c r="I2216" t="s">
        <v>16</v>
      </c>
      <c r="J2216">
        <v>8619.89</v>
      </c>
      <c r="K2216">
        <v>10029.42</v>
      </c>
      <c r="L2216" s="20">
        <f>tbl_Budget[[#This Row],[Actual]]-tbl_Budget[[#This Row],[Budget]]</f>
        <v>1409.5300000000007</v>
      </c>
      <c r="M2216" s="3">
        <f>tbl_Budget[[#This Row],[Variance]]/tbl_Budget[[#This Row],[Budget]]</f>
        <v>0.16352064817532483</v>
      </c>
      <c r="N2216" t="str">
        <f>IF(tbl_Budget[[#This Row],[Variance_%]]&gt;0.05,"Overspend",IF(tbl_Budget[[#This Row],[Variance_%]]&lt;-0.05,"Underspend","On Budget"))</f>
        <v>Overspend</v>
      </c>
    </row>
    <row r="2217" spans="1:14" hidden="1">
      <c r="A2217" s="1">
        <v>45597</v>
      </c>
      <c r="B2217">
        <v>11</v>
      </c>
      <c r="C2217" t="s">
        <v>50</v>
      </c>
      <c r="D2217" t="s">
        <v>64</v>
      </c>
      <c r="E2217">
        <v>2024</v>
      </c>
      <c r="F2217" t="s">
        <v>13</v>
      </c>
      <c r="G2217" t="s">
        <v>22</v>
      </c>
      <c r="H2217" t="s">
        <v>19</v>
      </c>
      <c r="I2217" t="s">
        <v>16</v>
      </c>
      <c r="J2217">
        <v>9079.08</v>
      </c>
      <c r="K2217">
        <v>10737.24</v>
      </c>
      <c r="L2217" s="20">
        <f>tbl_Budget[[#This Row],[Actual]]-tbl_Budget[[#This Row],[Budget]]</f>
        <v>1658.1599999999999</v>
      </c>
      <c r="M2217" s="3">
        <f>tbl_Budget[[#This Row],[Variance]]/tbl_Budget[[#This Row],[Budget]]</f>
        <v>0.18263524498076897</v>
      </c>
      <c r="N2217" t="str">
        <f>IF(tbl_Budget[[#This Row],[Variance_%]]&gt;0.05,"Overspend",IF(tbl_Budget[[#This Row],[Variance_%]]&lt;-0.05,"Underspend","On Budget"))</f>
        <v>Overspend</v>
      </c>
    </row>
    <row r="2218" spans="1:14" hidden="1">
      <c r="A2218" s="1">
        <v>45597</v>
      </c>
      <c r="B2218">
        <v>11</v>
      </c>
      <c r="C2218" t="s">
        <v>50</v>
      </c>
      <c r="D2218" t="s">
        <v>64</v>
      </c>
      <c r="E2218">
        <v>2024</v>
      </c>
      <c r="F2218" t="s">
        <v>13</v>
      </c>
      <c r="G2218" t="s">
        <v>23</v>
      </c>
      <c r="H2218" t="s">
        <v>15</v>
      </c>
      <c r="I2218" t="s">
        <v>16</v>
      </c>
      <c r="J2218">
        <v>9083.9599999999991</v>
      </c>
      <c r="K2218">
        <v>10317.01</v>
      </c>
      <c r="L2218" s="20">
        <f>tbl_Budget[[#This Row],[Actual]]-tbl_Budget[[#This Row],[Budget]]</f>
        <v>1233.0500000000011</v>
      </c>
      <c r="M2218" s="3">
        <f>tbl_Budget[[#This Row],[Variance]]/tbl_Budget[[#This Row],[Budget]]</f>
        <v>0.13573925908964826</v>
      </c>
      <c r="N2218" t="str">
        <f>IF(tbl_Budget[[#This Row],[Variance_%]]&gt;0.05,"Overspend",IF(tbl_Budget[[#This Row],[Variance_%]]&lt;-0.05,"Underspend","On Budget"))</f>
        <v>Overspend</v>
      </c>
    </row>
    <row r="2219" spans="1:14" hidden="1">
      <c r="A2219" s="1">
        <v>45597</v>
      </c>
      <c r="B2219">
        <v>11</v>
      </c>
      <c r="C2219" t="s">
        <v>50</v>
      </c>
      <c r="D2219" t="s">
        <v>64</v>
      </c>
      <c r="E2219">
        <v>2024</v>
      </c>
      <c r="F2219" t="s">
        <v>13</v>
      </c>
      <c r="G2219" t="s">
        <v>23</v>
      </c>
      <c r="H2219" t="s">
        <v>17</v>
      </c>
      <c r="I2219" t="s">
        <v>16</v>
      </c>
      <c r="J2219">
        <v>8522.52</v>
      </c>
      <c r="K2219">
        <v>9864.0400000000009</v>
      </c>
      <c r="L2219" s="20">
        <f>tbl_Budget[[#This Row],[Actual]]-tbl_Budget[[#This Row],[Budget]]</f>
        <v>1341.5200000000004</v>
      </c>
      <c r="M2219" s="3">
        <f>tbl_Budget[[#This Row],[Variance]]/tbl_Budget[[#This Row],[Budget]]</f>
        <v>0.15740884151635906</v>
      </c>
      <c r="N2219" t="str">
        <f>IF(tbl_Budget[[#This Row],[Variance_%]]&gt;0.05,"Overspend",IF(tbl_Budget[[#This Row],[Variance_%]]&lt;-0.05,"Underspend","On Budget"))</f>
        <v>Overspend</v>
      </c>
    </row>
    <row r="2220" spans="1:14" hidden="1">
      <c r="A2220" s="1">
        <v>45597</v>
      </c>
      <c r="B2220">
        <v>11</v>
      </c>
      <c r="C2220" t="s">
        <v>50</v>
      </c>
      <c r="D2220" t="s">
        <v>64</v>
      </c>
      <c r="E2220">
        <v>2024</v>
      </c>
      <c r="F2220" t="s">
        <v>13</v>
      </c>
      <c r="G2220" t="s">
        <v>23</v>
      </c>
      <c r="H2220" t="s">
        <v>18</v>
      </c>
      <c r="I2220" t="s">
        <v>16</v>
      </c>
      <c r="J2220">
        <v>8661.8700000000008</v>
      </c>
      <c r="K2220">
        <v>9840.9699999999993</v>
      </c>
      <c r="L2220" s="20">
        <f>tbl_Budget[[#This Row],[Actual]]-tbl_Budget[[#This Row],[Budget]]</f>
        <v>1179.0999999999985</v>
      </c>
      <c r="M2220" s="3">
        <f>tbl_Budget[[#This Row],[Variance]]/tbl_Budget[[#This Row],[Budget]]</f>
        <v>0.13612534014017741</v>
      </c>
      <c r="N2220" t="str">
        <f>IF(tbl_Budget[[#This Row],[Variance_%]]&gt;0.05,"Overspend",IF(tbl_Budget[[#This Row],[Variance_%]]&lt;-0.05,"Underspend","On Budget"))</f>
        <v>Overspend</v>
      </c>
    </row>
    <row r="2221" spans="1:14" hidden="1">
      <c r="A2221" s="1">
        <v>45597</v>
      </c>
      <c r="B2221">
        <v>11</v>
      </c>
      <c r="C2221" t="s">
        <v>50</v>
      </c>
      <c r="D2221" t="s">
        <v>64</v>
      </c>
      <c r="E2221">
        <v>2024</v>
      </c>
      <c r="F2221" t="s">
        <v>13</v>
      </c>
      <c r="G2221" t="s">
        <v>23</v>
      </c>
      <c r="H2221" t="s">
        <v>19</v>
      </c>
      <c r="I2221" t="s">
        <v>16</v>
      </c>
      <c r="J2221">
        <v>9285.73</v>
      </c>
      <c r="K2221">
        <v>10590.87</v>
      </c>
      <c r="L2221" s="20">
        <f>tbl_Budget[[#This Row],[Actual]]-tbl_Budget[[#This Row],[Budget]]</f>
        <v>1305.1400000000012</v>
      </c>
      <c r="M2221" s="3">
        <f>tbl_Budget[[#This Row],[Variance]]/tbl_Budget[[#This Row],[Budget]]</f>
        <v>0.1405533006021068</v>
      </c>
      <c r="N2221" t="str">
        <f>IF(tbl_Budget[[#This Row],[Variance_%]]&gt;0.05,"Overspend",IF(tbl_Budget[[#This Row],[Variance_%]]&lt;-0.05,"Underspend","On Budget"))</f>
        <v>Overspend</v>
      </c>
    </row>
    <row r="2222" spans="1:14" hidden="1">
      <c r="A2222" s="1">
        <v>45597</v>
      </c>
      <c r="B2222">
        <v>11</v>
      </c>
      <c r="C2222" t="s">
        <v>50</v>
      </c>
      <c r="D2222" t="s">
        <v>64</v>
      </c>
      <c r="E2222">
        <v>2024</v>
      </c>
      <c r="F2222" t="s">
        <v>24</v>
      </c>
      <c r="G2222" t="s">
        <v>14</v>
      </c>
      <c r="H2222" t="s">
        <v>15</v>
      </c>
      <c r="I2222" t="s">
        <v>25</v>
      </c>
      <c r="J2222">
        <v>51795.61</v>
      </c>
      <c r="K2222">
        <v>45126.44</v>
      </c>
      <c r="L2222" s="20">
        <f>tbl_Budget[[#This Row],[Actual]]-tbl_Budget[[#This Row],[Budget]]</f>
        <v>-6669.1699999999983</v>
      </c>
      <c r="M2222" s="3">
        <f>tbl_Budget[[#This Row],[Variance]]/tbl_Budget[[#This Row],[Budget]]</f>
        <v>-0.12875936783059411</v>
      </c>
      <c r="N2222" t="str">
        <f>IF(tbl_Budget[[#This Row],[Variance_%]]&gt;0.05,"Overspend",IF(tbl_Budget[[#This Row],[Variance_%]]&lt;-0.05,"Underspend","On Budget"))</f>
        <v>Underspend</v>
      </c>
    </row>
    <row r="2223" spans="1:14" hidden="1">
      <c r="A2223" s="1">
        <v>45597</v>
      </c>
      <c r="B2223">
        <v>11</v>
      </c>
      <c r="C2223" t="s">
        <v>50</v>
      </c>
      <c r="D2223" t="s">
        <v>64</v>
      </c>
      <c r="E2223">
        <v>2024</v>
      </c>
      <c r="F2223" t="s">
        <v>24</v>
      </c>
      <c r="G2223" t="s">
        <v>14</v>
      </c>
      <c r="H2223" t="s">
        <v>17</v>
      </c>
      <c r="I2223" t="s">
        <v>25</v>
      </c>
      <c r="J2223">
        <v>48328.78</v>
      </c>
      <c r="K2223">
        <v>42667.33</v>
      </c>
      <c r="L2223" s="20">
        <f>tbl_Budget[[#This Row],[Actual]]-tbl_Budget[[#This Row],[Budget]]</f>
        <v>-5661.4499999999971</v>
      </c>
      <c r="M2223" s="3">
        <f>tbl_Budget[[#This Row],[Variance]]/tbl_Budget[[#This Row],[Budget]]</f>
        <v>-0.11714448409415668</v>
      </c>
      <c r="N2223" t="str">
        <f>IF(tbl_Budget[[#This Row],[Variance_%]]&gt;0.05,"Overspend",IF(tbl_Budget[[#This Row],[Variance_%]]&lt;-0.05,"Underspend","On Budget"))</f>
        <v>Underspend</v>
      </c>
    </row>
    <row r="2224" spans="1:14" hidden="1">
      <c r="A2224" s="1">
        <v>45597</v>
      </c>
      <c r="B2224">
        <v>11</v>
      </c>
      <c r="C2224" t="s">
        <v>50</v>
      </c>
      <c r="D2224" t="s">
        <v>64</v>
      </c>
      <c r="E2224">
        <v>2024</v>
      </c>
      <c r="F2224" t="s">
        <v>24</v>
      </c>
      <c r="G2224" t="s">
        <v>14</v>
      </c>
      <c r="H2224" t="s">
        <v>18</v>
      </c>
      <c r="I2224" t="s">
        <v>25</v>
      </c>
      <c r="J2224">
        <v>50506.91</v>
      </c>
      <c r="K2224">
        <v>44978.36</v>
      </c>
      <c r="L2224" s="20">
        <f>tbl_Budget[[#This Row],[Actual]]-tbl_Budget[[#This Row],[Budget]]</f>
        <v>-5528.5500000000029</v>
      </c>
      <c r="M2224" s="3">
        <f>tbl_Budget[[#This Row],[Variance]]/tbl_Budget[[#This Row],[Budget]]</f>
        <v>-0.1094612598553347</v>
      </c>
      <c r="N2224" t="str">
        <f>IF(tbl_Budget[[#This Row],[Variance_%]]&gt;0.05,"Overspend",IF(tbl_Budget[[#This Row],[Variance_%]]&lt;-0.05,"Underspend","On Budget"))</f>
        <v>Underspend</v>
      </c>
    </row>
    <row r="2225" spans="1:14" hidden="1">
      <c r="A2225" s="1">
        <v>45597</v>
      </c>
      <c r="B2225">
        <v>11</v>
      </c>
      <c r="C2225" t="s">
        <v>50</v>
      </c>
      <c r="D2225" t="s">
        <v>64</v>
      </c>
      <c r="E2225">
        <v>2024</v>
      </c>
      <c r="F2225" t="s">
        <v>24</v>
      </c>
      <c r="G2225" t="s">
        <v>14</v>
      </c>
      <c r="H2225" t="s">
        <v>19</v>
      </c>
      <c r="I2225" t="s">
        <v>25</v>
      </c>
      <c r="J2225">
        <v>55321.07</v>
      </c>
      <c r="K2225">
        <v>47893.38</v>
      </c>
      <c r="L2225" s="20">
        <f>tbl_Budget[[#This Row],[Actual]]-tbl_Budget[[#This Row],[Budget]]</f>
        <v>-7427.6900000000023</v>
      </c>
      <c r="M2225" s="3">
        <f>tbl_Budget[[#This Row],[Variance]]/tbl_Budget[[#This Row],[Budget]]</f>
        <v>-0.13426511815480074</v>
      </c>
      <c r="N2225" t="str">
        <f>IF(tbl_Budget[[#This Row],[Variance_%]]&gt;0.05,"Overspend",IF(tbl_Budget[[#This Row],[Variance_%]]&lt;-0.05,"Underspend","On Budget"))</f>
        <v>Underspend</v>
      </c>
    </row>
    <row r="2226" spans="1:14" hidden="1">
      <c r="A2226" s="1">
        <v>45597</v>
      </c>
      <c r="B2226">
        <v>11</v>
      </c>
      <c r="C2226" t="s">
        <v>50</v>
      </c>
      <c r="D2226" t="s">
        <v>64</v>
      </c>
      <c r="E2226">
        <v>2024</v>
      </c>
      <c r="F2226" t="s">
        <v>24</v>
      </c>
      <c r="G2226" t="s">
        <v>20</v>
      </c>
      <c r="H2226" t="s">
        <v>15</v>
      </c>
      <c r="I2226" t="s">
        <v>25</v>
      </c>
      <c r="J2226">
        <v>29187.85</v>
      </c>
      <c r="K2226">
        <v>25726.39</v>
      </c>
      <c r="L2226" s="20">
        <f>tbl_Budget[[#This Row],[Actual]]-tbl_Budget[[#This Row],[Budget]]</f>
        <v>-3461.4599999999991</v>
      </c>
      <c r="M2226" s="3">
        <f>tbl_Budget[[#This Row],[Variance]]/tbl_Budget[[#This Row],[Budget]]</f>
        <v>-0.11859249653537343</v>
      </c>
      <c r="N2226" t="str">
        <f>IF(tbl_Budget[[#This Row],[Variance_%]]&gt;0.05,"Overspend",IF(tbl_Budget[[#This Row],[Variance_%]]&lt;-0.05,"Underspend","On Budget"))</f>
        <v>Underspend</v>
      </c>
    </row>
    <row r="2227" spans="1:14" hidden="1">
      <c r="A2227" s="1">
        <v>45597</v>
      </c>
      <c r="B2227">
        <v>11</v>
      </c>
      <c r="C2227" t="s">
        <v>50</v>
      </c>
      <c r="D2227" t="s">
        <v>64</v>
      </c>
      <c r="E2227">
        <v>2024</v>
      </c>
      <c r="F2227" t="s">
        <v>24</v>
      </c>
      <c r="G2227" t="s">
        <v>20</v>
      </c>
      <c r="H2227" t="s">
        <v>17</v>
      </c>
      <c r="I2227" t="s">
        <v>25</v>
      </c>
      <c r="J2227">
        <v>27509.69</v>
      </c>
      <c r="K2227">
        <v>24294.52</v>
      </c>
      <c r="L2227" s="20">
        <f>tbl_Budget[[#This Row],[Actual]]-tbl_Budget[[#This Row],[Budget]]</f>
        <v>-3215.1699999999983</v>
      </c>
      <c r="M2227" s="3">
        <f>tbl_Budget[[#This Row],[Variance]]/tbl_Budget[[#This Row],[Budget]]</f>
        <v>-0.11687409054773058</v>
      </c>
      <c r="N2227" t="str">
        <f>IF(tbl_Budget[[#This Row],[Variance_%]]&gt;0.05,"Overspend",IF(tbl_Budget[[#This Row],[Variance_%]]&lt;-0.05,"Underspend","On Budget"))</f>
        <v>Underspend</v>
      </c>
    </row>
    <row r="2228" spans="1:14" hidden="1">
      <c r="A2228" s="1">
        <v>45597</v>
      </c>
      <c r="B2228">
        <v>11</v>
      </c>
      <c r="C2228" t="s">
        <v>50</v>
      </c>
      <c r="D2228" t="s">
        <v>64</v>
      </c>
      <c r="E2228">
        <v>2024</v>
      </c>
      <c r="F2228" t="s">
        <v>24</v>
      </c>
      <c r="G2228" t="s">
        <v>20</v>
      </c>
      <c r="H2228" t="s">
        <v>18</v>
      </c>
      <c r="I2228" t="s">
        <v>25</v>
      </c>
      <c r="J2228">
        <v>28071.43</v>
      </c>
      <c r="K2228">
        <v>24037.95</v>
      </c>
      <c r="L2228" s="20">
        <f>tbl_Budget[[#This Row],[Actual]]-tbl_Budget[[#This Row],[Budget]]</f>
        <v>-4033.4799999999996</v>
      </c>
      <c r="M2228" s="3">
        <f>tbl_Budget[[#This Row],[Variance]]/tbl_Budget[[#This Row],[Budget]]</f>
        <v>-0.1436863031202899</v>
      </c>
      <c r="N2228" t="str">
        <f>IF(tbl_Budget[[#This Row],[Variance_%]]&gt;0.05,"Overspend",IF(tbl_Budget[[#This Row],[Variance_%]]&lt;-0.05,"Underspend","On Budget"))</f>
        <v>Underspend</v>
      </c>
    </row>
    <row r="2229" spans="1:14" hidden="1">
      <c r="A2229" s="1">
        <v>45597</v>
      </c>
      <c r="B2229">
        <v>11</v>
      </c>
      <c r="C2229" t="s">
        <v>50</v>
      </c>
      <c r="D2229" t="s">
        <v>64</v>
      </c>
      <c r="E2229">
        <v>2024</v>
      </c>
      <c r="F2229" t="s">
        <v>24</v>
      </c>
      <c r="G2229" t="s">
        <v>20</v>
      </c>
      <c r="H2229" t="s">
        <v>19</v>
      </c>
      <c r="I2229" t="s">
        <v>25</v>
      </c>
      <c r="J2229">
        <v>30230.92</v>
      </c>
      <c r="K2229">
        <v>26377.91</v>
      </c>
      <c r="L2229" s="20">
        <f>tbl_Budget[[#This Row],[Actual]]-tbl_Budget[[#This Row],[Budget]]</f>
        <v>-3853.0099999999984</v>
      </c>
      <c r="M2229" s="3">
        <f>tbl_Budget[[#This Row],[Variance]]/tbl_Budget[[#This Row],[Budget]]</f>
        <v>-0.12745262135588326</v>
      </c>
      <c r="N2229" t="str">
        <f>IF(tbl_Budget[[#This Row],[Variance_%]]&gt;0.05,"Overspend",IF(tbl_Budget[[#This Row],[Variance_%]]&lt;-0.05,"Underspend","On Budget"))</f>
        <v>Underspend</v>
      </c>
    </row>
    <row r="2230" spans="1:14">
      <c r="A2230" s="1">
        <v>45597</v>
      </c>
      <c r="B2230">
        <v>11</v>
      </c>
      <c r="C2230" t="s">
        <v>50</v>
      </c>
      <c r="D2230" t="s">
        <v>64</v>
      </c>
      <c r="E2230">
        <v>2024</v>
      </c>
      <c r="F2230" t="s">
        <v>24</v>
      </c>
      <c r="G2230" t="s">
        <v>21</v>
      </c>
      <c r="H2230" t="s">
        <v>15</v>
      </c>
      <c r="I2230" t="s">
        <v>25</v>
      </c>
      <c r="J2230">
        <v>11437.32</v>
      </c>
      <c r="K2230">
        <v>10169.02</v>
      </c>
      <c r="L2230" s="20">
        <f>tbl_Budget[[#This Row],[Actual]]-tbl_Budget[[#This Row],[Budget]]</f>
        <v>-1268.2999999999993</v>
      </c>
      <c r="M2230" s="3">
        <f>tbl_Budget[[#This Row],[Variance]]/tbl_Budget[[#This Row],[Budget]]</f>
        <v>-0.11089136266188226</v>
      </c>
      <c r="N2230" t="str">
        <f>IF(tbl_Budget[[#This Row],[Variance_%]]&gt;0.05,"Overspend",IF(tbl_Budget[[#This Row],[Variance_%]]&lt;-0.05,"Underspend","On Budget"))</f>
        <v>Underspend</v>
      </c>
    </row>
    <row r="2231" spans="1:14">
      <c r="A2231" s="1">
        <v>45597</v>
      </c>
      <c r="B2231">
        <v>11</v>
      </c>
      <c r="C2231" t="s">
        <v>50</v>
      </c>
      <c r="D2231" t="s">
        <v>64</v>
      </c>
      <c r="E2231">
        <v>2024</v>
      </c>
      <c r="F2231" t="s">
        <v>24</v>
      </c>
      <c r="G2231" t="s">
        <v>21</v>
      </c>
      <c r="H2231" t="s">
        <v>17</v>
      </c>
      <c r="I2231" t="s">
        <v>25</v>
      </c>
      <c r="J2231">
        <v>10923.65</v>
      </c>
      <c r="K2231">
        <v>9571.7099999999991</v>
      </c>
      <c r="L2231" s="20">
        <f>tbl_Budget[[#This Row],[Actual]]-tbl_Budget[[#This Row],[Budget]]</f>
        <v>-1351.9400000000005</v>
      </c>
      <c r="M2231" s="3">
        <f>tbl_Budget[[#This Row],[Variance]]/tbl_Budget[[#This Row],[Budget]]</f>
        <v>-0.12376266174767596</v>
      </c>
      <c r="N2231" t="str">
        <f>IF(tbl_Budget[[#This Row],[Variance_%]]&gt;0.05,"Overspend",IF(tbl_Budget[[#This Row],[Variance_%]]&lt;-0.05,"Underspend","On Budget"))</f>
        <v>Underspend</v>
      </c>
    </row>
    <row r="2232" spans="1:14">
      <c r="A2232" s="1">
        <v>45597</v>
      </c>
      <c r="B2232">
        <v>11</v>
      </c>
      <c r="C2232" t="s">
        <v>50</v>
      </c>
      <c r="D2232" t="s">
        <v>64</v>
      </c>
      <c r="E2232">
        <v>2024</v>
      </c>
      <c r="F2232" t="s">
        <v>24</v>
      </c>
      <c r="G2232" t="s">
        <v>21</v>
      </c>
      <c r="H2232" t="s">
        <v>18</v>
      </c>
      <c r="I2232" t="s">
        <v>25</v>
      </c>
      <c r="J2232">
        <v>10637.26</v>
      </c>
      <c r="K2232">
        <v>9163.9</v>
      </c>
      <c r="L2232" s="20">
        <f>tbl_Budget[[#This Row],[Actual]]-tbl_Budget[[#This Row],[Budget]]</f>
        <v>-1473.3600000000006</v>
      </c>
      <c r="M2232" s="3">
        <f>tbl_Budget[[#This Row],[Variance]]/tbl_Budget[[#This Row],[Budget]]</f>
        <v>-0.13850935297247605</v>
      </c>
      <c r="N2232" t="str">
        <f>IF(tbl_Budget[[#This Row],[Variance_%]]&gt;0.05,"Overspend",IF(tbl_Budget[[#This Row],[Variance_%]]&lt;-0.05,"Underspend","On Budget"))</f>
        <v>Underspend</v>
      </c>
    </row>
    <row r="2233" spans="1:14">
      <c r="A2233" s="1">
        <v>45597</v>
      </c>
      <c r="B2233">
        <v>11</v>
      </c>
      <c r="C2233" t="s">
        <v>50</v>
      </c>
      <c r="D2233" t="s">
        <v>64</v>
      </c>
      <c r="E2233">
        <v>2024</v>
      </c>
      <c r="F2233" t="s">
        <v>24</v>
      </c>
      <c r="G2233" t="s">
        <v>21</v>
      </c>
      <c r="H2233" t="s">
        <v>19</v>
      </c>
      <c r="I2233" t="s">
        <v>25</v>
      </c>
      <c r="J2233">
        <v>11338.58</v>
      </c>
      <c r="K2233">
        <v>9861.2099999999991</v>
      </c>
      <c r="L2233" s="20">
        <f>tbl_Budget[[#This Row],[Actual]]-tbl_Budget[[#This Row],[Budget]]</f>
        <v>-1477.3700000000008</v>
      </c>
      <c r="M2233" s="3">
        <f>tbl_Budget[[#This Row],[Variance]]/tbl_Budget[[#This Row],[Budget]]</f>
        <v>-0.13029585715318856</v>
      </c>
      <c r="N2233" t="str">
        <f>IF(tbl_Budget[[#This Row],[Variance_%]]&gt;0.05,"Overspend",IF(tbl_Budget[[#This Row],[Variance_%]]&lt;-0.05,"Underspend","On Budget"))</f>
        <v>Underspend</v>
      </c>
    </row>
    <row r="2234" spans="1:14" hidden="1">
      <c r="A2234" s="1">
        <v>45597</v>
      </c>
      <c r="B2234">
        <v>11</v>
      </c>
      <c r="C2234" t="s">
        <v>50</v>
      </c>
      <c r="D2234" t="s">
        <v>64</v>
      </c>
      <c r="E2234">
        <v>2024</v>
      </c>
      <c r="F2234" t="s">
        <v>24</v>
      </c>
      <c r="G2234" t="s">
        <v>22</v>
      </c>
      <c r="H2234" t="s">
        <v>15</v>
      </c>
      <c r="I2234" t="s">
        <v>25</v>
      </c>
      <c r="J2234">
        <v>9203.1</v>
      </c>
      <c r="K2234">
        <v>7850.54</v>
      </c>
      <c r="L2234" s="20">
        <f>tbl_Budget[[#This Row],[Actual]]-tbl_Budget[[#This Row],[Budget]]</f>
        <v>-1352.5600000000004</v>
      </c>
      <c r="M2234" s="3">
        <f>tbl_Budget[[#This Row],[Variance]]/tbl_Budget[[#This Row],[Budget]]</f>
        <v>-0.14696786952222624</v>
      </c>
      <c r="N2234" t="str">
        <f>IF(tbl_Budget[[#This Row],[Variance_%]]&gt;0.05,"Overspend",IF(tbl_Budget[[#This Row],[Variance_%]]&lt;-0.05,"Underspend","On Budget"))</f>
        <v>Underspend</v>
      </c>
    </row>
    <row r="2235" spans="1:14" hidden="1">
      <c r="A2235" s="1">
        <v>45597</v>
      </c>
      <c r="B2235">
        <v>11</v>
      </c>
      <c r="C2235" t="s">
        <v>50</v>
      </c>
      <c r="D2235" t="s">
        <v>64</v>
      </c>
      <c r="E2235">
        <v>2024</v>
      </c>
      <c r="F2235" t="s">
        <v>24</v>
      </c>
      <c r="G2235" t="s">
        <v>22</v>
      </c>
      <c r="H2235" t="s">
        <v>17</v>
      </c>
      <c r="I2235" t="s">
        <v>25</v>
      </c>
      <c r="J2235">
        <v>8930.9</v>
      </c>
      <c r="K2235">
        <v>7954.03</v>
      </c>
      <c r="L2235" s="20">
        <f>tbl_Budget[[#This Row],[Actual]]-tbl_Budget[[#This Row],[Budget]]</f>
        <v>-976.86999999999989</v>
      </c>
      <c r="M2235" s="3">
        <f>tbl_Budget[[#This Row],[Variance]]/tbl_Budget[[#This Row],[Budget]]</f>
        <v>-0.10938091345777021</v>
      </c>
      <c r="N2235" t="str">
        <f>IF(tbl_Budget[[#This Row],[Variance_%]]&gt;0.05,"Overspend",IF(tbl_Budget[[#This Row],[Variance_%]]&lt;-0.05,"Underspend","On Budget"))</f>
        <v>Underspend</v>
      </c>
    </row>
    <row r="2236" spans="1:14" hidden="1">
      <c r="A2236" s="1">
        <v>45597</v>
      </c>
      <c r="B2236">
        <v>11</v>
      </c>
      <c r="C2236" t="s">
        <v>50</v>
      </c>
      <c r="D2236" t="s">
        <v>64</v>
      </c>
      <c r="E2236">
        <v>2024</v>
      </c>
      <c r="F2236" t="s">
        <v>24</v>
      </c>
      <c r="G2236" t="s">
        <v>22</v>
      </c>
      <c r="H2236" t="s">
        <v>18</v>
      </c>
      <c r="I2236" t="s">
        <v>25</v>
      </c>
      <c r="J2236">
        <v>8858.31</v>
      </c>
      <c r="K2236">
        <v>7555.58</v>
      </c>
      <c r="L2236" s="20">
        <f>tbl_Budget[[#This Row],[Actual]]-tbl_Budget[[#This Row],[Budget]]</f>
        <v>-1302.7299999999996</v>
      </c>
      <c r="M2236" s="3">
        <f>tbl_Budget[[#This Row],[Variance]]/tbl_Budget[[#This Row],[Budget]]</f>
        <v>-0.14706304024131009</v>
      </c>
      <c r="N2236" t="str">
        <f>IF(tbl_Budget[[#This Row],[Variance_%]]&gt;0.05,"Overspend",IF(tbl_Budget[[#This Row],[Variance_%]]&lt;-0.05,"Underspend","On Budget"))</f>
        <v>Underspend</v>
      </c>
    </row>
    <row r="2237" spans="1:14" hidden="1">
      <c r="A2237" s="1">
        <v>45597</v>
      </c>
      <c r="B2237">
        <v>11</v>
      </c>
      <c r="C2237" t="s">
        <v>50</v>
      </c>
      <c r="D2237" t="s">
        <v>64</v>
      </c>
      <c r="E2237">
        <v>2024</v>
      </c>
      <c r="F2237" t="s">
        <v>24</v>
      </c>
      <c r="G2237" t="s">
        <v>22</v>
      </c>
      <c r="H2237" t="s">
        <v>19</v>
      </c>
      <c r="I2237" t="s">
        <v>25</v>
      </c>
      <c r="J2237">
        <v>9517.34</v>
      </c>
      <c r="K2237">
        <v>8155.36</v>
      </c>
      <c r="L2237" s="20">
        <f>tbl_Budget[[#This Row],[Actual]]-tbl_Budget[[#This Row],[Budget]]</f>
        <v>-1361.9800000000005</v>
      </c>
      <c r="M2237" s="3">
        <f>tbl_Budget[[#This Row],[Variance]]/tbl_Budget[[#This Row],[Budget]]</f>
        <v>-0.14310511130210757</v>
      </c>
      <c r="N2237" t="str">
        <f>IF(tbl_Budget[[#This Row],[Variance_%]]&gt;0.05,"Overspend",IF(tbl_Budget[[#This Row],[Variance_%]]&lt;-0.05,"Underspend","On Budget"))</f>
        <v>Underspend</v>
      </c>
    </row>
    <row r="2238" spans="1:14" hidden="1">
      <c r="A2238" s="1">
        <v>45597</v>
      </c>
      <c r="B2238">
        <v>11</v>
      </c>
      <c r="C2238" t="s">
        <v>50</v>
      </c>
      <c r="D2238" t="s">
        <v>64</v>
      </c>
      <c r="E2238">
        <v>2024</v>
      </c>
      <c r="F2238" t="s">
        <v>24</v>
      </c>
      <c r="G2238" t="s">
        <v>23</v>
      </c>
      <c r="H2238" t="s">
        <v>15</v>
      </c>
      <c r="I2238" t="s">
        <v>25</v>
      </c>
      <c r="J2238">
        <v>7881.7</v>
      </c>
      <c r="K2238">
        <v>6992.07</v>
      </c>
      <c r="L2238" s="20">
        <f>tbl_Budget[[#This Row],[Actual]]-tbl_Budget[[#This Row],[Budget]]</f>
        <v>-889.63000000000011</v>
      </c>
      <c r="M2238" s="3">
        <f>tbl_Budget[[#This Row],[Variance]]/tbl_Budget[[#This Row],[Budget]]</f>
        <v>-0.11287285737848435</v>
      </c>
      <c r="N2238" t="str">
        <f>IF(tbl_Budget[[#This Row],[Variance_%]]&gt;0.05,"Overspend",IF(tbl_Budget[[#This Row],[Variance_%]]&lt;-0.05,"Underspend","On Budget"))</f>
        <v>Underspend</v>
      </c>
    </row>
    <row r="2239" spans="1:14" hidden="1">
      <c r="A2239" s="1">
        <v>45597</v>
      </c>
      <c r="B2239">
        <v>11</v>
      </c>
      <c r="C2239" t="s">
        <v>50</v>
      </c>
      <c r="D2239" t="s">
        <v>64</v>
      </c>
      <c r="E2239">
        <v>2024</v>
      </c>
      <c r="F2239" t="s">
        <v>24</v>
      </c>
      <c r="G2239" t="s">
        <v>23</v>
      </c>
      <c r="H2239" t="s">
        <v>17</v>
      </c>
      <c r="I2239" t="s">
        <v>25</v>
      </c>
      <c r="J2239">
        <v>7498.39</v>
      </c>
      <c r="K2239">
        <v>6531.47</v>
      </c>
      <c r="L2239" s="20">
        <f>tbl_Budget[[#This Row],[Actual]]-tbl_Budget[[#This Row],[Budget]]</f>
        <v>-966.92000000000007</v>
      </c>
      <c r="M2239" s="3">
        <f>tbl_Budget[[#This Row],[Variance]]/tbl_Budget[[#This Row],[Budget]]</f>
        <v>-0.12895034800803906</v>
      </c>
      <c r="N2239" t="str">
        <f>IF(tbl_Budget[[#This Row],[Variance_%]]&gt;0.05,"Overspend",IF(tbl_Budget[[#This Row],[Variance_%]]&lt;-0.05,"Underspend","On Budget"))</f>
        <v>Underspend</v>
      </c>
    </row>
    <row r="2240" spans="1:14" hidden="1">
      <c r="A2240" s="1">
        <v>45597</v>
      </c>
      <c r="B2240">
        <v>11</v>
      </c>
      <c r="C2240" t="s">
        <v>50</v>
      </c>
      <c r="D2240" t="s">
        <v>64</v>
      </c>
      <c r="E2240">
        <v>2024</v>
      </c>
      <c r="F2240" t="s">
        <v>24</v>
      </c>
      <c r="G2240" t="s">
        <v>23</v>
      </c>
      <c r="H2240" t="s">
        <v>18</v>
      </c>
      <c r="I2240" t="s">
        <v>25</v>
      </c>
      <c r="J2240">
        <v>7552.19</v>
      </c>
      <c r="K2240">
        <v>6423.1</v>
      </c>
      <c r="L2240" s="20">
        <f>tbl_Budget[[#This Row],[Actual]]-tbl_Budget[[#This Row],[Budget]]</f>
        <v>-1129.0899999999992</v>
      </c>
      <c r="M2240" s="3">
        <f>tbl_Budget[[#This Row],[Variance]]/tbl_Budget[[#This Row],[Budget]]</f>
        <v>-0.1495049780262413</v>
      </c>
      <c r="N2240" t="str">
        <f>IF(tbl_Budget[[#This Row],[Variance_%]]&gt;0.05,"Overspend",IF(tbl_Budget[[#This Row],[Variance_%]]&lt;-0.05,"Underspend","On Budget"))</f>
        <v>Underspend</v>
      </c>
    </row>
    <row r="2241" spans="1:14" hidden="1">
      <c r="A2241" s="1">
        <v>45597</v>
      </c>
      <c r="B2241">
        <v>11</v>
      </c>
      <c r="C2241" t="s">
        <v>50</v>
      </c>
      <c r="D2241" t="s">
        <v>64</v>
      </c>
      <c r="E2241">
        <v>2024</v>
      </c>
      <c r="F2241" t="s">
        <v>24</v>
      </c>
      <c r="G2241" t="s">
        <v>23</v>
      </c>
      <c r="H2241" t="s">
        <v>19</v>
      </c>
      <c r="I2241" t="s">
        <v>25</v>
      </c>
      <c r="J2241">
        <v>8195.69</v>
      </c>
      <c r="K2241">
        <v>7427.64</v>
      </c>
      <c r="L2241" s="20">
        <f>tbl_Budget[[#This Row],[Actual]]-tbl_Budget[[#This Row],[Budget]]</f>
        <v>-768.05000000000018</v>
      </c>
      <c r="M2241" s="3">
        <f>tbl_Budget[[#This Row],[Variance]]/tbl_Budget[[#This Row],[Budget]]</f>
        <v>-9.3713891081775927E-2</v>
      </c>
      <c r="N2241" t="str">
        <f>IF(tbl_Budget[[#This Row],[Variance_%]]&gt;0.05,"Overspend",IF(tbl_Budget[[#This Row],[Variance_%]]&lt;-0.05,"Underspend","On Budget"))</f>
        <v>Underspend</v>
      </c>
    </row>
    <row r="2242" spans="1:14" hidden="1">
      <c r="A2242" s="1">
        <v>45597</v>
      </c>
      <c r="B2242">
        <v>11</v>
      </c>
      <c r="C2242" t="s">
        <v>50</v>
      </c>
      <c r="D2242" t="s">
        <v>64</v>
      </c>
      <c r="E2242">
        <v>2024</v>
      </c>
      <c r="F2242" t="s">
        <v>26</v>
      </c>
      <c r="G2242" t="s">
        <v>14</v>
      </c>
      <c r="H2242" t="s">
        <v>15</v>
      </c>
      <c r="I2242" t="s">
        <v>27</v>
      </c>
      <c r="J2242">
        <v>46107.58</v>
      </c>
      <c r="K2242">
        <v>47676.33</v>
      </c>
      <c r="L2242" s="20">
        <f>tbl_Budget[[#This Row],[Actual]]-tbl_Budget[[#This Row],[Budget]]</f>
        <v>1568.75</v>
      </c>
      <c r="M2242" s="3">
        <f>tbl_Budget[[#This Row],[Variance]]/tbl_Budget[[#This Row],[Budget]]</f>
        <v>3.4023689814126006E-2</v>
      </c>
      <c r="N2242" t="str">
        <f>IF(tbl_Budget[[#This Row],[Variance_%]]&gt;0.05,"Overspend",IF(tbl_Budget[[#This Row],[Variance_%]]&lt;-0.05,"Underspend","On Budget"))</f>
        <v>On Budget</v>
      </c>
    </row>
    <row r="2243" spans="1:14" hidden="1">
      <c r="A2243" s="1">
        <v>45597</v>
      </c>
      <c r="B2243">
        <v>11</v>
      </c>
      <c r="C2243" t="s">
        <v>50</v>
      </c>
      <c r="D2243" t="s">
        <v>64</v>
      </c>
      <c r="E2243">
        <v>2024</v>
      </c>
      <c r="F2243" t="s">
        <v>26</v>
      </c>
      <c r="G2243" t="s">
        <v>14</v>
      </c>
      <c r="H2243" t="s">
        <v>17</v>
      </c>
      <c r="I2243" t="s">
        <v>27</v>
      </c>
      <c r="J2243">
        <v>42925.7</v>
      </c>
      <c r="K2243">
        <v>42823.42</v>
      </c>
      <c r="L2243" s="20">
        <f>tbl_Budget[[#This Row],[Actual]]-tbl_Budget[[#This Row],[Budget]]</f>
        <v>-102.27999999999884</v>
      </c>
      <c r="M2243" s="3">
        <f>tbl_Budget[[#This Row],[Variance]]/tbl_Budget[[#This Row],[Budget]]</f>
        <v>-2.3827217727375172E-3</v>
      </c>
      <c r="N2243" t="str">
        <f>IF(tbl_Budget[[#This Row],[Variance_%]]&gt;0.05,"Overspend",IF(tbl_Budget[[#This Row],[Variance_%]]&lt;-0.05,"Underspend","On Budget"))</f>
        <v>On Budget</v>
      </c>
    </row>
    <row r="2244" spans="1:14" hidden="1">
      <c r="A2244" s="1">
        <v>45597</v>
      </c>
      <c r="B2244">
        <v>11</v>
      </c>
      <c r="C2244" t="s">
        <v>50</v>
      </c>
      <c r="D2244" t="s">
        <v>64</v>
      </c>
      <c r="E2244">
        <v>2024</v>
      </c>
      <c r="F2244" t="s">
        <v>26</v>
      </c>
      <c r="G2244" t="s">
        <v>14</v>
      </c>
      <c r="H2244" t="s">
        <v>18</v>
      </c>
      <c r="I2244" t="s">
        <v>27</v>
      </c>
      <c r="J2244">
        <v>43489.74</v>
      </c>
      <c r="K2244">
        <v>43016.5</v>
      </c>
      <c r="L2244" s="20">
        <f>tbl_Budget[[#This Row],[Actual]]-tbl_Budget[[#This Row],[Budget]]</f>
        <v>-473.23999999999796</v>
      </c>
      <c r="M2244" s="3">
        <f>tbl_Budget[[#This Row],[Variance]]/tbl_Budget[[#This Row],[Budget]]</f>
        <v>-1.088164702755174E-2</v>
      </c>
      <c r="N2244" t="str">
        <f>IF(tbl_Budget[[#This Row],[Variance_%]]&gt;0.05,"Overspend",IF(tbl_Budget[[#This Row],[Variance_%]]&lt;-0.05,"Underspend","On Budget"))</f>
        <v>On Budget</v>
      </c>
    </row>
    <row r="2245" spans="1:14" hidden="1">
      <c r="A2245" s="1">
        <v>45597</v>
      </c>
      <c r="B2245">
        <v>11</v>
      </c>
      <c r="C2245" t="s">
        <v>50</v>
      </c>
      <c r="D2245" t="s">
        <v>64</v>
      </c>
      <c r="E2245">
        <v>2024</v>
      </c>
      <c r="F2245" t="s">
        <v>26</v>
      </c>
      <c r="G2245" t="s">
        <v>14</v>
      </c>
      <c r="H2245" t="s">
        <v>19</v>
      </c>
      <c r="I2245" t="s">
        <v>27</v>
      </c>
      <c r="J2245">
        <v>48611.99</v>
      </c>
      <c r="K2245">
        <v>49928.3</v>
      </c>
      <c r="L2245" s="20">
        <f>tbl_Budget[[#This Row],[Actual]]-tbl_Budget[[#This Row],[Budget]]</f>
        <v>1316.3100000000049</v>
      </c>
      <c r="M2245" s="3">
        <f>tbl_Budget[[#This Row],[Variance]]/tbl_Budget[[#This Row],[Budget]]</f>
        <v>2.7077887574649896E-2</v>
      </c>
      <c r="N2245" t="str">
        <f>IF(tbl_Budget[[#This Row],[Variance_%]]&gt;0.05,"Overspend",IF(tbl_Budget[[#This Row],[Variance_%]]&lt;-0.05,"Underspend","On Budget"))</f>
        <v>On Budget</v>
      </c>
    </row>
    <row r="2246" spans="1:14" hidden="1">
      <c r="A2246" s="1">
        <v>45597</v>
      </c>
      <c r="B2246">
        <v>11</v>
      </c>
      <c r="C2246" t="s">
        <v>50</v>
      </c>
      <c r="D2246" t="s">
        <v>64</v>
      </c>
      <c r="E2246">
        <v>2024</v>
      </c>
      <c r="F2246" t="s">
        <v>26</v>
      </c>
      <c r="G2246" t="s">
        <v>20</v>
      </c>
      <c r="H2246" t="s">
        <v>15</v>
      </c>
      <c r="I2246" t="s">
        <v>27</v>
      </c>
      <c r="J2246">
        <v>15689.47</v>
      </c>
      <c r="K2246">
        <v>15490.16</v>
      </c>
      <c r="L2246" s="20">
        <f>tbl_Budget[[#This Row],[Actual]]-tbl_Budget[[#This Row],[Budget]]</f>
        <v>-199.30999999999949</v>
      </c>
      <c r="M2246" s="3">
        <f>tbl_Budget[[#This Row],[Variance]]/tbl_Budget[[#This Row],[Budget]]</f>
        <v>-1.270342465360522E-2</v>
      </c>
      <c r="N2246" t="str">
        <f>IF(tbl_Budget[[#This Row],[Variance_%]]&gt;0.05,"Overspend",IF(tbl_Budget[[#This Row],[Variance_%]]&lt;-0.05,"Underspend","On Budget"))</f>
        <v>On Budget</v>
      </c>
    </row>
    <row r="2247" spans="1:14" hidden="1">
      <c r="A2247" s="1">
        <v>45597</v>
      </c>
      <c r="B2247">
        <v>11</v>
      </c>
      <c r="C2247" t="s">
        <v>50</v>
      </c>
      <c r="D2247" t="s">
        <v>64</v>
      </c>
      <c r="E2247">
        <v>2024</v>
      </c>
      <c r="F2247" t="s">
        <v>26</v>
      </c>
      <c r="G2247" t="s">
        <v>20</v>
      </c>
      <c r="H2247" t="s">
        <v>17</v>
      </c>
      <c r="I2247" t="s">
        <v>27</v>
      </c>
      <c r="J2247">
        <v>14598.52</v>
      </c>
      <c r="K2247">
        <v>14315.58</v>
      </c>
      <c r="L2247" s="20">
        <f>tbl_Budget[[#This Row],[Actual]]-tbl_Budget[[#This Row],[Budget]]</f>
        <v>-282.94000000000051</v>
      </c>
      <c r="M2247" s="3">
        <f>tbl_Budget[[#This Row],[Variance]]/tbl_Budget[[#This Row],[Budget]]</f>
        <v>-1.9381416746355143E-2</v>
      </c>
      <c r="N2247" t="str">
        <f>IF(tbl_Budget[[#This Row],[Variance_%]]&gt;0.05,"Overspend",IF(tbl_Budget[[#This Row],[Variance_%]]&lt;-0.05,"Underspend","On Budget"))</f>
        <v>On Budget</v>
      </c>
    </row>
    <row r="2248" spans="1:14" hidden="1">
      <c r="A2248" s="1">
        <v>45597</v>
      </c>
      <c r="B2248">
        <v>11</v>
      </c>
      <c r="C2248" t="s">
        <v>50</v>
      </c>
      <c r="D2248" t="s">
        <v>64</v>
      </c>
      <c r="E2248">
        <v>2024</v>
      </c>
      <c r="F2248" t="s">
        <v>26</v>
      </c>
      <c r="G2248" t="s">
        <v>20</v>
      </c>
      <c r="H2248" t="s">
        <v>18</v>
      </c>
      <c r="I2248" t="s">
        <v>27</v>
      </c>
      <c r="J2248">
        <v>14786.42</v>
      </c>
      <c r="K2248">
        <v>14360.88</v>
      </c>
      <c r="L2248" s="20">
        <f>tbl_Budget[[#This Row],[Actual]]-tbl_Budget[[#This Row],[Budget]]</f>
        <v>-425.54000000000087</v>
      </c>
      <c r="M2248" s="3">
        <f>tbl_Budget[[#This Row],[Variance]]/tbl_Budget[[#This Row],[Budget]]</f>
        <v>-2.8779109480185257E-2</v>
      </c>
      <c r="N2248" t="str">
        <f>IF(tbl_Budget[[#This Row],[Variance_%]]&gt;0.05,"Overspend",IF(tbl_Budget[[#This Row],[Variance_%]]&lt;-0.05,"Underspend","On Budget"))</f>
        <v>On Budget</v>
      </c>
    </row>
    <row r="2249" spans="1:14" hidden="1">
      <c r="A2249" s="1">
        <v>45597</v>
      </c>
      <c r="B2249">
        <v>11</v>
      </c>
      <c r="C2249" t="s">
        <v>50</v>
      </c>
      <c r="D2249" t="s">
        <v>64</v>
      </c>
      <c r="E2249">
        <v>2024</v>
      </c>
      <c r="F2249" t="s">
        <v>26</v>
      </c>
      <c r="G2249" t="s">
        <v>20</v>
      </c>
      <c r="H2249" t="s">
        <v>19</v>
      </c>
      <c r="I2249" t="s">
        <v>27</v>
      </c>
      <c r="J2249">
        <v>16488.580000000002</v>
      </c>
      <c r="K2249">
        <v>16021.88</v>
      </c>
      <c r="L2249" s="20">
        <f>tbl_Budget[[#This Row],[Actual]]-tbl_Budget[[#This Row],[Budget]]</f>
        <v>-466.70000000000255</v>
      </c>
      <c r="M2249" s="3">
        <f>tbl_Budget[[#This Row],[Variance]]/tbl_Budget[[#This Row],[Budget]]</f>
        <v>-2.8304438587192015E-2</v>
      </c>
      <c r="N2249" t="str">
        <f>IF(tbl_Budget[[#This Row],[Variance_%]]&gt;0.05,"Overspend",IF(tbl_Budget[[#This Row],[Variance_%]]&lt;-0.05,"Underspend","On Budget"))</f>
        <v>On Budget</v>
      </c>
    </row>
    <row r="2250" spans="1:14">
      <c r="A2250" s="1">
        <v>45597</v>
      </c>
      <c r="B2250">
        <v>11</v>
      </c>
      <c r="C2250" t="s">
        <v>50</v>
      </c>
      <c r="D2250" t="s">
        <v>64</v>
      </c>
      <c r="E2250">
        <v>2024</v>
      </c>
      <c r="F2250" t="s">
        <v>26</v>
      </c>
      <c r="G2250" t="s">
        <v>21</v>
      </c>
      <c r="H2250" t="s">
        <v>15</v>
      </c>
      <c r="I2250" t="s">
        <v>27</v>
      </c>
      <c r="J2250">
        <v>8730.7900000000009</v>
      </c>
      <c r="K2250">
        <v>8657.6200000000008</v>
      </c>
      <c r="L2250" s="20">
        <f>tbl_Budget[[#This Row],[Actual]]-tbl_Budget[[#This Row],[Budget]]</f>
        <v>-73.170000000000073</v>
      </c>
      <c r="M2250" s="3">
        <f>tbl_Budget[[#This Row],[Variance]]/tbl_Budget[[#This Row],[Budget]]</f>
        <v>-8.3806849093839234E-3</v>
      </c>
      <c r="N2250" t="str">
        <f>IF(tbl_Budget[[#This Row],[Variance_%]]&gt;0.05,"Overspend",IF(tbl_Budget[[#This Row],[Variance_%]]&lt;-0.05,"Underspend","On Budget"))</f>
        <v>On Budget</v>
      </c>
    </row>
    <row r="2251" spans="1:14">
      <c r="A2251" s="1">
        <v>45597</v>
      </c>
      <c r="B2251">
        <v>11</v>
      </c>
      <c r="C2251" t="s">
        <v>50</v>
      </c>
      <c r="D2251" t="s">
        <v>64</v>
      </c>
      <c r="E2251">
        <v>2024</v>
      </c>
      <c r="F2251" t="s">
        <v>26</v>
      </c>
      <c r="G2251" t="s">
        <v>21</v>
      </c>
      <c r="H2251" t="s">
        <v>17</v>
      </c>
      <c r="I2251" t="s">
        <v>27</v>
      </c>
      <c r="J2251">
        <v>8065.63</v>
      </c>
      <c r="K2251">
        <v>8147.86</v>
      </c>
      <c r="L2251" s="20">
        <f>tbl_Budget[[#This Row],[Actual]]-tbl_Budget[[#This Row],[Budget]]</f>
        <v>82.229999999999563</v>
      </c>
      <c r="M2251" s="3">
        <f>tbl_Budget[[#This Row],[Variance]]/tbl_Budget[[#This Row],[Budget]]</f>
        <v>1.0195111851151064E-2</v>
      </c>
      <c r="N2251" t="str">
        <f>IF(tbl_Budget[[#This Row],[Variance_%]]&gt;0.05,"Overspend",IF(tbl_Budget[[#This Row],[Variance_%]]&lt;-0.05,"Underspend","On Budget"))</f>
        <v>On Budget</v>
      </c>
    </row>
    <row r="2252" spans="1:14">
      <c r="A2252" s="1">
        <v>45597</v>
      </c>
      <c r="B2252">
        <v>11</v>
      </c>
      <c r="C2252" t="s">
        <v>50</v>
      </c>
      <c r="D2252" t="s">
        <v>64</v>
      </c>
      <c r="E2252">
        <v>2024</v>
      </c>
      <c r="F2252" t="s">
        <v>26</v>
      </c>
      <c r="G2252" t="s">
        <v>21</v>
      </c>
      <c r="H2252" t="s">
        <v>18</v>
      </c>
      <c r="I2252" t="s">
        <v>27</v>
      </c>
      <c r="J2252">
        <v>8553.93</v>
      </c>
      <c r="K2252">
        <v>8577.7800000000007</v>
      </c>
      <c r="L2252" s="20">
        <f>tbl_Budget[[#This Row],[Actual]]-tbl_Budget[[#This Row],[Budget]]</f>
        <v>23.850000000000364</v>
      </c>
      <c r="M2252" s="3">
        <f>tbl_Budget[[#This Row],[Variance]]/tbl_Budget[[#This Row],[Budget]]</f>
        <v>2.7881920941602704E-3</v>
      </c>
      <c r="N2252" t="str">
        <f>IF(tbl_Budget[[#This Row],[Variance_%]]&gt;0.05,"Overspend",IF(tbl_Budget[[#This Row],[Variance_%]]&lt;-0.05,"Underspend","On Budget"))</f>
        <v>On Budget</v>
      </c>
    </row>
    <row r="2253" spans="1:14">
      <c r="A2253" s="1">
        <v>45597</v>
      </c>
      <c r="B2253">
        <v>11</v>
      </c>
      <c r="C2253" t="s">
        <v>50</v>
      </c>
      <c r="D2253" t="s">
        <v>64</v>
      </c>
      <c r="E2253">
        <v>2024</v>
      </c>
      <c r="F2253" t="s">
        <v>26</v>
      </c>
      <c r="G2253" t="s">
        <v>21</v>
      </c>
      <c r="H2253" t="s">
        <v>19</v>
      </c>
      <c r="I2253" t="s">
        <v>27</v>
      </c>
      <c r="J2253">
        <v>8972.98</v>
      </c>
      <c r="K2253">
        <v>8825.7099999999991</v>
      </c>
      <c r="L2253" s="20">
        <f>tbl_Budget[[#This Row],[Actual]]-tbl_Budget[[#This Row],[Budget]]</f>
        <v>-147.27000000000044</v>
      </c>
      <c r="M2253" s="3">
        <f>tbl_Budget[[#This Row],[Variance]]/tbl_Budget[[#This Row],[Budget]]</f>
        <v>-1.6412607628680822E-2</v>
      </c>
      <c r="N2253" t="str">
        <f>IF(tbl_Budget[[#This Row],[Variance_%]]&gt;0.05,"Overspend",IF(tbl_Budget[[#This Row],[Variance_%]]&lt;-0.05,"Underspend","On Budget"))</f>
        <v>On Budget</v>
      </c>
    </row>
    <row r="2254" spans="1:14" hidden="1">
      <c r="A2254" s="1">
        <v>45597</v>
      </c>
      <c r="B2254">
        <v>11</v>
      </c>
      <c r="C2254" t="s">
        <v>50</v>
      </c>
      <c r="D2254" t="s">
        <v>64</v>
      </c>
      <c r="E2254">
        <v>2024</v>
      </c>
      <c r="F2254" t="s">
        <v>26</v>
      </c>
      <c r="G2254" t="s">
        <v>22</v>
      </c>
      <c r="H2254" t="s">
        <v>15</v>
      </c>
      <c r="I2254" t="s">
        <v>27</v>
      </c>
      <c r="J2254">
        <v>6915.58</v>
      </c>
      <c r="K2254">
        <v>6868.66</v>
      </c>
      <c r="L2254" s="20">
        <f>tbl_Budget[[#This Row],[Actual]]-tbl_Budget[[#This Row],[Budget]]</f>
        <v>-46.920000000000073</v>
      </c>
      <c r="M2254" s="3">
        <f>tbl_Budget[[#This Row],[Variance]]/tbl_Budget[[#This Row],[Budget]]</f>
        <v>-6.7846803883405398E-3</v>
      </c>
      <c r="N2254" t="str">
        <f>IF(tbl_Budget[[#This Row],[Variance_%]]&gt;0.05,"Overspend",IF(tbl_Budget[[#This Row],[Variance_%]]&lt;-0.05,"Underspend","On Budget"))</f>
        <v>On Budget</v>
      </c>
    </row>
    <row r="2255" spans="1:14" hidden="1">
      <c r="A2255" s="1">
        <v>45597</v>
      </c>
      <c r="B2255">
        <v>11</v>
      </c>
      <c r="C2255" t="s">
        <v>50</v>
      </c>
      <c r="D2255" t="s">
        <v>64</v>
      </c>
      <c r="E2255">
        <v>2024</v>
      </c>
      <c r="F2255" t="s">
        <v>26</v>
      </c>
      <c r="G2255" t="s">
        <v>22</v>
      </c>
      <c r="H2255" t="s">
        <v>17</v>
      </c>
      <c r="I2255" t="s">
        <v>27</v>
      </c>
      <c r="J2255">
        <v>6613.46</v>
      </c>
      <c r="K2255">
        <v>6459.61</v>
      </c>
      <c r="L2255" s="20">
        <f>tbl_Budget[[#This Row],[Actual]]-tbl_Budget[[#This Row],[Budget]]</f>
        <v>-153.85000000000036</v>
      </c>
      <c r="M2255" s="3">
        <f>tbl_Budget[[#This Row],[Variance]]/tbl_Budget[[#This Row],[Budget]]</f>
        <v>-2.3263163306348016E-2</v>
      </c>
      <c r="N2255" t="str">
        <f>IF(tbl_Budget[[#This Row],[Variance_%]]&gt;0.05,"Overspend",IF(tbl_Budget[[#This Row],[Variance_%]]&lt;-0.05,"Underspend","On Budget"))</f>
        <v>On Budget</v>
      </c>
    </row>
    <row r="2256" spans="1:14" hidden="1">
      <c r="A2256" s="1">
        <v>45597</v>
      </c>
      <c r="B2256">
        <v>11</v>
      </c>
      <c r="C2256" t="s">
        <v>50</v>
      </c>
      <c r="D2256" t="s">
        <v>64</v>
      </c>
      <c r="E2256">
        <v>2024</v>
      </c>
      <c r="F2256" t="s">
        <v>26</v>
      </c>
      <c r="G2256" t="s">
        <v>22</v>
      </c>
      <c r="H2256" t="s">
        <v>18</v>
      </c>
      <c r="I2256" t="s">
        <v>27</v>
      </c>
      <c r="J2256">
        <v>6868.29</v>
      </c>
      <c r="K2256">
        <v>7053.83</v>
      </c>
      <c r="L2256" s="20">
        <f>tbl_Budget[[#This Row],[Actual]]-tbl_Budget[[#This Row],[Budget]]</f>
        <v>185.53999999999996</v>
      </c>
      <c r="M2256" s="3">
        <f>tbl_Budget[[#This Row],[Variance]]/tbl_Budget[[#This Row],[Budget]]</f>
        <v>2.7014002029617266E-2</v>
      </c>
      <c r="N2256" t="str">
        <f>IF(tbl_Budget[[#This Row],[Variance_%]]&gt;0.05,"Overspend",IF(tbl_Budget[[#This Row],[Variance_%]]&lt;-0.05,"Underspend","On Budget"))</f>
        <v>On Budget</v>
      </c>
    </row>
    <row r="2257" spans="1:14" hidden="1">
      <c r="A2257" s="1">
        <v>45597</v>
      </c>
      <c r="B2257">
        <v>11</v>
      </c>
      <c r="C2257" t="s">
        <v>50</v>
      </c>
      <c r="D2257" t="s">
        <v>64</v>
      </c>
      <c r="E2257">
        <v>2024</v>
      </c>
      <c r="F2257" t="s">
        <v>26</v>
      </c>
      <c r="G2257" t="s">
        <v>22</v>
      </c>
      <c r="H2257" t="s">
        <v>19</v>
      </c>
      <c r="I2257" t="s">
        <v>27</v>
      </c>
      <c r="J2257">
        <v>7597.19</v>
      </c>
      <c r="K2257">
        <v>7527.62</v>
      </c>
      <c r="L2257" s="20">
        <f>tbl_Budget[[#This Row],[Actual]]-tbl_Budget[[#This Row],[Budget]]</f>
        <v>-69.569999999999709</v>
      </c>
      <c r="M2257" s="3">
        <f>tbl_Budget[[#This Row],[Variance]]/tbl_Budget[[#This Row],[Budget]]</f>
        <v>-9.1573331718700877E-3</v>
      </c>
      <c r="N2257" t="str">
        <f>IF(tbl_Budget[[#This Row],[Variance_%]]&gt;0.05,"Overspend",IF(tbl_Budget[[#This Row],[Variance_%]]&lt;-0.05,"Underspend","On Budget"))</f>
        <v>On Budget</v>
      </c>
    </row>
    <row r="2258" spans="1:14" hidden="1">
      <c r="A2258" s="1">
        <v>45597</v>
      </c>
      <c r="B2258">
        <v>11</v>
      </c>
      <c r="C2258" t="s">
        <v>50</v>
      </c>
      <c r="D2258" t="s">
        <v>64</v>
      </c>
      <c r="E2258">
        <v>2024</v>
      </c>
      <c r="F2258" t="s">
        <v>26</v>
      </c>
      <c r="G2258" t="s">
        <v>23</v>
      </c>
      <c r="H2258" t="s">
        <v>15</v>
      </c>
      <c r="I2258" t="s">
        <v>27</v>
      </c>
      <c r="J2258">
        <v>6140.9</v>
      </c>
      <c r="K2258">
        <v>6203.27</v>
      </c>
      <c r="L2258" s="20">
        <f>tbl_Budget[[#This Row],[Actual]]-tbl_Budget[[#This Row],[Budget]]</f>
        <v>62.3700000000008</v>
      </c>
      <c r="M2258" s="3">
        <f>tbl_Budget[[#This Row],[Variance]]/tbl_Budget[[#This Row],[Budget]]</f>
        <v>1.0156491719454933E-2</v>
      </c>
      <c r="N2258" t="str">
        <f>IF(tbl_Budget[[#This Row],[Variance_%]]&gt;0.05,"Overspend",IF(tbl_Budget[[#This Row],[Variance_%]]&lt;-0.05,"Underspend","On Budget"))</f>
        <v>On Budget</v>
      </c>
    </row>
    <row r="2259" spans="1:14" hidden="1">
      <c r="A2259" s="1">
        <v>45597</v>
      </c>
      <c r="B2259">
        <v>11</v>
      </c>
      <c r="C2259" t="s">
        <v>50</v>
      </c>
      <c r="D2259" t="s">
        <v>64</v>
      </c>
      <c r="E2259">
        <v>2024</v>
      </c>
      <c r="F2259" t="s">
        <v>26</v>
      </c>
      <c r="G2259" t="s">
        <v>23</v>
      </c>
      <c r="H2259" t="s">
        <v>17</v>
      </c>
      <c r="I2259" t="s">
        <v>27</v>
      </c>
      <c r="J2259">
        <v>5742.89</v>
      </c>
      <c r="K2259">
        <v>5560.13</v>
      </c>
      <c r="L2259" s="20">
        <f>tbl_Budget[[#This Row],[Actual]]-tbl_Budget[[#This Row],[Budget]]</f>
        <v>-182.76000000000022</v>
      </c>
      <c r="M2259" s="3">
        <f>tbl_Budget[[#This Row],[Variance]]/tbl_Budget[[#This Row],[Budget]]</f>
        <v>-3.1823698521127902E-2</v>
      </c>
      <c r="N2259" t="str">
        <f>IF(tbl_Budget[[#This Row],[Variance_%]]&gt;0.05,"Overspend",IF(tbl_Budget[[#This Row],[Variance_%]]&lt;-0.05,"Underspend","On Budget"))</f>
        <v>On Budget</v>
      </c>
    </row>
    <row r="2260" spans="1:14" hidden="1">
      <c r="A2260" s="1">
        <v>45597</v>
      </c>
      <c r="B2260">
        <v>11</v>
      </c>
      <c r="C2260" t="s">
        <v>50</v>
      </c>
      <c r="D2260" t="s">
        <v>64</v>
      </c>
      <c r="E2260">
        <v>2024</v>
      </c>
      <c r="F2260" t="s">
        <v>26</v>
      </c>
      <c r="G2260" t="s">
        <v>23</v>
      </c>
      <c r="H2260" t="s">
        <v>18</v>
      </c>
      <c r="I2260" t="s">
        <v>27</v>
      </c>
      <c r="J2260">
        <v>5800.61</v>
      </c>
      <c r="K2260">
        <v>5718.05</v>
      </c>
      <c r="L2260" s="20">
        <f>tbl_Budget[[#This Row],[Actual]]-tbl_Budget[[#This Row],[Budget]]</f>
        <v>-82.559999999999491</v>
      </c>
      <c r="M2260" s="3">
        <f>tbl_Budget[[#This Row],[Variance]]/tbl_Budget[[#This Row],[Budget]]</f>
        <v>-1.4232985841144206E-2</v>
      </c>
      <c r="N2260" t="str">
        <f>IF(tbl_Budget[[#This Row],[Variance_%]]&gt;0.05,"Overspend",IF(tbl_Budget[[#This Row],[Variance_%]]&lt;-0.05,"Underspend","On Budget"))</f>
        <v>On Budget</v>
      </c>
    </row>
    <row r="2261" spans="1:14" hidden="1">
      <c r="A2261" s="1">
        <v>45597</v>
      </c>
      <c r="B2261">
        <v>11</v>
      </c>
      <c r="C2261" t="s">
        <v>50</v>
      </c>
      <c r="D2261" t="s">
        <v>64</v>
      </c>
      <c r="E2261">
        <v>2024</v>
      </c>
      <c r="F2261" t="s">
        <v>26</v>
      </c>
      <c r="G2261" t="s">
        <v>23</v>
      </c>
      <c r="H2261" t="s">
        <v>19</v>
      </c>
      <c r="I2261" t="s">
        <v>27</v>
      </c>
      <c r="J2261">
        <v>6153.2</v>
      </c>
      <c r="K2261">
        <v>6246.21</v>
      </c>
      <c r="L2261" s="20">
        <f>tbl_Budget[[#This Row],[Actual]]-tbl_Budget[[#This Row],[Budget]]</f>
        <v>93.010000000000218</v>
      </c>
      <c r="M2261" s="3">
        <f>tbl_Budget[[#This Row],[Variance]]/tbl_Budget[[#This Row],[Budget]]</f>
        <v>1.5115712149775763E-2</v>
      </c>
      <c r="N2261" t="str">
        <f>IF(tbl_Budget[[#This Row],[Variance_%]]&gt;0.05,"Overspend",IF(tbl_Budget[[#This Row],[Variance_%]]&lt;-0.05,"Underspend","On Budget"))</f>
        <v>On Budget</v>
      </c>
    </row>
    <row r="2262" spans="1:14" hidden="1">
      <c r="A2262" s="1">
        <v>45597</v>
      </c>
      <c r="B2262">
        <v>11</v>
      </c>
      <c r="C2262" t="s">
        <v>50</v>
      </c>
      <c r="D2262" t="s">
        <v>64</v>
      </c>
      <c r="E2262">
        <v>2024</v>
      </c>
      <c r="F2262" t="s">
        <v>28</v>
      </c>
      <c r="G2262" t="s">
        <v>14</v>
      </c>
      <c r="H2262" t="s">
        <v>15</v>
      </c>
      <c r="I2262" t="s">
        <v>29</v>
      </c>
      <c r="J2262">
        <v>54799.89</v>
      </c>
      <c r="K2262">
        <v>56591.81</v>
      </c>
      <c r="L2262" s="20">
        <f>tbl_Budget[[#This Row],[Actual]]-tbl_Budget[[#This Row],[Budget]]</f>
        <v>1791.9199999999983</v>
      </c>
      <c r="M2262" s="3">
        <f>tbl_Budget[[#This Row],[Variance]]/tbl_Budget[[#This Row],[Budget]]</f>
        <v>3.2699335710345376E-2</v>
      </c>
      <c r="N2262" t="str">
        <f>IF(tbl_Budget[[#This Row],[Variance_%]]&gt;0.05,"Overspend",IF(tbl_Budget[[#This Row],[Variance_%]]&lt;-0.05,"Underspend","On Budget"))</f>
        <v>On Budget</v>
      </c>
    </row>
    <row r="2263" spans="1:14" hidden="1">
      <c r="A2263" s="1">
        <v>45597</v>
      </c>
      <c r="B2263">
        <v>11</v>
      </c>
      <c r="C2263" t="s">
        <v>50</v>
      </c>
      <c r="D2263" t="s">
        <v>64</v>
      </c>
      <c r="E2263">
        <v>2024</v>
      </c>
      <c r="F2263" t="s">
        <v>28</v>
      </c>
      <c r="G2263" t="s">
        <v>14</v>
      </c>
      <c r="H2263" t="s">
        <v>17</v>
      </c>
      <c r="I2263" t="s">
        <v>29</v>
      </c>
      <c r="J2263">
        <v>52004.41</v>
      </c>
      <c r="K2263">
        <v>53006.65</v>
      </c>
      <c r="L2263" s="20">
        <f>tbl_Budget[[#This Row],[Actual]]-tbl_Budget[[#This Row],[Budget]]</f>
        <v>1002.239999999998</v>
      </c>
      <c r="M2263" s="3">
        <f>tbl_Budget[[#This Row],[Variance]]/tbl_Budget[[#This Row],[Budget]]</f>
        <v>1.92722117220443E-2</v>
      </c>
      <c r="N2263" t="str">
        <f>IF(tbl_Budget[[#This Row],[Variance_%]]&gt;0.05,"Overspend",IF(tbl_Budget[[#This Row],[Variance_%]]&lt;-0.05,"Underspend","On Budget"))</f>
        <v>On Budget</v>
      </c>
    </row>
    <row r="2264" spans="1:14" hidden="1">
      <c r="A2264" s="1">
        <v>45597</v>
      </c>
      <c r="B2264">
        <v>11</v>
      </c>
      <c r="C2264" t="s">
        <v>50</v>
      </c>
      <c r="D2264" t="s">
        <v>64</v>
      </c>
      <c r="E2264">
        <v>2024</v>
      </c>
      <c r="F2264" t="s">
        <v>28</v>
      </c>
      <c r="G2264" t="s">
        <v>14</v>
      </c>
      <c r="H2264" t="s">
        <v>18</v>
      </c>
      <c r="I2264" t="s">
        <v>29</v>
      </c>
      <c r="J2264">
        <v>54444.160000000003</v>
      </c>
      <c r="K2264">
        <v>61500.54</v>
      </c>
      <c r="L2264" s="20">
        <f>tbl_Budget[[#This Row],[Actual]]-tbl_Budget[[#This Row],[Budget]]</f>
        <v>7056.3799999999974</v>
      </c>
      <c r="M2264" s="3">
        <f>tbl_Budget[[#This Row],[Variance]]/tbl_Budget[[#This Row],[Budget]]</f>
        <v>0.12960765672571672</v>
      </c>
      <c r="N2264" t="str">
        <f>IF(tbl_Budget[[#This Row],[Variance_%]]&gt;0.05,"Overspend",IF(tbl_Budget[[#This Row],[Variance_%]]&lt;-0.05,"Underspend","On Budget"))</f>
        <v>Overspend</v>
      </c>
    </row>
    <row r="2265" spans="1:14" hidden="1">
      <c r="A2265" s="1">
        <v>45597</v>
      </c>
      <c r="B2265">
        <v>11</v>
      </c>
      <c r="C2265" t="s">
        <v>50</v>
      </c>
      <c r="D2265" t="s">
        <v>64</v>
      </c>
      <c r="E2265">
        <v>2024</v>
      </c>
      <c r="F2265" t="s">
        <v>28</v>
      </c>
      <c r="G2265" t="s">
        <v>14</v>
      </c>
      <c r="H2265" t="s">
        <v>19</v>
      </c>
      <c r="I2265" t="s">
        <v>29</v>
      </c>
      <c r="J2265">
        <v>56963.43</v>
      </c>
      <c r="K2265">
        <v>62735.45</v>
      </c>
      <c r="L2265" s="20">
        <f>tbl_Budget[[#This Row],[Actual]]-tbl_Budget[[#This Row],[Budget]]</f>
        <v>5772.0199999999968</v>
      </c>
      <c r="M2265" s="3">
        <f>tbl_Budget[[#This Row],[Variance]]/tbl_Budget[[#This Row],[Budget]]</f>
        <v>0.10132851901649878</v>
      </c>
      <c r="N2265" t="str">
        <f>IF(tbl_Budget[[#This Row],[Variance_%]]&gt;0.05,"Overspend",IF(tbl_Budget[[#This Row],[Variance_%]]&lt;-0.05,"Underspend","On Budget"))</f>
        <v>Overspend</v>
      </c>
    </row>
    <row r="2266" spans="1:14" hidden="1">
      <c r="A2266" s="1">
        <v>45597</v>
      </c>
      <c r="B2266">
        <v>11</v>
      </c>
      <c r="C2266" t="s">
        <v>50</v>
      </c>
      <c r="D2266" t="s">
        <v>64</v>
      </c>
      <c r="E2266">
        <v>2024</v>
      </c>
      <c r="F2266" t="s">
        <v>28</v>
      </c>
      <c r="G2266" t="s">
        <v>20</v>
      </c>
      <c r="H2266" t="s">
        <v>15</v>
      </c>
      <c r="I2266" t="s">
        <v>29</v>
      </c>
      <c r="J2266">
        <v>21263.38</v>
      </c>
      <c r="K2266">
        <v>23437.3</v>
      </c>
      <c r="L2266" s="20">
        <f>tbl_Budget[[#This Row],[Actual]]-tbl_Budget[[#This Row],[Budget]]</f>
        <v>2173.9199999999983</v>
      </c>
      <c r="M2266" s="3">
        <f>tbl_Budget[[#This Row],[Variance]]/tbl_Budget[[#This Row],[Budget]]</f>
        <v>0.10223774395227843</v>
      </c>
      <c r="N2266" t="str">
        <f>IF(tbl_Budget[[#This Row],[Variance_%]]&gt;0.05,"Overspend",IF(tbl_Budget[[#This Row],[Variance_%]]&lt;-0.05,"Underspend","On Budget"))</f>
        <v>Overspend</v>
      </c>
    </row>
    <row r="2267" spans="1:14" hidden="1">
      <c r="A2267" s="1">
        <v>45597</v>
      </c>
      <c r="B2267">
        <v>11</v>
      </c>
      <c r="C2267" t="s">
        <v>50</v>
      </c>
      <c r="D2267" t="s">
        <v>64</v>
      </c>
      <c r="E2267">
        <v>2024</v>
      </c>
      <c r="F2267" t="s">
        <v>28</v>
      </c>
      <c r="G2267" t="s">
        <v>20</v>
      </c>
      <c r="H2267" t="s">
        <v>17</v>
      </c>
      <c r="I2267" t="s">
        <v>29</v>
      </c>
      <c r="J2267">
        <v>20494.55</v>
      </c>
      <c r="K2267">
        <v>19977.39</v>
      </c>
      <c r="L2267" s="20">
        <f>tbl_Budget[[#This Row],[Actual]]-tbl_Budget[[#This Row],[Budget]]</f>
        <v>-517.15999999999985</v>
      </c>
      <c r="M2267" s="3">
        <f>tbl_Budget[[#This Row],[Variance]]/tbl_Budget[[#This Row],[Budget]]</f>
        <v>-2.5234025631204388E-2</v>
      </c>
      <c r="N2267" t="str">
        <f>IF(tbl_Budget[[#This Row],[Variance_%]]&gt;0.05,"Overspend",IF(tbl_Budget[[#This Row],[Variance_%]]&lt;-0.05,"Underspend","On Budget"))</f>
        <v>On Budget</v>
      </c>
    </row>
    <row r="2268" spans="1:14" hidden="1">
      <c r="A2268" s="1">
        <v>45597</v>
      </c>
      <c r="B2268">
        <v>11</v>
      </c>
      <c r="C2268" t="s">
        <v>50</v>
      </c>
      <c r="D2268" t="s">
        <v>64</v>
      </c>
      <c r="E2268">
        <v>2024</v>
      </c>
      <c r="F2268" t="s">
        <v>28</v>
      </c>
      <c r="G2268" t="s">
        <v>20</v>
      </c>
      <c r="H2268" t="s">
        <v>18</v>
      </c>
      <c r="I2268" t="s">
        <v>29</v>
      </c>
      <c r="J2268">
        <v>20170.29</v>
      </c>
      <c r="K2268">
        <v>21290.51</v>
      </c>
      <c r="L2268" s="20">
        <f>tbl_Budget[[#This Row],[Actual]]-tbl_Budget[[#This Row],[Budget]]</f>
        <v>1120.2199999999975</v>
      </c>
      <c r="M2268" s="3">
        <f>tbl_Budget[[#This Row],[Variance]]/tbl_Budget[[#This Row],[Budget]]</f>
        <v>5.5538120671542027E-2</v>
      </c>
      <c r="N2268" t="str">
        <f>IF(tbl_Budget[[#This Row],[Variance_%]]&gt;0.05,"Overspend",IF(tbl_Budget[[#This Row],[Variance_%]]&lt;-0.05,"Underspend","On Budget"))</f>
        <v>Overspend</v>
      </c>
    </row>
    <row r="2269" spans="1:14" hidden="1">
      <c r="A2269" s="1">
        <v>45597</v>
      </c>
      <c r="B2269">
        <v>11</v>
      </c>
      <c r="C2269" t="s">
        <v>50</v>
      </c>
      <c r="D2269" t="s">
        <v>64</v>
      </c>
      <c r="E2269">
        <v>2024</v>
      </c>
      <c r="F2269" t="s">
        <v>28</v>
      </c>
      <c r="G2269" t="s">
        <v>20</v>
      </c>
      <c r="H2269" t="s">
        <v>19</v>
      </c>
      <c r="I2269" t="s">
        <v>29</v>
      </c>
      <c r="J2269">
        <v>22252.38</v>
      </c>
      <c r="K2269">
        <v>22132.51</v>
      </c>
      <c r="L2269" s="20">
        <f>tbl_Budget[[#This Row],[Actual]]-tbl_Budget[[#This Row],[Budget]]</f>
        <v>-119.87000000000262</v>
      </c>
      <c r="M2269" s="3">
        <f>tbl_Budget[[#This Row],[Variance]]/tbl_Budget[[#This Row],[Budget]]</f>
        <v>-5.3868395200874072E-3</v>
      </c>
      <c r="N2269" t="str">
        <f>IF(tbl_Budget[[#This Row],[Variance_%]]&gt;0.05,"Overspend",IF(tbl_Budget[[#This Row],[Variance_%]]&lt;-0.05,"Underspend","On Budget"))</f>
        <v>On Budget</v>
      </c>
    </row>
    <row r="2270" spans="1:14">
      <c r="A2270" s="1">
        <v>45597</v>
      </c>
      <c r="B2270">
        <v>11</v>
      </c>
      <c r="C2270" t="s">
        <v>50</v>
      </c>
      <c r="D2270" t="s">
        <v>64</v>
      </c>
      <c r="E2270">
        <v>2024</v>
      </c>
      <c r="F2270" t="s">
        <v>28</v>
      </c>
      <c r="G2270" t="s">
        <v>21</v>
      </c>
      <c r="H2270" t="s">
        <v>15</v>
      </c>
      <c r="I2270" t="s">
        <v>29</v>
      </c>
      <c r="J2270">
        <v>11724.21</v>
      </c>
      <c r="K2270">
        <v>10665.67</v>
      </c>
      <c r="L2270" s="20">
        <f>tbl_Budget[[#This Row],[Actual]]-tbl_Budget[[#This Row],[Budget]]</f>
        <v>-1058.5399999999991</v>
      </c>
      <c r="M2270" s="3">
        <f>tbl_Budget[[#This Row],[Variance]]/tbl_Budget[[#This Row],[Budget]]</f>
        <v>-9.0286680296582808E-2</v>
      </c>
      <c r="N2270" t="str">
        <f>IF(tbl_Budget[[#This Row],[Variance_%]]&gt;0.05,"Overspend",IF(tbl_Budget[[#This Row],[Variance_%]]&lt;-0.05,"Underspend","On Budget"))</f>
        <v>Underspend</v>
      </c>
    </row>
    <row r="2271" spans="1:14">
      <c r="A2271" s="1">
        <v>45597</v>
      </c>
      <c r="B2271">
        <v>11</v>
      </c>
      <c r="C2271" t="s">
        <v>50</v>
      </c>
      <c r="D2271" t="s">
        <v>64</v>
      </c>
      <c r="E2271">
        <v>2024</v>
      </c>
      <c r="F2271" t="s">
        <v>28</v>
      </c>
      <c r="G2271" t="s">
        <v>21</v>
      </c>
      <c r="H2271" t="s">
        <v>17</v>
      </c>
      <c r="I2271" t="s">
        <v>29</v>
      </c>
      <c r="J2271">
        <v>11546.03</v>
      </c>
      <c r="K2271">
        <v>11176.27</v>
      </c>
      <c r="L2271" s="20">
        <f>tbl_Budget[[#This Row],[Actual]]-tbl_Budget[[#This Row],[Budget]]</f>
        <v>-369.76000000000022</v>
      </c>
      <c r="M2271" s="3">
        <f>tbl_Budget[[#This Row],[Variance]]/tbl_Budget[[#This Row],[Budget]]</f>
        <v>-3.2024860493173858E-2</v>
      </c>
      <c r="N2271" t="str">
        <f>IF(tbl_Budget[[#This Row],[Variance_%]]&gt;0.05,"Overspend",IF(tbl_Budget[[#This Row],[Variance_%]]&lt;-0.05,"Underspend","On Budget"))</f>
        <v>On Budget</v>
      </c>
    </row>
    <row r="2272" spans="1:14">
      <c r="A2272" s="1">
        <v>45597</v>
      </c>
      <c r="B2272">
        <v>11</v>
      </c>
      <c r="C2272" t="s">
        <v>50</v>
      </c>
      <c r="D2272" t="s">
        <v>64</v>
      </c>
      <c r="E2272">
        <v>2024</v>
      </c>
      <c r="F2272" t="s">
        <v>28</v>
      </c>
      <c r="G2272" t="s">
        <v>21</v>
      </c>
      <c r="H2272" t="s">
        <v>18</v>
      </c>
      <c r="I2272" t="s">
        <v>29</v>
      </c>
      <c r="J2272">
        <v>11319.01</v>
      </c>
      <c r="K2272">
        <v>12371.63</v>
      </c>
      <c r="L2272" s="20">
        <f>tbl_Budget[[#This Row],[Actual]]-tbl_Budget[[#This Row],[Budget]]</f>
        <v>1052.619999999999</v>
      </c>
      <c r="M2272" s="3">
        <f>tbl_Budget[[#This Row],[Variance]]/tbl_Budget[[#This Row],[Budget]]</f>
        <v>9.2995765530730953E-2</v>
      </c>
      <c r="N2272" t="str">
        <f>IF(tbl_Budget[[#This Row],[Variance_%]]&gt;0.05,"Overspend",IF(tbl_Budget[[#This Row],[Variance_%]]&lt;-0.05,"Underspend","On Budget"))</f>
        <v>Overspend</v>
      </c>
    </row>
    <row r="2273" spans="1:14">
      <c r="A2273" s="1">
        <v>45597</v>
      </c>
      <c r="B2273">
        <v>11</v>
      </c>
      <c r="C2273" t="s">
        <v>50</v>
      </c>
      <c r="D2273" t="s">
        <v>64</v>
      </c>
      <c r="E2273">
        <v>2024</v>
      </c>
      <c r="F2273" t="s">
        <v>28</v>
      </c>
      <c r="G2273" t="s">
        <v>21</v>
      </c>
      <c r="H2273" t="s">
        <v>19</v>
      </c>
      <c r="I2273" t="s">
        <v>29</v>
      </c>
      <c r="J2273">
        <v>12447.48</v>
      </c>
      <c r="K2273">
        <v>13324.71</v>
      </c>
      <c r="L2273" s="20">
        <f>tbl_Budget[[#This Row],[Actual]]-tbl_Budget[[#This Row],[Budget]]</f>
        <v>877.22999999999956</v>
      </c>
      <c r="M2273" s="3">
        <f>tbl_Budget[[#This Row],[Variance]]/tbl_Budget[[#This Row],[Budget]]</f>
        <v>7.047450568307799E-2</v>
      </c>
      <c r="N2273" t="str">
        <f>IF(tbl_Budget[[#This Row],[Variance_%]]&gt;0.05,"Overspend",IF(tbl_Budget[[#This Row],[Variance_%]]&lt;-0.05,"Underspend","On Budget"))</f>
        <v>Overspend</v>
      </c>
    </row>
    <row r="2274" spans="1:14" hidden="1">
      <c r="A2274" s="1">
        <v>45597</v>
      </c>
      <c r="B2274">
        <v>11</v>
      </c>
      <c r="C2274" t="s">
        <v>50</v>
      </c>
      <c r="D2274" t="s">
        <v>64</v>
      </c>
      <c r="E2274">
        <v>2024</v>
      </c>
      <c r="F2274" t="s">
        <v>28</v>
      </c>
      <c r="G2274" t="s">
        <v>22</v>
      </c>
      <c r="H2274" t="s">
        <v>15</v>
      </c>
      <c r="I2274" t="s">
        <v>29</v>
      </c>
      <c r="J2274">
        <v>13373.8</v>
      </c>
      <c r="K2274">
        <v>13792.65</v>
      </c>
      <c r="L2274" s="20">
        <f>tbl_Budget[[#This Row],[Actual]]-tbl_Budget[[#This Row],[Budget]]</f>
        <v>418.85000000000036</v>
      </c>
      <c r="M2274" s="3">
        <f>tbl_Budget[[#This Row],[Variance]]/tbl_Budget[[#This Row],[Budget]]</f>
        <v>3.1318697752321732E-2</v>
      </c>
      <c r="N2274" t="str">
        <f>IF(tbl_Budget[[#This Row],[Variance_%]]&gt;0.05,"Overspend",IF(tbl_Budget[[#This Row],[Variance_%]]&lt;-0.05,"Underspend","On Budget"))</f>
        <v>On Budget</v>
      </c>
    </row>
    <row r="2275" spans="1:14" hidden="1">
      <c r="A2275" s="1">
        <v>45597</v>
      </c>
      <c r="B2275">
        <v>11</v>
      </c>
      <c r="C2275" t="s">
        <v>50</v>
      </c>
      <c r="D2275" t="s">
        <v>64</v>
      </c>
      <c r="E2275">
        <v>2024</v>
      </c>
      <c r="F2275" t="s">
        <v>28</v>
      </c>
      <c r="G2275" t="s">
        <v>22</v>
      </c>
      <c r="H2275" t="s">
        <v>17</v>
      </c>
      <c r="I2275" t="s">
        <v>29</v>
      </c>
      <c r="J2275">
        <v>12251.5</v>
      </c>
      <c r="K2275">
        <v>13311.27</v>
      </c>
      <c r="L2275" s="20">
        <f>tbl_Budget[[#This Row],[Actual]]-tbl_Budget[[#This Row],[Budget]]</f>
        <v>1059.7700000000004</v>
      </c>
      <c r="M2275" s="3">
        <f>tbl_Budget[[#This Row],[Variance]]/tbl_Budget[[#This Row],[Budget]]</f>
        <v>8.6501244745541397E-2</v>
      </c>
      <c r="N2275" t="str">
        <f>IF(tbl_Budget[[#This Row],[Variance_%]]&gt;0.05,"Overspend",IF(tbl_Budget[[#This Row],[Variance_%]]&lt;-0.05,"Underspend","On Budget"))</f>
        <v>Overspend</v>
      </c>
    </row>
    <row r="2276" spans="1:14" hidden="1">
      <c r="A2276" s="1">
        <v>45597</v>
      </c>
      <c r="B2276">
        <v>11</v>
      </c>
      <c r="C2276" t="s">
        <v>50</v>
      </c>
      <c r="D2276" t="s">
        <v>64</v>
      </c>
      <c r="E2276">
        <v>2024</v>
      </c>
      <c r="F2276" t="s">
        <v>28</v>
      </c>
      <c r="G2276" t="s">
        <v>22</v>
      </c>
      <c r="H2276" t="s">
        <v>18</v>
      </c>
      <c r="I2276" t="s">
        <v>29</v>
      </c>
      <c r="J2276">
        <v>12712.75</v>
      </c>
      <c r="K2276">
        <v>13328.54</v>
      </c>
      <c r="L2276" s="20">
        <f>tbl_Budget[[#This Row],[Actual]]-tbl_Budget[[#This Row],[Budget]]</f>
        <v>615.79000000000087</v>
      </c>
      <c r="M2276" s="3">
        <f>tbl_Budget[[#This Row],[Variance]]/tbl_Budget[[#This Row],[Budget]]</f>
        <v>4.8438772098877182E-2</v>
      </c>
      <c r="N2276" t="str">
        <f>IF(tbl_Budget[[#This Row],[Variance_%]]&gt;0.05,"Overspend",IF(tbl_Budget[[#This Row],[Variance_%]]&lt;-0.05,"Underspend","On Budget"))</f>
        <v>On Budget</v>
      </c>
    </row>
    <row r="2277" spans="1:14" hidden="1">
      <c r="A2277" s="1">
        <v>45597</v>
      </c>
      <c r="B2277">
        <v>11</v>
      </c>
      <c r="C2277" t="s">
        <v>50</v>
      </c>
      <c r="D2277" t="s">
        <v>64</v>
      </c>
      <c r="E2277">
        <v>2024</v>
      </c>
      <c r="F2277" t="s">
        <v>28</v>
      </c>
      <c r="G2277" t="s">
        <v>22</v>
      </c>
      <c r="H2277" t="s">
        <v>19</v>
      </c>
      <c r="I2277" t="s">
        <v>29</v>
      </c>
      <c r="J2277">
        <v>13786.03</v>
      </c>
      <c r="K2277">
        <v>15112.38</v>
      </c>
      <c r="L2277" s="20">
        <f>tbl_Budget[[#This Row],[Actual]]-tbl_Budget[[#This Row],[Budget]]</f>
        <v>1326.3499999999985</v>
      </c>
      <c r="M2277" s="3">
        <f>tbl_Budget[[#This Row],[Variance]]/tbl_Budget[[#This Row],[Budget]]</f>
        <v>9.6209713746451916E-2</v>
      </c>
      <c r="N2277" t="str">
        <f>IF(tbl_Budget[[#This Row],[Variance_%]]&gt;0.05,"Overspend",IF(tbl_Budget[[#This Row],[Variance_%]]&lt;-0.05,"Underspend","On Budget"))</f>
        <v>Overspend</v>
      </c>
    </row>
    <row r="2278" spans="1:14" hidden="1">
      <c r="A2278" s="1">
        <v>45597</v>
      </c>
      <c r="B2278">
        <v>11</v>
      </c>
      <c r="C2278" t="s">
        <v>50</v>
      </c>
      <c r="D2278" t="s">
        <v>64</v>
      </c>
      <c r="E2278">
        <v>2024</v>
      </c>
      <c r="F2278" t="s">
        <v>28</v>
      </c>
      <c r="G2278" t="s">
        <v>23</v>
      </c>
      <c r="H2278" t="s">
        <v>15</v>
      </c>
      <c r="I2278" t="s">
        <v>29</v>
      </c>
      <c r="J2278">
        <v>8396.68</v>
      </c>
      <c r="K2278">
        <v>9631.82</v>
      </c>
      <c r="L2278" s="20">
        <f>tbl_Budget[[#This Row],[Actual]]-tbl_Budget[[#This Row],[Budget]]</f>
        <v>1235.1399999999994</v>
      </c>
      <c r="M2278" s="3">
        <f>tbl_Budget[[#This Row],[Variance]]/tbl_Budget[[#This Row],[Budget]]</f>
        <v>0.14709861516694686</v>
      </c>
      <c r="N2278" t="str">
        <f>IF(tbl_Budget[[#This Row],[Variance_%]]&gt;0.05,"Overspend",IF(tbl_Budget[[#This Row],[Variance_%]]&lt;-0.05,"Underspend","On Budget"))</f>
        <v>Overspend</v>
      </c>
    </row>
    <row r="2279" spans="1:14" hidden="1">
      <c r="A2279" s="1">
        <v>45597</v>
      </c>
      <c r="B2279">
        <v>11</v>
      </c>
      <c r="C2279" t="s">
        <v>50</v>
      </c>
      <c r="D2279" t="s">
        <v>64</v>
      </c>
      <c r="E2279">
        <v>2024</v>
      </c>
      <c r="F2279" t="s">
        <v>28</v>
      </c>
      <c r="G2279" t="s">
        <v>23</v>
      </c>
      <c r="H2279" t="s">
        <v>17</v>
      </c>
      <c r="I2279" t="s">
        <v>29</v>
      </c>
      <c r="J2279">
        <v>8108.22</v>
      </c>
      <c r="K2279">
        <v>7301.55</v>
      </c>
      <c r="L2279" s="20">
        <f>tbl_Budget[[#This Row],[Actual]]-tbl_Budget[[#This Row],[Budget]]</f>
        <v>-806.67000000000007</v>
      </c>
      <c r="M2279" s="3">
        <f>tbl_Budget[[#This Row],[Variance]]/tbl_Budget[[#This Row],[Budget]]</f>
        <v>-9.9487927066606488E-2</v>
      </c>
      <c r="N2279" t="str">
        <f>IF(tbl_Budget[[#This Row],[Variance_%]]&gt;0.05,"Overspend",IF(tbl_Budget[[#This Row],[Variance_%]]&lt;-0.05,"Underspend","On Budget"))</f>
        <v>Underspend</v>
      </c>
    </row>
    <row r="2280" spans="1:14" hidden="1">
      <c r="A2280" s="1">
        <v>45597</v>
      </c>
      <c r="B2280">
        <v>11</v>
      </c>
      <c r="C2280" t="s">
        <v>50</v>
      </c>
      <c r="D2280" t="s">
        <v>64</v>
      </c>
      <c r="E2280">
        <v>2024</v>
      </c>
      <c r="F2280" t="s">
        <v>28</v>
      </c>
      <c r="G2280" t="s">
        <v>23</v>
      </c>
      <c r="H2280" t="s">
        <v>18</v>
      </c>
      <c r="I2280" t="s">
        <v>29</v>
      </c>
      <c r="J2280">
        <v>8152.9</v>
      </c>
      <c r="K2280">
        <v>8221.5499999999993</v>
      </c>
      <c r="L2280" s="20">
        <f>tbl_Budget[[#This Row],[Actual]]-tbl_Budget[[#This Row],[Budget]]</f>
        <v>68.649999999999636</v>
      </c>
      <c r="M2280" s="3">
        <f>tbl_Budget[[#This Row],[Variance]]/tbl_Budget[[#This Row],[Budget]]</f>
        <v>8.4203166971261317E-3</v>
      </c>
      <c r="N2280" t="str">
        <f>IF(tbl_Budget[[#This Row],[Variance_%]]&gt;0.05,"Overspend",IF(tbl_Budget[[#This Row],[Variance_%]]&lt;-0.05,"Underspend","On Budget"))</f>
        <v>On Budget</v>
      </c>
    </row>
    <row r="2281" spans="1:14" hidden="1">
      <c r="A2281" s="1">
        <v>45597</v>
      </c>
      <c r="B2281">
        <v>11</v>
      </c>
      <c r="C2281" t="s">
        <v>50</v>
      </c>
      <c r="D2281" t="s">
        <v>64</v>
      </c>
      <c r="E2281">
        <v>2024</v>
      </c>
      <c r="F2281" t="s">
        <v>28</v>
      </c>
      <c r="G2281" t="s">
        <v>23</v>
      </c>
      <c r="H2281" t="s">
        <v>19</v>
      </c>
      <c r="I2281" t="s">
        <v>29</v>
      </c>
      <c r="J2281">
        <v>8637.3700000000008</v>
      </c>
      <c r="K2281">
        <v>8505.32</v>
      </c>
      <c r="L2281" s="20">
        <f>tbl_Budget[[#This Row],[Actual]]-tbl_Budget[[#This Row],[Budget]]</f>
        <v>-132.05000000000109</v>
      </c>
      <c r="M2281" s="3">
        <f>tbl_Budget[[#This Row],[Variance]]/tbl_Budget[[#This Row],[Budget]]</f>
        <v>-1.5288218520220978E-2</v>
      </c>
      <c r="N2281" t="str">
        <f>IF(tbl_Budget[[#This Row],[Variance_%]]&gt;0.05,"Overspend",IF(tbl_Budget[[#This Row],[Variance_%]]&lt;-0.05,"Underspend","On Budget"))</f>
        <v>On Budget</v>
      </c>
    </row>
    <row r="2282" spans="1:14" hidden="1">
      <c r="A2282" s="1">
        <v>45597</v>
      </c>
      <c r="B2282">
        <v>11</v>
      </c>
      <c r="C2282" t="s">
        <v>50</v>
      </c>
      <c r="D2282" t="s">
        <v>64</v>
      </c>
      <c r="E2282">
        <v>2024</v>
      </c>
      <c r="F2282" t="s">
        <v>30</v>
      </c>
      <c r="G2282" t="s">
        <v>14</v>
      </c>
      <c r="H2282" t="s">
        <v>15</v>
      </c>
      <c r="I2282" t="s">
        <v>31</v>
      </c>
      <c r="J2282">
        <v>43831.26</v>
      </c>
      <c r="K2282">
        <v>42474.64</v>
      </c>
      <c r="L2282" s="20">
        <f>tbl_Budget[[#This Row],[Actual]]-tbl_Budget[[#This Row],[Budget]]</f>
        <v>-1356.6200000000026</v>
      </c>
      <c r="M2282" s="3">
        <f>tbl_Budget[[#This Row],[Variance]]/tbl_Budget[[#This Row],[Budget]]</f>
        <v>-3.0950969696057165E-2</v>
      </c>
      <c r="N2282" t="str">
        <f>IF(tbl_Budget[[#This Row],[Variance_%]]&gt;0.05,"Overspend",IF(tbl_Budget[[#This Row],[Variance_%]]&lt;-0.05,"Underspend","On Budget"))</f>
        <v>On Budget</v>
      </c>
    </row>
    <row r="2283" spans="1:14" hidden="1">
      <c r="A2283" s="1">
        <v>45597</v>
      </c>
      <c r="B2283">
        <v>11</v>
      </c>
      <c r="C2283" t="s">
        <v>50</v>
      </c>
      <c r="D2283" t="s">
        <v>64</v>
      </c>
      <c r="E2283">
        <v>2024</v>
      </c>
      <c r="F2283" t="s">
        <v>30</v>
      </c>
      <c r="G2283" t="s">
        <v>14</v>
      </c>
      <c r="H2283" t="s">
        <v>17</v>
      </c>
      <c r="I2283" t="s">
        <v>31</v>
      </c>
      <c r="J2283">
        <v>41802.47</v>
      </c>
      <c r="K2283">
        <v>40165.25</v>
      </c>
      <c r="L2283" s="20">
        <f>tbl_Budget[[#This Row],[Actual]]-tbl_Budget[[#This Row],[Budget]]</f>
        <v>-1637.2200000000012</v>
      </c>
      <c r="M2283" s="3">
        <f>tbl_Budget[[#This Row],[Variance]]/tbl_Budget[[#This Row],[Budget]]</f>
        <v>-3.9165628251153606E-2</v>
      </c>
      <c r="N2283" t="str">
        <f>IF(tbl_Budget[[#This Row],[Variance_%]]&gt;0.05,"Overspend",IF(tbl_Budget[[#This Row],[Variance_%]]&lt;-0.05,"Underspend","On Budget"))</f>
        <v>On Budget</v>
      </c>
    </row>
    <row r="2284" spans="1:14" hidden="1">
      <c r="A2284" s="1">
        <v>45597</v>
      </c>
      <c r="B2284">
        <v>11</v>
      </c>
      <c r="C2284" t="s">
        <v>50</v>
      </c>
      <c r="D2284" t="s">
        <v>64</v>
      </c>
      <c r="E2284">
        <v>2024</v>
      </c>
      <c r="F2284" t="s">
        <v>30</v>
      </c>
      <c r="G2284" t="s">
        <v>14</v>
      </c>
      <c r="H2284" t="s">
        <v>18</v>
      </c>
      <c r="I2284" t="s">
        <v>31</v>
      </c>
      <c r="J2284">
        <v>43020.91</v>
      </c>
      <c r="K2284">
        <v>41696.239999999998</v>
      </c>
      <c r="L2284" s="20">
        <f>tbl_Budget[[#This Row],[Actual]]-tbl_Budget[[#This Row],[Budget]]</f>
        <v>-1324.6700000000055</v>
      </c>
      <c r="M2284" s="3">
        <f>tbl_Budget[[#This Row],[Variance]]/tbl_Budget[[#This Row],[Budget]]</f>
        <v>-3.0791305902176533E-2</v>
      </c>
      <c r="N2284" t="str">
        <f>IF(tbl_Budget[[#This Row],[Variance_%]]&gt;0.05,"Overspend",IF(tbl_Budget[[#This Row],[Variance_%]]&lt;-0.05,"Underspend","On Budget"))</f>
        <v>On Budget</v>
      </c>
    </row>
    <row r="2285" spans="1:14" hidden="1">
      <c r="A2285" s="1">
        <v>45597</v>
      </c>
      <c r="B2285">
        <v>11</v>
      </c>
      <c r="C2285" t="s">
        <v>50</v>
      </c>
      <c r="D2285" t="s">
        <v>64</v>
      </c>
      <c r="E2285">
        <v>2024</v>
      </c>
      <c r="F2285" t="s">
        <v>30</v>
      </c>
      <c r="G2285" t="s">
        <v>14</v>
      </c>
      <c r="H2285" t="s">
        <v>19</v>
      </c>
      <c r="I2285" t="s">
        <v>31</v>
      </c>
      <c r="J2285">
        <v>46113.7</v>
      </c>
      <c r="K2285">
        <v>47244.27</v>
      </c>
      <c r="L2285" s="20">
        <f>tbl_Budget[[#This Row],[Actual]]-tbl_Budget[[#This Row],[Budget]]</f>
        <v>1130.5699999999997</v>
      </c>
      <c r="M2285" s="3">
        <f>tbl_Budget[[#This Row],[Variance]]/tbl_Budget[[#This Row],[Budget]]</f>
        <v>2.4517009045034333E-2</v>
      </c>
      <c r="N2285" t="str">
        <f>IF(tbl_Budget[[#This Row],[Variance_%]]&gt;0.05,"Overspend",IF(tbl_Budget[[#This Row],[Variance_%]]&lt;-0.05,"Underspend","On Budget"))</f>
        <v>On Budget</v>
      </c>
    </row>
    <row r="2286" spans="1:14" hidden="1">
      <c r="A2286" s="1">
        <v>45597</v>
      </c>
      <c r="B2286">
        <v>11</v>
      </c>
      <c r="C2286" t="s">
        <v>50</v>
      </c>
      <c r="D2286" t="s">
        <v>64</v>
      </c>
      <c r="E2286">
        <v>2024</v>
      </c>
      <c r="F2286" t="s">
        <v>30</v>
      </c>
      <c r="G2286" t="s">
        <v>20</v>
      </c>
      <c r="H2286" t="s">
        <v>15</v>
      </c>
      <c r="I2286" t="s">
        <v>31</v>
      </c>
      <c r="J2286">
        <v>16588.45</v>
      </c>
      <c r="K2286">
        <v>17358.18</v>
      </c>
      <c r="L2286" s="20">
        <f>tbl_Budget[[#This Row],[Actual]]-tbl_Budget[[#This Row],[Budget]]</f>
        <v>769.72999999999956</v>
      </c>
      <c r="M2286" s="3">
        <f>tbl_Budget[[#This Row],[Variance]]/tbl_Budget[[#This Row],[Budget]]</f>
        <v>4.6401562532967185E-2</v>
      </c>
      <c r="N2286" t="str">
        <f>IF(tbl_Budget[[#This Row],[Variance_%]]&gt;0.05,"Overspend",IF(tbl_Budget[[#This Row],[Variance_%]]&lt;-0.05,"Underspend","On Budget"))</f>
        <v>On Budget</v>
      </c>
    </row>
    <row r="2287" spans="1:14" hidden="1">
      <c r="A2287" s="1">
        <v>45597</v>
      </c>
      <c r="B2287">
        <v>11</v>
      </c>
      <c r="C2287" t="s">
        <v>50</v>
      </c>
      <c r="D2287" t="s">
        <v>64</v>
      </c>
      <c r="E2287">
        <v>2024</v>
      </c>
      <c r="F2287" t="s">
        <v>30</v>
      </c>
      <c r="G2287" t="s">
        <v>20</v>
      </c>
      <c r="H2287" t="s">
        <v>17</v>
      </c>
      <c r="I2287" t="s">
        <v>31</v>
      </c>
      <c r="J2287">
        <v>15570.1</v>
      </c>
      <c r="K2287">
        <v>15971.99</v>
      </c>
      <c r="L2287" s="20">
        <f>tbl_Budget[[#This Row],[Actual]]-tbl_Budget[[#This Row],[Budget]]</f>
        <v>401.88999999999942</v>
      </c>
      <c r="M2287" s="3">
        <f>tbl_Budget[[#This Row],[Variance]]/tbl_Budget[[#This Row],[Budget]]</f>
        <v>2.5811651819834133E-2</v>
      </c>
      <c r="N2287" t="str">
        <f>IF(tbl_Budget[[#This Row],[Variance_%]]&gt;0.05,"Overspend",IF(tbl_Budget[[#This Row],[Variance_%]]&lt;-0.05,"Underspend","On Budget"))</f>
        <v>On Budget</v>
      </c>
    </row>
    <row r="2288" spans="1:14" hidden="1">
      <c r="A2288" s="1">
        <v>45597</v>
      </c>
      <c r="B2288">
        <v>11</v>
      </c>
      <c r="C2288" t="s">
        <v>50</v>
      </c>
      <c r="D2288" t="s">
        <v>64</v>
      </c>
      <c r="E2288">
        <v>2024</v>
      </c>
      <c r="F2288" t="s">
        <v>30</v>
      </c>
      <c r="G2288" t="s">
        <v>20</v>
      </c>
      <c r="H2288" t="s">
        <v>18</v>
      </c>
      <c r="I2288" t="s">
        <v>31</v>
      </c>
      <c r="J2288">
        <v>16632.419999999998</v>
      </c>
      <c r="K2288">
        <v>17132.8</v>
      </c>
      <c r="L2288" s="20">
        <f>tbl_Budget[[#This Row],[Actual]]-tbl_Budget[[#This Row],[Budget]]</f>
        <v>500.38000000000102</v>
      </c>
      <c r="M2288" s="3">
        <f>tbl_Budget[[#This Row],[Variance]]/tbl_Budget[[#This Row],[Budget]]</f>
        <v>3.0084617872805103E-2</v>
      </c>
      <c r="N2288" t="str">
        <f>IF(tbl_Budget[[#This Row],[Variance_%]]&gt;0.05,"Overspend",IF(tbl_Budget[[#This Row],[Variance_%]]&lt;-0.05,"Underspend","On Budget"))</f>
        <v>On Budget</v>
      </c>
    </row>
    <row r="2289" spans="1:14" hidden="1">
      <c r="A2289" s="1">
        <v>45597</v>
      </c>
      <c r="B2289">
        <v>11</v>
      </c>
      <c r="C2289" t="s">
        <v>50</v>
      </c>
      <c r="D2289" t="s">
        <v>64</v>
      </c>
      <c r="E2289">
        <v>2024</v>
      </c>
      <c r="F2289" t="s">
        <v>30</v>
      </c>
      <c r="G2289" t="s">
        <v>20</v>
      </c>
      <c r="H2289" t="s">
        <v>19</v>
      </c>
      <c r="I2289" t="s">
        <v>31</v>
      </c>
      <c r="J2289">
        <v>17985.169999999998</v>
      </c>
      <c r="K2289">
        <v>17673.12</v>
      </c>
      <c r="L2289" s="20">
        <f>tbl_Budget[[#This Row],[Actual]]-tbl_Budget[[#This Row],[Budget]]</f>
        <v>-312.04999999999927</v>
      </c>
      <c r="M2289" s="3">
        <f>tbl_Budget[[#This Row],[Variance]]/tbl_Budget[[#This Row],[Budget]]</f>
        <v>-1.735040591776443E-2</v>
      </c>
      <c r="N2289" t="str">
        <f>IF(tbl_Budget[[#This Row],[Variance_%]]&gt;0.05,"Overspend",IF(tbl_Budget[[#This Row],[Variance_%]]&lt;-0.05,"Underspend","On Budget"))</f>
        <v>On Budget</v>
      </c>
    </row>
    <row r="2290" spans="1:14">
      <c r="A2290" s="1">
        <v>45597</v>
      </c>
      <c r="B2290">
        <v>11</v>
      </c>
      <c r="C2290" t="s">
        <v>50</v>
      </c>
      <c r="D2290" t="s">
        <v>64</v>
      </c>
      <c r="E2290">
        <v>2024</v>
      </c>
      <c r="F2290" t="s">
        <v>30</v>
      </c>
      <c r="G2290" t="s">
        <v>21</v>
      </c>
      <c r="H2290" t="s">
        <v>15</v>
      </c>
      <c r="I2290" t="s">
        <v>31</v>
      </c>
      <c r="J2290">
        <v>7027.28</v>
      </c>
      <c r="K2290">
        <v>7131.99</v>
      </c>
      <c r="L2290" s="20">
        <f>tbl_Budget[[#This Row],[Actual]]-tbl_Budget[[#This Row],[Budget]]</f>
        <v>104.71000000000004</v>
      </c>
      <c r="M2290" s="3">
        <f>tbl_Budget[[#This Row],[Variance]]/tbl_Budget[[#This Row],[Budget]]</f>
        <v>1.4900502043464903E-2</v>
      </c>
      <c r="N2290" t="str">
        <f>IF(tbl_Budget[[#This Row],[Variance_%]]&gt;0.05,"Overspend",IF(tbl_Budget[[#This Row],[Variance_%]]&lt;-0.05,"Underspend","On Budget"))</f>
        <v>On Budget</v>
      </c>
    </row>
    <row r="2291" spans="1:14">
      <c r="A2291" s="1">
        <v>45597</v>
      </c>
      <c r="B2291">
        <v>11</v>
      </c>
      <c r="C2291" t="s">
        <v>50</v>
      </c>
      <c r="D2291" t="s">
        <v>64</v>
      </c>
      <c r="E2291">
        <v>2024</v>
      </c>
      <c r="F2291" t="s">
        <v>30</v>
      </c>
      <c r="G2291" t="s">
        <v>21</v>
      </c>
      <c r="H2291" t="s">
        <v>17</v>
      </c>
      <c r="I2291" t="s">
        <v>31</v>
      </c>
      <c r="J2291">
        <v>6579.75</v>
      </c>
      <c r="K2291">
        <v>6198.86</v>
      </c>
      <c r="L2291" s="20">
        <f>tbl_Budget[[#This Row],[Actual]]-tbl_Budget[[#This Row],[Budget]]</f>
        <v>-380.89000000000033</v>
      </c>
      <c r="M2291" s="3">
        <f>tbl_Budget[[#This Row],[Variance]]/tbl_Budget[[#This Row],[Budget]]</f>
        <v>-5.788821763744828E-2</v>
      </c>
      <c r="N2291" t="str">
        <f>IF(tbl_Budget[[#This Row],[Variance_%]]&gt;0.05,"Overspend",IF(tbl_Budget[[#This Row],[Variance_%]]&lt;-0.05,"Underspend","On Budget"))</f>
        <v>Underspend</v>
      </c>
    </row>
    <row r="2292" spans="1:14">
      <c r="A2292" s="1">
        <v>45597</v>
      </c>
      <c r="B2292">
        <v>11</v>
      </c>
      <c r="C2292" t="s">
        <v>50</v>
      </c>
      <c r="D2292" t="s">
        <v>64</v>
      </c>
      <c r="E2292">
        <v>2024</v>
      </c>
      <c r="F2292" t="s">
        <v>30</v>
      </c>
      <c r="G2292" t="s">
        <v>21</v>
      </c>
      <c r="H2292" t="s">
        <v>18</v>
      </c>
      <c r="I2292" t="s">
        <v>31</v>
      </c>
      <c r="J2292">
        <v>6744.41</v>
      </c>
      <c r="K2292">
        <v>6634.52</v>
      </c>
      <c r="L2292" s="20">
        <f>tbl_Budget[[#This Row],[Actual]]-tbl_Budget[[#This Row],[Budget]]</f>
        <v>-109.88999999999942</v>
      </c>
      <c r="M2292" s="3">
        <f>tbl_Budget[[#This Row],[Variance]]/tbl_Budget[[#This Row],[Budget]]</f>
        <v>-1.6293493426407856E-2</v>
      </c>
      <c r="N2292" t="str">
        <f>IF(tbl_Budget[[#This Row],[Variance_%]]&gt;0.05,"Overspend",IF(tbl_Budget[[#This Row],[Variance_%]]&lt;-0.05,"Underspend","On Budget"))</f>
        <v>On Budget</v>
      </c>
    </row>
    <row r="2293" spans="1:14">
      <c r="A2293" s="1">
        <v>45597</v>
      </c>
      <c r="B2293">
        <v>11</v>
      </c>
      <c r="C2293" t="s">
        <v>50</v>
      </c>
      <c r="D2293" t="s">
        <v>64</v>
      </c>
      <c r="E2293">
        <v>2024</v>
      </c>
      <c r="F2293" t="s">
        <v>30</v>
      </c>
      <c r="G2293" t="s">
        <v>21</v>
      </c>
      <c r="H2293" t="s">
        <v>19</v>
      </c>
      <c r="I2293" t="s">
        <v>31</v>
      </c>
      <c r="J2293">
        <v>7389.55</v>
      </c>
      <c r="K2293">
        <v>7660.42</v>
      </c>
      <c r="L2293" s="20">
        <f>tbl_Budget[[#This Row],[Actual]]-tbl_Budget[[#This Row],[Budget]]</f>
        <v>270.86999999999989</v>
      </c>
      <c r="M2293" s="3">
        <f>tbl_Budget[[#This Row],[Variance]]/tbl_Budget[[#This Row],[Budget]]</f>
        <v>3.6655818013275492E-2</v>
      </c>
      <c r="N2293" t="str">
        <f>IF(tbl_Budget[[#This Row],[Variance_%]]&gt;0.05,"Overspend",IF(tbl_Budget[[#This Row],[Variance_%]]&lt;-0.05,"Underspend","On Budget"))</f>
        <v>On Budget</v>
      </c>
    </row>
    <row r="2294" spans="1:14" hidden="1">
      <c r="A2294" s="1">
        <v>45597</v>
      </c>
      <c r="B2294">
        <v>11</v>
      </c>
      <c r="C2294" t="s">
        <v>50</v>
      </c>
      <c r="D2294" t="s">
        <v>64</v>
      </c>
      <c r="E2294">
        <v>2024</v>
      </c>
      <c r="F2294" t="s">
        <v>30</v>
      </c>
      <c r="G2294" t="s">
        <v>22</v>
      </c>
      <c r="H2294" t="s">
        <v>15</v>
      </c>
      <c r="I2294" t="s">
        <v>31</v>
      </c>
      <c r="J2294">
        <v>7846.01</v>
      </c>
      <c r="K2294">
        <v>7817.27</v>
      </c>
      <c r="L2294" s="20">
        <f>tbl_Budget[[#This Row],[Actual]]-tbl_Budget[[#This Row],[Budget]]</f>
        <v>-28.739999999999782</v>
      </c>
      <c r="M2294" s="3">
        <f>tbl_Budget[[#This Row],[Variance]]/tbl_Budget[[#This Row],[Budget]]</f>
        <v>-3.6630083316233067E-3</v>
      </c>
      <c r="N2294" t="str">
        <f>IF(tbl_Budget[[#This Row],[Variance_%]]&gt;0.05,"Overspend",IF(tbl_Budget[[#This Row],[Variance_%]]&lt;-0.05,"Underspend","On Budget"))</f>
        <v>On Budget</v>
      </c>
    </row>
    <row r="2295" spans="1:14" hidden="1">
      <c r="A2295" s="1">
        <v>45597</v>
      </c>
      <c r="B2295">
        <v>11</v>
      </c>
      <c r="C2295" t="s">
        <v>50</v>
      </c>
      <c r="D2295" t="s">
        <v>64</v>
      </c>
      <c r="E2295">
        <v>2024</v>
      </c>
      <c r="F2295" t="s">
        <v>30</v>
      </c>
      <c r="G2295" t="s">
        <v>22</v>
      </c>
      <c r="H2295" t="s">
        <v>17</v>
      </c>
      <c r="I2295" t="s">
        <v>31</v>
      </c>
      <c r="J2295">
        <v>7468.28</v>
      </c>
      <c r="K2295">
        <v>7711.31</v>
      </c>
      <c r="L2295" s="20">
        <f>tbl_Budget[[#This Row],[Actual]]-tbl_Budget[[#This Row],[Budget]]</f>
        <v>243.03000000000065</v>
      </c>
      <c r="M2295" s="3">
        <f>tbl_Budget[[#This Row],[Variance]]/tbl_Budget[[#This Row],[Budget]]</f>
        <v>3.2541629397933751E-2</v>
      </c>
      <c r="N2295" t="str">
        <f>IF(tbl_Budget[[#This Row],[Variance_%]]&gt;0.05,"Overspend",IF(tbl_Budget[[#This Row],[Variance_%]]&lt;-0.05,"Underspend","On Budget"))</f>
        <v>On Budget</v>
      </c>
    </row>
    <row r="2296" spans="1:14" hidden="1">
      <c r="A2296" s="1">
        <v>45597</v>
      </c>
      <c r="B2296">
        <v>11</v>
      </c>
      <c r="C2296" t="s">
        <v>50</v>
      </c>
      <c r="D2296" t="s">
        <v>64</v>
      </c>
      <c r="E2296">
        <v>2024</v>
      </c>
      <c r="F2296" t="s">
        <v>30</v>
      </c>
      <c r="G2296" t="s">
        <v>22</v>
      </c>
      <c r="H2296" t="s">
        <v>18</v>
      </c>
      <c r="I2296" t="s">
        <v>31</v>
      </c>
      <c r="J2296">
        <v>7556.07</v>
      </c>
      <c r="K2296">
        <v>7636.79</v>
      </c>
      <c r="L2296" s="20">
        <f>tbl_Budget[[#This Row],[Actual]]-tbl_Budget[[#This Row],[Budget]]</f>
        <v>80.720000000000255</v>
      </c>
      <c r="M2296" s="3">
        <f>tbl_Budget[[#This Row],[Variance]]/tbl_Budget[[#This Row],[Budget]]</f>
        <v>1.0682802038625934E-2</v>
      </c>
      <c r="N2296" t="str">
        <f>IF(tbl_Budget[[#This Row],[Variance_%]]&gt;0.05,"Overspend",IF(tbl_Budget[[#This Row],[Variance_%]]&lt;-0.05,"Underspend","On Budget"))</f>
        <v>On Budget</v>
      </c>
    </row>
    <row r="2297" spans="1:14" hidden="1">
      <c r="A2297" s="1">
        <v>45597</v>
      </c>
      <c r="B2297">
        <v>11</v>
      </c>
      <c r="C2297" t="s">
        <v>50</v>
      </c>
      <c r="D2297" t="s">
        <v>64</v>
      </c>
      <c r="E2297">
        <v>2024</v>
      </c>
      <c r="F2297" t="s">
        <v>30</v>
      </c>
      <c r="G2297" t="s">
        <v>22</v>
      </c>
      <c r="H2297" t="s">
        <v>19</v>
      </c>
      <c r="I2297" t="s">
        <v>31</v>
      </c>
      <c r="J2297">
        <v>8015.45</v>
      </c>
      <c r="K2297">
        <v>8191.44</v>
      </c>
      <c r="L2297" s="20">
        <f>tbl_Budget[[#This Row],[Actual]]-tbl_Budget[[#This Row],[Budget]]</f>
        <v>175.98999999999978</v>
      </c>
      <c r="M2297" s="3">
        <f>tbl_Budget[[#This Row],[Variance]]/tbl_Budget[[#This Row],[Budget]]</f>
        <v>2.1956346805232368E-2</v>
      </c>
      <c r="N2297" t="str">
        <f>IF(tbl_Budget[[#This Row],[Variance_%]]&gt;0.05,"Overspend",IF(tbl_Budget[[#This Row],[Variance_%]]&lt;-0.05,"Underspend","On Budget"))</f>
        <v>On Budget</v>
      </c>
    </row>
    <row r="2298" spans="1:14" hidden="1">
      <c r="A2298" s="1">
        <v>45597</v>
      </c>
      <c r="B2298">
        <v>11</v>
      </c>
      <c r="C2298" t="s">
        <v>50</v>
      </c>
      <c r="D2298" t="s">
        <v>64</v>
      </c>
      <c r="E2298">
        <v>2024</v>
      </c>
      <c r="F2298" t="s">
        <v>30</v>
      </c>
      <c r="G2298" t="s">
        <v>23</v>
      </c>
      <c r="H2298" t="s">
        <v>15</v>
      </c>
      <c r="I2298" t="s">
        <v>31</v>
      </c>
      <c r="J2298">
        <v>6433.23</v>
      </c>
      <c r="K2298">
        <v>6396.41</v>
      </c>
      <c r="L2298" s="20">
        <f>tbl_Budget[[#This Row],[Actual]]-tbl_Budget[[#This Row],[Budget]]</f>
        <v>-36.819999999999709</v>
      </c>
      <c r="M2298" s="3">
        <f>tbl_Budget[[#This Row],[Variance]]/tbl_Budget[[#This Row],[Budget]]</f>
        <v>-5.7234079925635659E-3</v>
      </c>
      <c r="N2298" t="str">
        <f>IF(tbl_Budget[[#This Row],[Variance_%]]&gt;0.05,"Overspend",IF(tbl_Budget[[#This Row],[Variance_%]]&lt;-0.05,"Underspend","On Budget"))</f>
        <v>On Budget</v>
      </c>
    </row>
    <row r="2299" spans="1:14" hidden="1">
      <c r="A2299" s="1">
        <v>45597</v>
      </c>
      <c r="B2299">
        <v>11</v>
      </c>
      <c r="C2299" t="s">
        <v>50</v>
      </c>
      <c r="D2299" t="s">
        <v>64</v>
      </c>
      <c r="E2299">
        <v>2024</v>
      </c>
      <c r="F2299" t="s">
        <v>30</v>
      </c>
      <c r="G2299" t="s">
        <v>23</v>
      </c>
      <c r="H2299" t="s">
        <v>17</v>
      </c>
      <c r="I2299" t="s">
        <v>31</v>
      </c>
      <c r="J2299">
        <v>6490.16</v>
      </c>
      <c r="K2299">
        <v>6196.14</v>
      </c>
      <c r="L2299" s="20">
        <f>tbl_Budget[[#This Row],[Actual]]-tbl_Budget[[#This Row],[Budget]]</f>
        <v>-294.01999999999953</v>
      </c>
      <c r="M2299" s="3">
        <f>tbl_Budget[[#This Row],[Variance]]/tbl_Budget[[#This Row],[Budget]]</f>
        <v>-4.5302427058808957E-2</v>
      </c>
      <c r="N2299" t="str">
        <f>IF(tbl_Budget[[#This Row],[Variance_%]]&gt;0.05,"Overspend",IF(tbl_Budget[[#This Row],[Variance_%]]&lt;-0.05,"Underspend","On Budget"))</f>
        <v>On Budget</v>
      </c>
    </row>
    <row r="2300" spans="1:14" hidden="1">
      <c r="A2300" s="1">
        <v>45597</v>
      </c>
      <c r="B2300">
        <v>11</v>
      </c>
      <c r="C2300" t="s">
        <v>50</v>
      </c>
      <c r="D2300" t="s">
        <v>64</v>
      </c>
      <c r="E2300">
        <v>2024</v>
      </c>
      <c r="F2300" t="s">
        <v>30</v>
      </c>
      <c r="G2300" t="s">
        <v>23</v>
      </c>
      <c r="H2300" t="s">
        <v>18</v>
      </c>
      <c r="I2300" t="s">
        <v>31</v>
      </c>
      <c r="J2300">
        <v>6339.38</v>
      </c>
      <c r="K2300">
        <v>6620.06</v>
      </c>
      <c r="L2300" s="20">
        <f>tbl_Budget[[#This Row],[Actual]]-tbl_Budget[[#This Row],[Budget]]</f>
        <v>280.68000000000029</v>
      </c>
      <c r="M2300" s="3">
        <f>tbl_Budget[[#This Row],[Variance]]/tbl_Budget[[#This Row],[Budget]]</f>
        <v>4.4275623168196304E-2</v>
      </c>
      <c r="N2300" t="str">
        <f>IF(tbl_Budget[[#This Row],[Variance_%]]&gt;0.05,"Overspend",IF(tbl_Budget[[#This Row],[Variance_%]]&lt;-0.05,"Underspend","On Budget"))</f>
        <v>On Budget</v>
      </c>
    </row>
    <row r="2301" spans="1:14" hidden="1">
      <c r="A2301" s="1">
        <v>45597</v>
      </c>
      <c r="B2301">
        <v>11</v>
      </c>
      <c r="C2301" t="s">
        <v>50</v>
      </c>
      <c r="D2301" t="s">
        <v>64</v>
      </c>
      <c r="E2301">
        <v>2024</v>
      </c>
      <c r="F2301" t="s">
        <v>30</v>
      </c>
      <c r="G2301" t="s">
        <v>23</v>
      </c>
      <c r="H2301" t="s">
        <v>19</v>
      </c>
      <c r="I2301" t="s">
        <v>31</v>
      </c>
      <c r="J2301">
        <v>6693.81</v>
      </c>
      <c r="K2301">
        <v>6383.96</v>
      </c>
      <c r="L2301" s="20">
        <f>tbl_Budget[[#This Row],[Actual]]-tbl_Budget[[#This Row],[Budget]]</f>
        <v>-309.85000000000036</v>
      </c>
      <c r="M2301" s="3">
        <f>tbl_Budget[[#This Row],[Variance]]/tbl_Budget[[#This Row],[Budget]]</f>
        <v>-4.6289034197265884E-2</v>
      </c>
      <c r="N2301" t="str">
        <f>IF(tbl_Budget[[#This Row],[Variance_%]]&gt;0.05,"Overspend",IF(tbl_Budget[[#This Row],[Variance_%]]&lt;-0.05,"Underspend","On Budget"))</f>
        <v>On Budget</v>
      </c>
    </row>
    <row r="2302" spans="1:14" hidden="1">
      <c r="A2302" s="1">
        <v>45627</v>
      </c>
      <c r="B2302">
        <v>12</v>
      </c>
      <c r="C2302" t="s">
        <v>52</v>
      </c>
      <c r="D2302" t="s">
        <v>65</v>
      </c>
      <c r="E2302">
        <v>2024</v>
      </c>
      <c r="F2302" t="s">
        <v>13</v>
      </c>
      <c r="G2302" t="s">
        <v>14</v>
      </c>
      <c r="H2302" t="s">
        <v>15</v>
      </c>
      <c r="I2302" t="s">
        <v>16</v>
      </c>
      <c r="J2302">
        <v>51342.14</v>
      </c>
      <c r="K2302">
        <v>61306.54</v>
      </c>
      <c r="L2302" s="20">
        <f>tbl_Budget[[#This Row],[Actual]]-tbl_Budget[[#This Row],[Budget]]</f>
        <v>9964.4000000000015</v>
      </c>
      <c r="M2302" s="3">
        <f>tbl_Budget[[#This Row],[Variance]]/tbl_Budget[[#This Row],[Budget]]</f>
        <v>0.19407839252512657</v>
      </c>
      <c r="N2302" t="str">
        <f>IF(tbl_Budget[[#This Row],[Variance_%]]&gt;0.05,"Overspend",IF(tbl_Budget[[#This Row],[Variance_%]]&lt;-0.05,"Underspend","On Budget"))</f>
        <v>Overspend</v>
      </c>
    </row>
    <row r="2303" spans="1:14" hidden="1">
      <c r="A2303" s="1">
        <v>45627</v>
      </c>
      <c r="B2303">
        <v>12</v>
      </c>
      <c r="C2303" t="s">
        <v>52</v>
      </c>
      <c r="D2303" t="s">
        <v>65</v>
      </c>
      <c r="E2303">
        <v>2024</v>
      </c>
      <c r="F2303" t="s">
        <v>13</v>
      </c>
      <c r="G2303" t="s">
        <v>14</v>
      </c>
      <c r="H2303" t="s">
        <v>17</v>
      </c>
      <c r="I2303" t="s">
        <v>16</v>
      </c>
      <c r="J2303">
        <v>47414.48</v>
      </c>
      <c r="K2303">
        <v>52655.58</v>
      </c>
      <c r="L2303" s="20">
        <f>tbl_Budget[[#This Row],[Actual]]-tbl_Budget[[#This Row],[Budget]]</f>
        <v>5241.0999999999985</v>
      </c>
      <c r="M2303" s="3">
        <f>tbl_Budget[[#This Row],[Variance]]/tbl_Budget[[#This Row],[Budget]]</f>
        <v>0.11053796224275787</v>
      </c>
      <c r="N2303" t="str">
        <f>IF(tbl_Budget[[#This Row],[Variance_%]]&gt;0.05,"Overspend",IF(tbl_Budget[[#This Row],[Variance_%]]&lt;-0.05,"Underspend","On Budget"))</f>
        <v>Overspend</v>
      </c>
    </row>
    <row r="2304" spans="1:14" hidden="1">
      <c r="A2304" s="1">
        <v>45627</v>
      </c>
      <c r="B2304">
        <v>12</v>
      </c>
      <c r="C2304" t="s">
        <v>52</v>
      </c>
      <c r="D2304" t="s">
        <v>65</v>
      </c>
      <c r="E2304">
        <v>2024</v>
      </c>
      <c r="F2304" t="s">
        <v>13</v>
      </c>
      <c r="G2304" t="s">
        <v>14</v>
      </c>
      <c r="H2304" t="s">
        <v>18</v>
      </c>
      <c r="I2304" t="s">
        <v>16</v>
      </c>
      <c r="J2304">
        <v>48722.11</v>
      </c>
      <c r="K2304">
        <v>54940.46</v>
      </c>
      <c r="L2304" s="20">
        <f>tbl_Budget[[#This Row],[Actual]]-tbl_Budget[[#This Row],[Budget]]</f>
        <v>6218.3499999999985</v>
      </c>
      <c r="M2304" s="3">
        <f>tbl_Budget[[#This Row],[Variance]]/tbl_Budget[[#This Row],[Budget]]</f>
        <v>0.12762891426500203</v>
      </c>
      <c r="N2304" t="str">
        <f>IF(tbl_Budget[[#This Row],[Variance_%]]&gt;0.05,"Overspend",IF(tbl_Budget[[#This Row],[Variance_%]]&lt;-0.05,"Underspend","On Budget"))</f>
        <v>Overspend</v>
      </c>
    </row>
    <row r="2305" spans="1:14" hidden="1">
      <c r="A2305" s="1">
        <v>45627</v>
      </c>
      <c r="B2305">
        <v>12</v>
      </c>
      <c r="C2305" t="s">
        <v>52</v>
      </c>
      <c r="D2305" t="s">
        <v>65</v>
      </c>
      <c r="E2305">
        <v>2024</v>
      </c>
      <c r="F2305" t="s">
        <v>13</v>
      </c>
      <c r="G2305" t="s">
        <v>14</v>
      </c>
      <c r="H2305" t="s">
        <v>19</v>
      </c>
      <c r="I2305" t="s">
        <v>16</v>
      </c>
      <c r="J2305">
        <v>53065.440000000002</v>
      </c>
      <c r="K2305">
        <v>58060.57</v>
      </c>
      <c r="L2305" s="20">
        <f>tbl_Budget[[#This Row],[Actual]]-tbl_Budget[[#This Row],[Budget]]</f>
        <v>4995.1299999999974</v>
      </c>
      <c r="M2305" s="3">
        <f>tbl_Budget[[#This Row],[Variance]]/tbl_Budget[[#This Row],[Budget]]</f>
        <v>9.4131510075107214E-2</v>
      </c>
      <c r="N2305" t="str">
        <f>IF(tbl_Budget[[#This Row],[Variance_%]]&gt;0.05,"Overspend",IF(tbl_Budget[[#This Row],[Variance_%]]&lt;-0.05,"Underspend","On Budget"))</f>
        <v>Overspend</v>
      </c>
    </row>
    <row r="2306" spans="1:14" hidden="1">
      <c r="A2306" s="1">
        <v>45627</v>
      </c>
      <c r="B2306">
        <v>12</v>
      </c>
      <c r="C2306" t="s">
        <v>52</v>
      </c>
      <c r="D2306" t="s">
        <v>65</v>
      </c>
      <c r="E2306">
        <v>2024</v>
      </c>
      <c r="F2306" t="s">
        <v>13</v>
      </c>
      <c r="G2306" t="s">
        <v>20</v>
      </c>
      <c r="H2306" t="s">
        <v>15</v>
      </c>
      <c r="I2306" t="s">
        <v>16</v>
      </c>
      <c r="J2306">
        <v>18673.18</v>
      </c>
      <c r="K2306">
        <v>20633.12</v>
      </c>
      <c r="L2306" s="20">
        <f>tbl_Budget[[#This Row],[Actual]]-tbl_Budget[[#This Row],[Budget]]</f>
        <v>1959.9399999999987</v>
      </c>
      <c r="M2306" s="3">
        <f>tbl_Budget[[#This Row],[Variance]]/tbl_Budget[[#This Row],[Budget]]</f>
        <v>0.10496016211486199</v>
      </c>
      <c r="N2306" t="str">
        <f>IF(tbl_Budget[[#This Row],[Variance_%]]&gt;0.05,"Overspend",IF(tbl_Budget[[#This Row],[Variance_%]]&lt;-0.05,"Underspend","On Budget"))</f>
        <v>Overspend</v>
      </c>
    </row>
    <row r="2307" spans="1:14" hidden="1">
      <c r="A2307" s="1">
        <v>45627</v>
      </c>
      <c r="B2307">
        <v>12</v>
      </c>
      <c r="C2307" t="s">
        <v>52</v>
      </c>
      <c r="D2307" t="s">
        <v>65</v>
      </c>
      <c r="E2307">
        <v>2024</v>
      </c>
      <c r="F2307" t="s">
        <v>13</v>
      </c>
      <c r="G2307" t="s">
        <v>20</v>
      </c>
      <c r="H2307" t="s">
        <v>17</v>
      </c>
      <c r="I2307" t="s">
        <v>16</v>
      </c>
      <c r="J2307">
        <v>18218.02</v>
      </c>
      <c r="K2307">
        <v>20323.41</v>
      </c>
      <c r="L2307" s="20">
        <f>tbl_Budget[[#This Row],[Actual]]-tbl_Budget[[#This Row],[Budget]]</f>
        <v>2105.3899999999994</v>
      </c>
      <c r="M2307" s="3">
        <f>tbl_Budget[[#This Row],[Variance]]/tbl_Budget[[#This Row],[Budget]]</f>
        <v>0.11556634584878046</v>
      </c>
      <c r="N2307" t="str">
        <f>IF(tbl_Budget[[#This Row],[Variance_%]]&gt;0.05,"Overspend",IF(tbl_Budget[[#This Row],[Variance_%]]&lt;-0.05,"Underspend","On Budget"))</f>
        <v>Overspend</v>
      </c>
    </row>
    <row r="2308" spans="1:14" hidden="1">
      <c r="A2308" s="1">
        <v>45627</v>
      </c>
      <c r="B2308">
        <v>12</v>
      </c>
      <c r="C2308" t="s">
        <v>52</v>
      </c>
      <c r="D2308" t="s">
        <v>65</v>
      </c>
      <c r="E2308">
        <v>2024</v>
      </c>
      <c r="F2308" t="s">
        <v>13</v>
      </c>
      <c r="G2308" t="s">
        <v>20</v>
      </c>
      <c r="H2308" t="s">
        <v>18</v>
      </c>
      <c r="I2308" t="s">
        <v>16</v>
      </c>
      <c r="J2308">
        <v>18878.88</v>
      </c>
      <c r="K2308">
        <v>22588.19</v>
      </c>
      <c r="L2308" s="20">
        <f>tbl_Budget[[#This Row],[Actual]]-tbl_Budget[[#This Row],[Budget]]</f>
        <v>3709.3099999999977</v>
      </c>
      <c r="M2308" s="3">
        <f>tbl_Budget[[#This Row],[Variance]]/tbl_Budget[[#This Row],[Budget]]</f>
        <v>0.19647934623240348</v>
      </c>
      <c r="N2308" t="str">
        <f>IF(tbl_Budget[[#This Row],[Variance_%]]&gt;0.05,"Overspend",IF(tbl_Budget[[#This Row],[Variance_%]]&lt;-0.05,"Underspend","On Budget"))</f>
        <v>Overspend</v>
      </c>
    </row>
    <row r="2309" spans="1:14" hidden="1">
      <c r="A2309" s="1">
        <v>45627</v>
      </c>
      <c r="B2309">
        <v>12</v>
      </c>
      <c r="C2309" t="s">
        <v>52</v>
      </c>
      <c r="D2309" t="s">
        <v>65</v>
      </c>
      <c r="E2309">
        <v>2024</v>
      </c>
      <c r="F2309" t="s">
        <v>13</v>
      </c>
      <c r="G2309" t="s">
        <v>20</v>
      </c>
      <c r="H2309" t="s">
        <v>19</v>
      </c>
      <c r="I2309" t="s">
        <v>16</v>
      </c>
      <c r="J2309">
        <v>19383.52</v>
      </c>
      <c r="K2309">
        <v>21372.05</v>
      </c>
      <c r="L2309" s="20">
        <f>tbl_Budget[[#This Row],[Actual]]-tbl_Budget[[#This Row],[Budget]]</f>
        <v>1988.5299999999988</v>
      </c>
      <c r="M2309" s="3">
        <f>tbl_Budget[[#This Row],[Variance]]/tbl_Budget[[#This Row],[Budget]]</f>
        <v>0.10258869390079814</v>
      </c>
      <c r="N2309" t="str">
        <f>IF(tbl_Budget[[#This Row],[Variance_%]]&gt;0.05,"Overspend",IF(tbl_Budget[[#This Row],[Variance_%]]&lt;-0.05,"Underspend","On Budget"))</f>
        <v>Overspend</v>
      </c>
    </row>
    <row r="2310" spans="1:14">
      <c r="A2310" s="1">
        <v>45627</v>
      </c>
      <c r="B2310">
        <v>12</v>
      </c>
      <c r="C2310" t="s">
        <v>52</v>
      </c>
      <c r="D2310" t="s">
        <v>65</v>
      </c>
      <c r="E2310">
        <v>2024</v>
      </c>
      <c r="F2310" t="s">
        <v>13</v>
      </c>
      <c r="G2310" t="s">
        <v>21</v>
      </c>
      <c r="H2310" t="s">
        <v>15</v>
      </c>
      <c r="I2310" t="s">
        <v>16</v>
      </c>
      <c r="J2310">
        <v>10986.01</v>
      </c>
      <c r="K2310">
        <v>13110.81</v>
      </c>
      <c r="L2310" s="20">
        <f>tbl_Budget[[#This Row],[Actual]]-tbl_Budget[[#This Row],[Budget]]</f>
        <v>2124.7999999999993</v>
      </c>
      <c r="M2310" s="3">
        <f>tbl_Budget[[#This Row],[Variance]]/tbl_Budget[[#This Row],[Budget]]</f>
        <v>0.19340961823264308</v>
      </c>
      <c r="N2310" t="str">
        <f>IF(tbl_Budget[[#This Row],[Variance_%]]&gt;0.05,"Overspend",IF(tbl_Budget[[#This Row],[Variance_%]]&lt;-0.05,"Underspend","On Budget"))</f>
        <v>Overspend</v>
      </c>
    </row>
    <row r="2311" spans="1:14">
      <c r="A2311" s="1">
        <v>45627</v>
      </c>
      <c r="B2311">
        <v>12</v>
      </c>
      <c r="C2311" t="s">
        <v>52</v>
      </c>
      <c r="D2311" t="s">
        <v>65</v>
      </c>
      <c r="E2311">
        <v>2024</v>
      </c>
      <c r="F2311" t="s">
        <v>13</v>
      </c>
      <c r="G2311" t="s">
        <v>21</v>
      </c>
      <c r="H2311" t="s">
        <v>17</v>
      </c>
      <c r="I2311" t="s">
        <v>16</v>
      </c>
      <c r="J2311">
        <v>10064.49</v>
      </c>
      <c r="K2311">
        <v>11535.98</v>
      </c>
      <c r="L2311" s="20">
        <f>tbl_Budget[[#This Row],[Actual]]-tbl_Budget[[#This Row],[Budget]]</f>
        <v>1471.4899999999998</v>
      </c>
      <c r="M2311" s="3">
        <f>tbl_Budget[[#This Row],[Variance]]/tbl_Budget[[#This Row],[Budget]]</f>
        <v>0.1462061167530595</v>
      </c>
      <c r="N2311" t="str">
        <f>IF(tbl_Budget[[#This Row],[Variance_%]]&gt;0.05,"Overspend",IF(tbl_Budget[[#This Row],[Variance_%]]&lt;-0.05,"Underspend","On Budget"))</f>
        <v>Overspend</v>
      </c>
    </row>
    <row r="2312" spans="1:14">
      <c r="A2312" s="1">
        <v>45627</v>
      </c>
      <c r="B2312">
        <v>12</v>
      </c>
      <c r="C2312" t="s">
        <v>52</v>
      </c>
      <c r="D2312" t="s">
        <v>65</v>
      </c>
      <c r="E2312">
        <v>2024</v>
      </c>
      <c r="F2312" t="s">
        <v>13</v>
      </c>
      <c r="G2312" t="s">
        <v>21</v>
      </c>
      <c r="H2312" t="s">
        <v>18</v>
      </c>
      <c r="I2312" t="s">
        <v>16</v>
      </c>
      <c r="J2312">
        <v>10677.05</v>
      </c>
      <c r="K2312">
        <v>11949.6</v>
      </c>
      <c r="L2312" s="20">
        <f>tbl_Budget[[#This Row],[Actual]]-tbl_Budget[[#This Row],[Budget]]</f>
        <v>1272.5500000000011</v>
      </c>
      <c r="M2312" s="3">
        <f>tbl_Budget[[#This Row],[Variance]]/tbl_Budget[[#This Row],[Budget]]</f>
        <v>0.11918554282315819</v>
      </c>
      <c r="N2312" t="str">
        <f>IF(tbl_Budget[[#This Row],[Variance_%]]&gt;0.05,"Overspend",IF(tbl_Budget[[#This Row],[Variance_%]]&lt;-0.05,"Underspend","On Budget"))</f>
        <v>Overspend</v>
      </c>
    </row>
    <row r="2313" spans="1:14">
      <c r="A2313" s="1">
        <v>45627</v>
      </c>
      <c r="B2313">
        <v>12</v>
      </c>
      <c r="C2313" t="s">
        <v>52</v>
      </c>
      <c r="D2313" t="s">
        <v>65</v>
      </c>
      <c r="E2313">
        <v>2024</v>
      </c>
      <c r="F2313" t="s">
        <v>13</v>
      </c>
      <c r="G2313" t="s">
        <v>21</v>
      </c>
      <c r="H2313" t="s">
        <v>19</v>
      </c>
      <c r="I2313" t="s">
        <v>16</v>
      </c>
      <c r="J2313">
        <v>11057.79</v>
      </c>
      <c r="K2313">
        <v>12273.03</v>
      </c>
      <c r="L2313" s="20">
        <f>tbl_Budget[[#This Row],[Actual]]-tbl_Budget[[#This Row],[Budget]]</f>
        <v>1215.2399999999998</v>
      </c>
      <c r="M2313" s="3">
        <f>tbl_Budget[[#This Row],[Variance]]/tbl_Budget[[#This Row],[Budget]]</f>
        <v>0.10989899428366787</v>
      </c>
      <c r="N2313" t="str">
        <f>IF(tbl_Budget[[#This Row],[Variance_%]]&gt;0.05,"Overspend",IF(tbl_Budget[[#This Row],[Variance_%]]&lt;-0.05,"Underspend","On Budget"))</f>
        <v>Overspend</v>
      </c>
    </row>
    <row r="2314" spans="1:14" hidden="1">
      <c r="A2314" s="1">
        <v>45627</v>
      </c>
      <c r="B2314">
        <v>12</v>
      </c>
      <c r="C2314" t="s">
        <v>52</v>
      </c>
      <c r="D2314" t="s">
        <v>65</v>
      </c>
      <c r="E2314">
        <v>2024</v>
      </c>
      <c r="F2314" t="s">
        <v>13</v>
      </c>
      <c r="G2314" t="s">
        <v>22</v>
      </c>
      <c r="H2314" t="s">
        <v>15</v>
      </c>
      <c r="I2314" t="s">
        <v>16</v>
      </c>
      <c r="J2314">
        <v>8916.7900000000009</v>
      </c>
      <c r="K2314">
        <v>9950.32</v>
      </c>
      <c r="L2314" s="20">
        <f>tbl_Budget[[#This Row],[Actual]]-tbl_Budget[[#This Row],[Budget]]</f>
        <v>1033.5299999999988</v>
      </c>
      <c r="M2314" s="3">
        <f>tbl_Budget[[#This Row],[Variance]]/tbl_Budget[[#This Row],[Budget]]</f>
        <v>0.11590830332440247</v>
      </c>
      <c r="N2314" t="str">
        <f>IF(tbl_Budget[[#This Row],[Variance_%]]&gt;0.05,"Overspend",IF(tbl_Budget[[#This Row],[Variance_%]]&lt;-0.05,"Underspend","On Budget"))</f>
        <v>Overspend</v>
      </c>
    </row>
    <row r="2315" spans="1:14" hidden="1">
      <c r="A2315" s="1">
        <v>45627</v>
      </c>
      <c r="B2315">
        <v>12</v>
      </c>
      <c r="C2315" t="s">
        <v>52</v>
      </c>
      <c r="D2315" t="s">
        <v>65</v>
      </c>
      <c r="E2315">
        <v>2024</v>
      </c>
      <c r="F2315" t="s">
        <v>13</v>
      </c>
      <c r="G2315" t="s">
        <v>22</v>
      </c>
      <c r="H2315" t="s">
        <v>17</v>
      </c>
      <c r="I2315" t="s">
        <v>16</v>
      </c>
      <c r="J2315">
        <v>8259.6200000000008</v>
      </c>
      <c r="K2315">
        <v>9136.4500000000007</v>
      </c>
      <c r="L2315" s="20">
        <f>tbl_Budget[[#This Row],[Actual]]-tbl_Budget[[#This Row],[Budget]]</f>
        <v>876.82999999999993</v>
      </c>
      <c r="M2315" s="3">
        <f>tbl_Budget[[#This Row],[Variance]]/tbl_Budget[[#This Row],[Budget]]</f>
        <v>0.10615863683801433</v>
      </c>
      <c r="N2315" t="str">
        <f>IF(tbl_Budget[[#This Row],[Variance_%]]&gt;0.05,"Overspend",IF(tbl_Budget[[#This Row],[Variance_%]]&lt;-0.05,"Underspend","On Budget"))</f>
        <v>Overspend</v>
      </c>
    </row>
    <row r="2316" spans="1:14" hidden="1">
      <c r="A2316" s="1">
        <v>45627</v>
      </c>
      <c r="B2316">
        <v>12</v>
      </c>
      <c r="C2316" t="s">
        <v>52</v>
      </c>
      <c r="D2316" t="s">
        <v>65</v>
      </c>
      <c r="E2316">
        <v>2024</v>
      </c>
      <c r="F2316" t="s">
        <v>13</v>
      </c>
      <c r="G2316" t="s">
        <v>22</v>
      </c>
      <c r="H2316" t="s">
        <v>18</v>
      </c>
      <c r="I2316" t="s">
        <v>16</v>
      </c>
      <c r="J2316">
        <v>8360.4</v>
      </c>
      <c r="K2316">
        <v>9225.34</v>
      </c>
      <c r="L2316" s="20">
        <f>tbl_Budget[[#This Row],[Actual]]-tbl_Budget[[#This Row],[Budget]]</f>
        <v>864.94000000000051</v>
      </c>
      <c r="M2316" s="3">
        <f>tbl_Budget[[#This Row],[Variance]]/tbl_Budget[[#This Row],[Budget]]</f>
        <v>0.10345677240323436</v>
      </c>
      <c r="N2316" t="str">
        <f>IF(tbl_Budget[[#This Row],[Variance_%]]&gt;0.05,"Overspend",IF(tbl_Budget[[#This Row],[Variance_%]]&lt;-0.05,"Underspend","On Budget"))</f>
        <v>Overspend</v>
      </c>
    </row>
    <row r="2317" spans="1:14" hidden="1">
      <c r="A2317" s="1">
        <v>45627</v>
      </c>
      <c r="B2317">
        <v>12</v>
      </c>
      <c r="C2317" t="s">
        <v>52</v>
      </c>
      <c r="D2317" t="s">
        <v>65</v>
      </c>
      <c r="E2317">
        <v>2024</v>
      </c>
      <c r="F2317" t="s">
        <v>13</v>
      </c>
      <c r="G2317" t="s">
        <v>22</v>
      </c>
      <c r="H2317" t="s">
        <v>19</v>
      </c>
      <c r="I2317" t="s">
        <v>16</v>
      </c>
      <c r="J2317">
        <v>9237.76</v>
      </c>
      <c r="K2317">
        <v>10923.23</v>
      </c>
      <c r="L2317" s="20">
        <f>tbl_Budget[[#This Row],[Actual]]-tbl_Budget[[#This Row],[Budget]]</f>
        <v>1685.4699999999993</v>
      </c>
      <c r="M2317" s="3">
        <f>tbl_Budget[[#This Row],[Variance]]/tbl_Budget[[#This Row],[Budget]]</f>
        <v>0.18245440453096848</v>
      </c>
      <c r="N2317" t="str">
        <f>IF(tbl_Budget[[#This Row],[Variance_%]]&gt;0.05,"Overspend",IF(tbl_Budget[[#This Row],[Variance_%]]&lt;-0.05,"Underspend","On Budget"))</f>
        <v>Overspend</v>
      </c>
    </row>
    <row r="2318" spans="1:14" hidden="1">
      <c r="A2318" s="1">
        <v>45627</v>
      </c>
      <c r="B2318">
        <v>12</v>
      </c>
      <c r="C2318" t="s">
        <v>52</v>
      </c>
      <c r="D2318" t="s">
        <v>65</v>
      </c>
      <c r="E2318">
        <v>2024</v>
      </c>
      <c r="F2318" t="s">
        <v>13</v>
      </c>
      <c r="G2318" t="s">
        <v>23</v>
      </c>
      <c r="H2318" t="s">
        <v>15</v>
      </c>
      <c r="I2318" t="s">
        <v>16</v>
      </c>
      <c r="J2318">
        <v>8940.0400000000009</v>
      </c>
      <c r="K2318">
        <v>10501.43</v>
      </c>
      <c r="L2318" s="20">
        <f>tbl_Budget[[#This Row],[Actual]]-tbl_Budget[[#This Row],[Budget]]</f>
        <v>1561.3899999999994</v>
      </c>
      <c r="M2318" s="3">
        <f>tbl_Budget[[#This Row],[Variance]]/tbl_Budget[[#This Row],[Budget]]</f>
        <v>0.17465134384186193</v>
      </c>
      <c r="N2318" t="str">
        <f>IF(tbl_Budget[[#This Row],[Variance_%]]&gt;0.05,"Overspend",IF(tbl_Budget[[#This Row],[Variance_%]]&lt;-0.05,"Underspend","On Budget"))</f>
        <v>Overspend</v>
      </c>
    </row>
    <row r="2319" spans="1:14" hidden="1">
      <c r="A2319" s="1">
        <v>45627</v>
      </c>
      <c r="B2319">
        <v>12</v>
      </c>
      <c r="C2319" t="s">
        <v>52</v>
      </c>
      <c r="D2319" t="s">
        <v>65</v>
      </c>
      <c r="E2319">
        <v>2024</v>
      </c>
      <c r="F2319" t="s">
        <v>13</v>
      </c>
      <c r="G2319" t="s">
        <v>23</v>
      </c>
      <c r="H2319" t="s">
        <v>17</v>
      </c>
      <c r="I2319" t="s">
        <v>16</v>
      </c>
      <c r="J2319">
        <v>8398.43</v>
      </c>
      <c r="K2319">
        <v>9498.9</v>
      </c>
      <c r="L2319" s="20">
        <f>tbl_Budget[[#This Row],[Actual]]-tbl_Budget[[#This Row],[Budget]]</f>
        <v>1100.4699999999993</v>
      </c>
      <c r="M2319" s="3">
        <f>tbl_Budget[[#This Row],[Variance]]/tbl_Budget[[#This Row],[Budget]]</f>
        <v>0.1310328239921032</v>
      </c>
      <c r="N2319" t="str">
        <f>IF(tbl_Budget[[#This Row],[Variance_%]]&gt;0.05,"Overspend",IF(tbl_Budget[[#This Row],[Variance_%]]&lt;-0.05,"Underspend","On Budget"))</f>
        <v>Overspend</v>
      </c>
    </row>
    <row r="2320" spans="1:14" hidden="1">
      <c r="A2320" s="1">
        <v>45627</v>
      </c>
      <c r="B2320">
        <v>12</v>
      </c>
      <c r="C2320" t="s">
        <v>52</v>
      </c>
      <c r="D2320" t="s">
        <v>65</v>
      </c>
      <c r="E2320">
        <v>2024</v>
      </c>
      <c r="F2320" t="s">
        <v>13</v>
      </c>
      <c r="G2320" t="s">
        <v>23</v>
      </c>
      <c r="H2320" t="s">
        <v>18</v>
      </c>
      <c r="I2320" t="s">
        <v>16</v>
      </c>
      <c r="J2320">
        <v>8873</v>
      </c>
      <c r="K2320">
        <v>10114.69</v>
      </c>
      <c r="L2320" s="20">
        <f>tbl_Budget[[#This Row],[Actual]]-tbl_Budget[[#This Row],[Budget]]</f>
        <v>1241.6900000000005</v>
      </c>
      <c r="M2320" s="3">
        <f>tbl_Budget[[#This Row],[Variance]]/tbl_Budget[[#This Row],[Budget]]</f>
        <v>0.13994026822946021</v>
      </c>
      <c r="N2320" t="str">
        <f>IF(tbl_Budget[[#This Row],[Variance_%]]&gt;0.05,"Overspend",IF(tbl_Budget[[#This Row],[Variance_%]]&lt;-0.05,"Underspend","On Budget"))</f>
        <v>Overspend</v>
      </c>
    </row>
    <row r="2321" spans="1:14" hidden="1">
      <c r="A2321" s="1">
        <v>45627</v>
      </c>
      <c r="B2321">
        <v>12</v>
      </c>
      <c r="C2321" t="s">
        <v>52</v>
      </c>
      <c r="D2321" t="s">
        <v>65</v>
      </c>
      <c r="E2321">
        <v>2024</v>
      </c>
      <c r="F2321" t="s">
        <v>13</v>
      </c>
      <c r="G2321" t="s">
        <v>23</v>
      </c>
      <c r="H2321" t="s">
        <v>19</v>
      </c>
      <c r="I2321" t="s">
        <v>16</v>
      </c>
      <c r="J2321">
        <v>9604.26</v>
      </c>
      <c r="K2321">
        <v>10773.03</v>
      </c>
      <c r="L2321" s="20">
        <f>tbl_Budget[[#This Row],[Actual]]-tbl_Budget[[#This Row],[Budget]]</f>
        <v>1168.7700000000004</v>
      </c>
      <c r="M2321" s="3">
        <f>tbl_Budget[[#This Row],[Variance]]/tbl_Budget[[#This Row],[Budget]]</f>
        <v>0.12169287378725695</v>
      </c>
      <c r="N2321" t="str">
        <f>IF(tbl_Budget[[#This Row],[Variance_%]]&gt;0.05,"Overspend",IF(tbl_Budget[[#This Row],[Variance_%]]&lt;-0.05,"Underspend","On Budget"))</f>
        <v>Overspend</v>
      </c>
    </row>
    <row r="2322" spans="1:14" hidden="1">
      <c r="A2322" s="1">
        <v>45627</v>
      </c>
      <c r="B2322">
        <v>12</v>
      </c>
      <c r="C2322" t="s">
        <v>52</v>
      </c>
      <c r="D2322" t="s">
        <v>65</v>
      </c>
      <c r="E2322">
        <v>2024</v>
      </c>
      <c r="F2322" t="s">
        <v>24</v>
      </c>
      <c r="G2322" t="s">
        <v>14</v>
      </c>
      <c r="H2322" t="s">
        <v>15</v>
      </c>
      <c r="I2322" t="s">
        <v>25</v>
      </c>
      <c r="J2322">
        <v>53532.35</v>
      </c>
      <c r="K2322">
        <v>48029.53</v>
      </c>
      <c r="L2322" s="20">
        <f>tbl_Budget[[#This Row],[Actual]]-tbl_Budget[[#This Row],[Budget]]</f>
        <v>-5502.82</v>
      </c>
      <c r="M2322" s="3">
        <f>tbl_Budget[[#This Row],[Variance]]/tbl_Budget[[#This Row],[Budget]]</f>
        <v>-0.10279429167596789</v>
      </c>
      <c r="N2322" t="str">
        <f>IF(tbl_Budget[[#This Row],[Variance_%]]&gt;0.05,"Overspend",IF(tbl_Budget[[#This Row],[Variance_%]]&lt;-0.05,"Underspend","On Budget"))</f>
        <v>Underspend</v>
      </c>
    </row>
    <row r="2323" spans="1:14" hidden="1">
      <c r="A2323" s="1">
        <v>45627</v>
      </c>
      <c r="B2323">
        <v>12</v>
      </c>
      <c r="C2323" t="s">
        <v>52</v>
      </c>
      <c r="D2323" t="s">
        <v>65</v>
      </c>
      <c r="E2323">
        <v>2024</v>
      </c>
      <c r="F2323" t="s">
        <v>24</v>
      </c>
      <c r="G2323" t="s">
        <v>14</v>
      </c>
      <c r="H2323" t="s">
        <v>17</v>
      </c>
      <c r="I2323" t="s">
        <v>25</v>
      </c>
      <c r="J2323">
        <v>49130.84</v>
      </c>
      <c r="K2323">
        <v>43537.599999999999</v>
      </c>
      <c r="L2323" s="20">
        <f>tbl_Budget[[#This Row],[Actual]]-tbl_Budget[[#This Row],[Budget]]</f>
        <v>-5593.239999999998</v>
      </c>
      <c r="M2323" s="3">
        <f>tbl_Budget[[#This Row],[Variance]]/tbl_Budget[[#This Row],[Budget]]</f>
        <v>-0.11384376900537418</v>
      </c>
      <c r="N2323" t="str">
        <f>IF(tbl_Budget[[#This Row],[Variance_%]]&gt;0.05,"Overspend",IF(tbl_Budget[[#This Row],[Variance_%]]&lt;-0.05,"Underspend","On Budget"))</f>
        <v>Underspend</v>
      </c>
    </row>
    <row r="2324" spans="1:14" hidden="1">
      <c r="A2324" s="1">
        <v>45627</v>
      </c>
      <c r="B2324">
        <v>12</v>
      </c>
      <c r="C2324" t="s">
        <v>52</v>
      </c>
      <c r="D2324" t="s">
        <v>65</v>
      </c>
      <c r="E2324">
        <v>2024</v>
      </c>
      <c r="F2324" t="s">
        <v>24</v>
      </c>
      <c r="G2324" t="s">
        <v>14</v>
      </c>
      <c r="H2324" t="s">
        <v>18</v>
      </c>
      <c r="I2324" t="s">
        <v>25</v>
      </c>
      <c r="J2324">
        <v>51779.17</v>
      </c>
      <c r="K2324">
        <v>44430.19</v>
      </c>
      <c r="L2324" s="20">
        <f>tbl_Budget[[#This Row],[Actual]]-tbl_Budget[[#This Row],[Budget]]</f>
        <v>-7348.9799999999959</v>
      </c>
      <c r="M2324" s="3">
        <f>tbl_Budget[[#This Row],[Variance]]/tbl_Budget[[#This Row],[Budget]]</f>
        <v>-0.14192927387596202</v>
      </c>
      <c r="N2324" t="str">
        <f>IF(tbl_Budget[[#This Row],[Variance_%]]&gt;0.05,"Overspend",IF(tbl_Budget[[#This Row],[Variance_%]]&lt;-0.05,"Underspend","On Budget"))</f>
        <v>Underspend</v>
      </c>
    </row>
    <row r="2325" spans="1:14" hidden="1">
      <c r="A2325" s="1">
        <v>45627</v>
      </c>
      <c r="B2325">
        <v>12</v>
      </c>
      <c r="C2325" t="s">
        <v>52</v>
      </c>
      <c r="D2325" t="s">
        <v>65</v>
      </c>
      <c r="E2325">
        <v>2024</v>
      </c>
      <c r="F2325" t="s">
        <v>24</v>
      </c>
      <c r="G2325" t="s">
        <v>14</v>
      </c>
      <c r="H2325" t="s">
        <v>19</v>
      </c>
      <c r="I2325" t="s">
        <v>25</v>
      </c>
      <c r="J2325">
        <v>54035.81</v>
      </c>
      <c r="K2325">
        <v>47296.57</v>
      </c>
      <c r="L2325" s="20">
        <f>tbl_Budget[[#This Row],[Actual]]-tbl_Budget[[#This Row],[Budget]]</f>
        <v>-6739.239999999998</v>
      </c>
      <c r="M2325" s="3">
        <f>tbl_Budget[[#This Row],[Variance]]/tbl_Budget[[#This Row],[Budget]]</f>
        <v>-0.12471803420731545</v>
      </c>
      <c r="N2325" t="str">
        <f>IF(tbl_Budget[[#This Row],[Variance_%]]&gt;0.05,"Overspend",IF(tbl_Budget[[#This Row],[Variance_%]]&lt;-0.05,"Underspend","On Budget"))</f>
        <v>Underspend</v>
      </c>
    </row>
    <row r="2326" spans="1:14" hidden="1">
      <c r="A2326" s="1">
        <v>45627</v>
      </c>
      <c r="B2326">
        <v>12</v>
      </c>
      <c r="C2326" t="s">
        <v>52</v>
      </c>
      <c r="D2326" t="s">
        <v>65</v>
      </c>
      <c r="E2326">
        <v>2024</v>
      </c>
      <c r="F2326" t="s">
        <v>24</v>
      </c>
      <c r="G2326" t="s">
        <v>20</v>
      </c>
      <c r="H2326" t="s">
        <v>15</v>
      </c>
      <c r="I2326" t="s">
        <v>25</v>
      </c>
      <c r="J2326">
        <v>29618.86</v>
      </c>
      <c r="K2326">
        <v>26407.63</v>
      </c>
      <c r="L2326" s="20">
        <f>tbl_Budget[[#This Row],[Actual]]-tbl_Budget[[#This Row],[Budget]]</f>
        <v>-3211.2299999999996</v>
      </c>
      <c r="M2326" s="3">
        <f>tbl_Budget[[#This Row],[Variance]]/tbl_Budget[[#This Row],[Budget]]</f>
        <v>-0.10841841988516775</v>
      </c>
      <c r="N2326" t="str">
        <f>IF(tbl_Budget[[#This Row],[Variance_%]]&gt;0.05,"Overspend",IF(tbl_Budget[[#This Row],[Variance_%]]&lt;-0.05,"Underspend","On Budget"))</f>
        <v>Underspend</v>
      </c>
    </row>
    <row r="2327" spans="1:14" hidden="1">
      <c r="A2327" s="1">
        <v>45627</v>
      </c>
      <c r="B2327">
        <v>12</v>
      </c>
      <c r="C2327" t="s">
        <v>52</v>
      </c>
      <c r="D2327" t="s">
        <v>65</v>
      </c>
      <c r="E2327">
        <v>2024</v>
      </c>
      <c r="F2327" t="s">
        <v>24</v>
      </c>
      <c r="G2327" t="s">
        <v>20</v>
      </c>
      <c r="H2327" t="s">
        <v>17</v>
      </c>
      <c r="I2327" t="s">
        <v>25</v>
      </c>
      <c r="J2327">
        <v>27230.62</v>
      </c>
      <c r="K2327">
        <v>23719.71</v>
      </c>
      <c r="L2327" s="20">
        <f>tbl_Budget[[#This Row],[Actual]]-tbl_Budget[[#This Row],[Budget]]</f>
        <v>-3510.91</v>
      </c>
      <c r="M2327" s="3">
        <f>tbl_Budget[[#This Row],[Variance]]/tbl_Budget[[#This Row],[Budget]]</f>
        <v>-0.12893242974269406</v>
      </c>
      <c r="N2327" t="str">
        <f>IF(tbl_Budget[[#This Row],[Variance_%]]&gt;0.05,"Overspend",IF(tbl_Budget[[#This Row],[Variance_%]]&lt;-0.05,"Underspend","On Budget"))</f>
        <v>Underspend</v>
      </c>
    </row>
    <row r="2328" spans="1:14" hidden="1">
      <c r="A2328" s="1">
        <v>45627</v>
      </c>
      <c r="B2328">
        <v>12</v>
      </c>
      <c r="C2328" t="s">
        <v>52</v>
      </c>
      <c r="D2328" t="s">
        <v>65</v>
      </c>
      <c r="E2328">
        <v>2024</v>
      </c>
      <c r="F2328" t="s">
        <v>24</v>
      </c>
      <c r="G2328" t="s">
        <v>20</v>
      </c>
      <c r="H2328" t="s">
        <v>18</v>
      </c>
      <c r="I2328" t="s">
        <v>25</v>
      </c>
      <c r="J2328">
        <v>27738.05</v>
      </c>
      <c r="K2328">
        <v>23515.8</v>
      </c>
      <c r="L2328" s="20">
        <f>tbl_Budget[[#This Row],[Actual]]-tbl_Budget[[#This Row],[Budget]]</f>
        <v>-4222.25</v>
      </c>
      <c r="M2328" s="3">
        <f>tbl_Budget[[#This Row],[Variance]]/tbl_Budget[[#This Row],[Budget]]</f>
        <v>-0.15221870318930134</v>
      </c>
      <c r="N2328" t="str">
        <f>IF(tbl_Budget[[#This Row],[Variance_%]]&gt;0.05,"Overspend",IF(tbl_Budget[[#This Row],[Variance_%]]&lt;-0.05,"Underspend","On Budget"))</f>
        <v>Underspend</v>
      </c>
    </row>
    <row r="2329" spans="1:14" hidden="1">
      <c r="A2329" s="1">
        <v>45627</v>
      </c>
      <c r="B2329">
        <v>12</v>
      </c>
      <c r="C2329" t="s">
        <v>52</v>
      </c>
      <c r="D2329" t="s">
        <v>65</v>
      </c>
      <c r="E2329">
        <v>2024</v>
      </c>
      <c r="F2329" t="s">
        <v>24</v>
      </c>
      <c r="G2329" t="s">
        <v>20</v>
      </c>
      <c r="H2329" t="s">
        <v>19</v>
      </c>
      <c r="I2329" t="s">
        <v>25</v>
      </c>
      <c r="J2329">
        <v>29718.05</v>
      </c>
      <c r="K2329">
        <v>25881.57</v>
      </c>
      <c r="L2329" s="20">
        <f>tbl_Budget[[#This Row],[Actual]]-tbl_Budget[[#This Row],[Budget]]</f>
        <v>-3836.4799999999996</v>
      </c>
      <c r="M2329" s="3">
        <f>tbl_Budget[[#This Row],[Variance]]/tbl_Budget[[#This Row],[Budget]]</f>
        <v>-0.12909595346935615</v>
      </c>
      <c r="N2329" t="str">
        <f>IF(tbl_Budget[[#This Row],[Variance_%]]&gt;0.05,"Overspend",IF(tbl_Budget[[#This Row],[Variance_%]]&lt;-0.05,"Underspend","On Budget"))</f>
        <v>Underspend</v>
      </c>
    </row>
    <row r="2330" spans="1:14">
      <c r="A2330" s="1">
        <v>45627</v>
      </c>
      <c r="B2330">
        <v>12</v>
      </c>
      <c r="C2330" t="s">
        <v>52</v>
      </c>
      <c r="D2330" t="s">
        <v>65</v>
      </c>
      <c r="E2330">
        <v>2024</v>
      </c>
      <c r="F2330" t="s">
        <v>24</v>
      </c>
      <c r="G2330" t="s">
        <v>21</v>
      </c>
      <c r="H2330" t="s">
        <v>15</v>
      </c>
      <c r="I2330" t="s">
        <v>25</v>
      </c>
      <c r="J2330">
        <v>11107.31</v>
      </c>
      <c r="K2330">
        <v>9492.85</v>
      </c>
      <c r="L2330" s="20">
        <f>tbl_Budget[[#This Row],[Actual]]-tbl_Budget[[#This Row],[Budget]]</f>
        <v>-1614.4599999999991</v>
      </c>
      <c r="M2330" s="3">
        <f>tbl_Budget[[#This Row],[Variance]]/tbl_Budget[[#This Row],[Budget]]</f>
        <v>-0.14535112461973235</v>
      </c>
      <c r="N2330" t="str">
        <f>IF(tbl_Budget[[#This Row],[Variance_%]]&gt;0.05,"Overspend",IF(tbl_Budget[[#This Row],[Variance_%]]&lt;-0.05,"Underspend","On Budget"))</f>
        <v>Underspend</v>
      </c>
    </row>
    <row r="2331" spans="1:14">
      <c r="A2331" s="1">
        <v>45627</v>
      </c>
      <c r="B2331">
        <v>12</v>
      </c>
      <c r="C2331" t="s">
        <v>52</v>
      </c>
      <c r="D2331" t="s">
        <v>65</v>
      </c>
      <c r="E2331">
        <v>2024</v>
      </c>
      <c r="F2331" t="s">
        <v>24</v>
      </c>
      <c r="G2331" t="s">
        <v>21</v>
      </c>
      <c r="H2331" t="s">
        <v>17</v>
      </c>
      <c r="I2331" t="s">
        <v>25</v>
      </c>
      <c r="J2331">
        <v>10759.51</v>
      </c>
      <c r="K2331">
        <v>9261.35</v>
      </c>
      <c r="L2331" s="20">
        <f>tbl_Budget[[#This Row],[Actual]]-tbl_Budget[[#This Row],[Budget]]</f>
        <v>-1498.1599999999999</v>
      </c>
      <c r="M2331" s="3">
        <f>tbl_Budget[[#This Row],[Variance]]/tbl_Budget[[#This Row],[Budget]]</f>
        <v>-0.139240541623178</v>
      </c>
      <c r="N2331" t="str">
        <f>IF(tbl_Budget[[#This Row],[Variance_%]]&gt;0.05,"Overspend",IF(tbl_Budget[[#This Row],[Variance_%]]&lt;-0.05,"Underspend","On Budget"))</f>
        <v>Underspend</v>
      </c>
    </row>
    <row r="2332" spans="1:14">
      <c r="A2332" s="1">
        <v>45627</v>
      </c>
      <c r="B2332">
        <v>12</v>
      </c>
      <c r="C2332" t="s">
        <v>52</v>
      </c>
      <c r="D2332" t="s">
        <v>65</v>
      </c>
      <c r="E2332">
        <v>2024</v>
      </c>
      <c r="F2332" t="s">
        <v>24</v>
      </c>
      <c r="G2332" t="s">
        <v>21</v>
      </c>
      <c r="H2332" t="s">
        <v>18</v>
      </c>
      <c r="I2332" t="s">
        <v>25</v>
      </c>
      <c r="J2332">
        <v>11234.78</v>
      </c>
      <c r="K2332">
        <v>9913.2199999999993</v>
      </c>
      <c r="L2332" s="20">
        <f>tbl_Budget[[#This Row],[Actual]]-tbl_Budget[[#This Row],[Budget]]</f>
        <v>-1321.5600000000013</v>
      </c>
      <c r="M2332" s="3">
        <f>tbl_Budget[[#This Row],[Variance]]/tbl_Budget[[#This Row],[Budget]]</f>
        <v>-0.11763114186481634</v>
      </c>
      <c r="N2332" t="str">
        <f>IF(tbl_Budget[[#This Row],[Variance_%]]&gt;0.05,"Overspend",IF(tbl_Budget[[#This Row],[Variance_%]]&lt;-0.05,"Underspend","On Budget"))</f>
        <v>Underspend</v>
      </c>
    </row>
    <row r="2333" spans="1:14">
      <c r="A2333" s="1">
        <v>45627</v>
      </c>
      <c r="B2333">
        <v>12</v>
      </c>
      <c r="C2333" t="s">
        <v>52</v>
      </c>
      <c r="D2333" t="s">
        <v>65</v>
      </c>
      <c r="E2333">
        <v>2024</v>
      </c>
      <c r="F2333" t="s">
        <v>24</v>
      </c>
      <c r="G2333" t="s">
        <v>21</v>
      </c>
      <c r="H2333" t="s">
        <v>19</v>
      </c>
      <c r="I2333" t="s">
        <v>25</v>
      </c>
      <c r="J2333">
        <v>11721.76</v>
      </c>
      <c r="K2333">
        <v>10518.93</v>
      </c>
      <c r="L2333" s="20">
        <f>tbl_Budget[[#This Row],[Actual]]-tbl_Budget[[#This Row],[Budget]]</f>
        <v>-1202.83</v>
      </c>
      <c r="M2333" s="3">
        <f>tbl_Budget[[#This Row],[Variance]]/tbl_Budget[[#This Row],[Budget]]</f>
        <v>-0.10261513629352588</v>
      </c>
      <c r="N2333" t="str">
        <f>IF(tbl_Budget[[#This Row],[Variance_%]]&gt;0.05,"Overspend",IF(tbl_Budget[[#This Row],[Variance_%]]&lt;-0.05,"Underspend","On Budget"))</f>
        <v>Underspend</v>
      </c>
    </row>
    <row r="2334" spans="1:14" hidden="1">
      <c r="A2334" s="1">
        <v>45627</v>
      </c>
      <c r="B2334">
        <v>12</v>
      </c>
      <c r="C2334" t="s">
        <v>52</v>
      </c>
      <c r="D2334" t="s">
        <v>65</v>
      </c>
      <c r="E2334">
        <v>2024</v>
      </c>
      <c r="F2334" t="s">
        <v>24</v>
      </c>
      <c r="G2334" t="s">
        <v>22</v>
      </c>
      <c r="H2334" t="s">
        <v>15</v>
      </c>
      <c r="I2334" t="s">
        <v>25</v>
      </c>
      <c r="J2334">
        <v>9132.89</v>
      </c>
      <c r="K2334">
        <v>8034.41</v>
      </c>
      <c r="L2334" s="20">
        <f>tbl_Budget[[#This Row],[Actual]]-tbl_Budget[[#This Row],[Budget]]</f>
        <v>-1098.4799999999996</v>
      </c>
      <c r="M2334" s="3">
        <f>tbl_Budget[[#This Row],[Variance]]/tbl_Budget[[#This Row],[Budget]]</f>
        <v>-0.12027737112786857</v>
      </c>
      <c r="N2334" t="str">
        <f>IF(tbl_Budget[[#This Row],[Variance_%]]&gt;0.05,"Overspend",IF(tbl_Budget[[#This Row],[Variance_%]]&lt;-0.05,"Underspend","On Budget"))</f>
        <v>Underspend</v>
      </c>
    </row>
    <row r="2335" spans="1:14" hidden="1">
      <c r="A2335" s="1">
        <v>45627</v>
      </c>
      <c r="B2335">
        <v>12</v>
      </c>
      <c r="C2335" t="s">
        <v>52</v>
      </c>
      <c r="D2335" t="s">
        <v>65</v>
      </c>
      <c r="E2335">
        <v>2024</v>
      </c>
      <c r="F2335" t="s">
        <v>24</v>
      </c>
      <c r="G2335" t="s">
        <v>22</v>
      </c>
      <c r="H2335" t="s">
        <v>17</v>
      </c>
      <c r="I2335" t="s">
        <v>25</v>
      </c>
      <c r="J2335">
        <v>8830.86</v>
      </c>
      <c r="K2335">
        <v>7606.69</v>
      </c>
      <c r="L2335" s="20">
        <f>tbl_Budget[[#This Row],[Actual]]-tbl_Budget[[#This Row],[Budget]]</f>
        <v>-1224.170000000001</v>
      </c>
      <c r="M2335" s="3">
        <f>tbl_Budget[[#This Row],[Variance]]/tbl_Budget[[#This Row],[Budget]]</f>
        <v>-0.13862409776624257</v>
      </c>
      <c r="N2335" t="str">
        <f>IF(tbl_Budget[[#This Row],[Variance_%]]&gt;0.05,"Overspend",IF(tbl_Budget[[#This Row],[Variance_%]]&lt;-0.05,"Underspend","On Budget"))</f>
        <v>Underspend</v>
      </c>
    </row>
    <row r="2336" spans="1:14" hidden="1">
      <c r="A2336" s="1">
        <v>45627</v>
      </c>
      <c r="B2336">
        <v>12</v>
      </c>
      <c r="C2336" t="s">
        <v>52</v>
      </c>
      <c r="D2336" t="s">
        <v>65</v>
      </c>
      <c r="E2336">
        <v>2024</v>
      </c>
      <c r="F2336" t="s">
        <v>24</v>
      </c>
      <c r="G2336" t="s">
        <v>22</v>
      </c>
      <c r="H2336" t="s">
        <v>18</v>
      </c>
      <c r="I2336" t="s">
        <v>25</v>
      </c>
      <c r="J2336">
        <v>9173.7900000000009</v>
      </c>
      <c r="K2336">
        <v>8161.78</v>
      </c>
      <c r="L2336" s="20">
        <f>tbl_Budget[[#This Row],[Actual]]-tbl_Budget[[#This Row],[Budget]]</f>
        <v>-1012.0100000000011</v>
      </c>
      <c r="M2336" s="3">
        <f>tbl_Budget[[#This Row],[Variance]]/tbl_Budget[[#This Row],[Budget]]</f>
        <v>-0.11031536584116282</v>
      </c>
      <c r="N2336" t="str">
        <f>IF(tbl_Budget[[#This Row],[Variance_%]]&gt;0.05,"Overspend",IF(tbl_Budget[[#This Row],[Variance_%]]&lt;-0.05,"Underspend","On Budget"))</f>
        <v>Underspend</v>
      </c>
    </row>
    <row r="2337" spans="1:14" hidden="1">
      <c r="A2337" s="1">
        <v>45627</v>
      </c>
      <c r="B2337">
        <v>12</v>
      </c>
      <c r="C2337" t="s">
        <v>52</v>
      </c>
      <c r="D2337" t="s">
        <v>65</v>
      </c>
      <c r="E2337">
        <v>2024</v>
      </c>
      <c r="F2337" t="s">
        <v>24</v>
      </c>
      <c r="G2337" t="s">
        <v>22</v>
      </c>
      <c r="H2337" t="s">
        <v>19</v>
      </c>
      <c r="I2337" t="s">
        <v>25</v>
      </c>
      <c r="J2337">
        <v>9840.16</v>
      </c>
      <c r="K2337">
        <v>8513.15</v>
      </c>
      <c r="L2337" s="20">
        <f>tbl_Budget[[#This Row],[Actual]]-tbl_Budget[[#This Row],[Budget]]</f>
        <v>-1327.0100000000002</v>
      </c>
      <c r="M2337" s="3">
        <f>tbl_Budget[[#This Row],[Variance]]/tbl_Budget[[#This Row],[Budget]]</f>
        <v>-0.1348565470480155</v>
      </c>
      <c r="N2337" t="str">
        <f>IF(tbl_Budget[[#This Row],[Variance_%]]&gt;0.05,"Overspend",IF(tbl_Budget[[#This Row],[Variance_%]]&lt;-0.05,"Underspend","On Budget"))</f>
        <v>Underspend</v>
      </c>
    </row>
    <row r="2338" spans="1:14" hidden="1">
      <c r="A2338" s="1">
        <v>45627</v>
      </c>
      <c r="B2338">
        <v>12</v>
      </c>
      <c r="C2338" t="s">
        <v>52</v>
      </c>
      <c r="D2338" t="s">
        <v>65</v>
      </c>
      <c r="E2338">
        <v>2024</v>
      </c>
      <c r="F2338" t="s">
        <v>24</v>
      </c>
      <c r="G2338" t="s">
        <v>23</v>
      </c>
      <c r="H2338" t="s">
        <v>15</v>
      </c>
      <c r="I2338" t="s">
        <v>25</v>
      </c>
      <c r="J2338">
        <v>8049.82</v>
      </c>
      <c r="K2338">
        <v>6958.05</v>
      </c>
      <c r="L2338" s="20">
        <f>tbl_Budget[[#This Row],[Actual]]-tbl_Budget[[#This Row],[Budget]]</f>
        <v>-1091.7699999999995</v>
      </c>
      <c r="M2338" s="3">
        <f>tbl_Budget[[#This Row],[Variance]]/tbl_Budget[[#This Row],[Budget]]</f>
        <v>-0.13562663512972956</v>
      </c>
      <c r="N2338" t="str">
        <f>IF(tbl_Budget[[#This Row],[Variance_%]]&gt;0.05,"Overspend",IF(tbl_Budget[[#This Row],[Variance_%]]&lt;-0.05,"Underspend","On Budget"))</f>
        <v>Underspend</v>
      </c>
    </row>
    <row r="2339" spans="1:14" hidden="1">
      <c r="A2339" s="1">
        <v>45627</v>
      </c>
      <c r="B2339">
        <v>12</v>
      </c>
      <c r="C2339" t="s">
        <v>52</v>
      </c>
      <c r="D2339" t="s">
        <v>65</v>
      </c>
      <c r="E2339">
        <v>2024</v>
      </c>
      <c r="F2339" t="s">
        <v>24</v>
      </c>
      <c r="G2339" t="s">
        <v>23</v>
      </c>
      <c r="H2339" t="s">
        <v>17</v>
      </c>
      <c r="I2339" t="s">
        <v>25</v>
      </c>
      <c r="J2339">
        <v>7575.49</v>
      </c>
      <c r="K2339">
        <v>6478.51</v>
      </c>
      <c r="L2339" s="20">
        <f>tbl_Budget[[#This Row],[Actual]]-tbl_Budget[[#This Row],[Budget]]</f>
        <v>-1096.9799999999996</v>
      </c>
      <c r="M2339" s="3">
        <f>tbl_Budget[[#This Row],[Variance]]/tbl_Budget[[#This Row],[Budget]]</f>
        <v>-0.14480647456468157</v>
      </c>
      <c r="N2339" t="str">
        <f>IF(tbl_Budget[[#This Row],[Variance_%]]&gt;0.05,"Overspend",IF(tbl_Budget[[#This Row],[Variance_%]]&lt;-0.05,"Underspend","On Budget"))</f>
        <v>Underspend</v>
      </c>
    </row>
    <row r="2340" spans="1:14" hidden="1">
      <c r="A2340" s="1">
        <v>45627</v>
      </c>
      <c r="B2340">
        <v>12</v>
      </c>
      <c r="C2340" t="s">
        <v>52</v>
      </c>
      <c r="D2340" t="s">
        <v>65</v>
      </c>
      <c r="E2340">
        <v>2024</v>
      </c>
      <c r="F2340" t="s">
        <v>24</v>
      </c>
      <c r="G2340" t="s">
        <v>23</v>
      </c>
      <c r="H2340" t="s">
        <v>18</v>
      </c>
      <c r="I2340" t="s">
        <v>25</v>
      </c>
      <c r="J2340">
        <v>7566.52</v>
      </c>
      <c r="K2340">
        <v>6638.89</v>
      </c>
      <c r="L2340" s="20">
        <f>tbl_Budget[[#This Row],[Actual]]-tbl_Budget[[#This Row],[Budget]]</f>
        <v>-927.63000000000011</v>
      </c>
      <c r="M2340" s="3">
        <f>tbl_Budget[[#This Row],[Variance]]/tbl_Budget[[#This Row],[Budget]]</f>
        <v>-0.12259664945047394</v>
      </c>
      <c r="N2340" t="str">
        <f>IF(tbl_Budget[[#This Row],[Variance_%]]&gt;0.05,"Overspend",IF(tbl_Budget[[#This Row],[Variance_%]]&lt;-0.05,"Underspend","On Budget"))</f>
        <v>Underspend</v>
      </c>
    </row>
    <row r="2341" spans="1:14" hidden="1">
      <c r="A2341" s="1">
        <v>45627</v>
      </c>
      <c r="B2341">
        <v>12</v>
      </c>
      <c r="C2341" t="s">
        <v>52</v>
      </c>
      <c r="D2341" t="s">
        <v>65</v>
      </c>
      <c r="E2341">
        <v>2024</v>
      </c>
      <c r="F2341" t="s">
        <v>24</v>
      </c>
      <c r="G2341" t="s">
        <v>23</v>
      </c>
      <c r="H2341" t="s">
        <v>19</v>
      </c>
      <c r="I2341" t="s">
        <v>25</v>
      </c>
      <c r="J2341">
        <v>8058.5</v>
      </c>
      <c r="K2341">
        <v>7087.29</v>
      </c>
      <c r="L2341" s="20">
        <f>tbl_Budget[[#This Row],[Actual]]-tbl_Budget[[#This Row],[Budget]]</f>
        <v>-971.21</v>
      </c>
      <c r="M2341" s="3">
        <f>tbl_Budget[[#This Row],[Variance]]/tbl_Budget[[#This Row],[Budget]]</f>
        <v>-0.12051994788111932</v>
      </c>
      <c r="N2341" t="str">
        <f>IF(tbl_Budget[[#This Row],[Variance_%]]&gt;0.05,"Overspend",IF(tbl_Budget[[#This Row],[Variance_%]]&lt;-0.05,"Underspend","On Budget"))</f>
        <v>Underspend</v>
      </c>
    </row>
    <row r="2342" spans="1:14" hidden="1">
      <c r="A2342" s="1">
        <v>45627</v>
      </c>
      <c r="B2342">
        <v>12</v>
      </c>
      <c r="C2342" t="s">
        <v>52</v>
      </c>
      <c r="D2342" t="s">
        <v>65</v>
      </c>
      <c r="E2342">
        <v>2024</v>
      </c>
      <c r="F2342" t="s">
        <v>26</v>
      </c>
      <c r="G2342" t="s">
        <v>14</v>
      </c>
      <c r="H2342" t="s">
        <v>15</v>
      </c>
      <c r="I2342" t="s">
        <v>27</v>
      </c>
      <c r="J2342">
        <v>45679.79</v>
      </c>
      <c r="K2342">
        <v>46508.88</v>
      </c>
      <c r="L2342" s="20">
        <f>tbl_Budget[[#This Row],[Actual]]-tbl_Budget[[#This Row],[Budget]]</f>
        <v>829.08999999999651</v>
      </c>
      <c r="M2342" s="3">
        <f>tbl_Budget[[#This Row],[Variance]]/tbl_Budget[[#This Row],[Budget]]</f>
        <v>1.8150039656486962E-2</v>
      </c>
      <c r="N2342" t="str">
        <f>IF(tbl_Budget[[#This Row],[Variance_%]]&gt;0.05,"Overspend",IF(tbl_Budget[[#This Row],[Variance_%]]&lt;-0.05,"Underspend","On Budget"))</f>
        <v>On Budget</v>
      </c>
    </row>
    <row r="2343" spans="1:14" hidden="1">
      <c r="A2343" s="1">
        <v>45627</v>
      </c>
      <c r="B2343">
        <v>12</v>
      </c>
      <c r="C2343" t="s">
        <v>52</v>
      </c>
      <c r="D2343" t="s">
        <v>65</v>
      </c>
      <c r="E2343">
        <v>2024</v>
      </c>
      <c r="F2343" t="s">
        <v>26</v>
      </c>
      <c r="G2343" t="s">
        <v>14</v>
      </c>
      <c r="H2343" t="s">
        <v>17</v>
      </c>
      <c r="I2343" t="s">
        <v>27</v>
      </c>
      <c r="J2343">
        <v>42605.23</v>
      </c>
      <c r="K2343">
        <v>43699.92</v>
      </c>
      <c r="L2343" s="20">
        <f>tbl_Budget[[#This Row],[Actual]]-tbl_Budget[[#This Row],[Budget]]</f>
        <v>1094.6899999999951</v>
      </c>
      <c r="M2343" s="3">
        <f>tbl_Budget[[#This Row],[Variance]]/tbl_Budget[[#This Row],[Budget]]</f>
        <v>2.5693793930932775E-2</v>
      </c>
      <c r="N2343" t="str">
        <f>IF(tbl_Budget[[#This Row],[Variance_%]]&gt;0.05,"Overspend",IF(tbl_Budget[[#This Row],[Variance_%]]&lt;-0.05,"Underspend","On Budget"))</f>
        <v>On Budget</v>
      </c>
    </row>
    <row r="2344" spans="1:14" hidden="1">
      <c r="A2344" s="1">
        <v>45627</v>
      </c>
      <c r="B2344">
        <v>12</v>
      </c>
      <c r="C2344" t="s">
        <v>52</v>
      </c>
      <c r="D2344" t="s">
        <v>65</v>
      </c>
      <c r="E2344">
        <v>2024</v>
      </c>
      <c r="F2344" t="s">
        <v>26</v>
      </c>
      <c r="G2344" t="s">
        <v>14</v>
      </c>
      <c r="H2344" t="s">
        <v>18</v>
      </c>
      <c r="I2344" t="s">
        <v>27</v>
      </c>
      <c r="J2344">
        <v>44128.15</v>
      </c>
      <c r="K2344">
        <v>45031.3</v>
      </c>
      <c r="L2344" s="20">
        <f>tbl_Budget[[#This Row],[Actual]]-tbl_Budget[[#This Row],[Budget]]</f>
        <v>903.15000000000146</v>
      </c>
      <c r="M2344" s="3">
        <f>tbl_Budget[[#This Row],[Variance]]/tbl_Budget[[#This Row],[Budget]]</f>
        <v>2.0466527601995584E-2</v>
      </c>
      <c r="N2344" t="str">
        <f>IF(tbl_Budget[[#This Row],[Variance_%]]&gt;0.05,"Overspend",IF(tbl_Budget[[#This Row],[Variance_%]]&lt;-0.05,"Underspend","On Budget"))</f>
        <v>On Budget</v>
      </c>
    </row>
    <row r="2345" spans="1:14" hidden="1">
      <c r="A2345" s="1">
        <v>45627</v>
      </c>
      <c r="B2345">
        <v>12</v>
      </c>
      <c r="C2345" t="s">
        <v>52</v>
      </c>
      <c r="D2345" t="s">
        <v>65</v>
      </c>
      <c r="E2345">
        <v>2024</v>
      </c>
      <c r="F2345" t="s">
        <v>26</v>
      </c>
      <c r="G2345" t="s">
        <v>14</v>
      </c>
      <c r="H2345" t="s">
        <v>19</v>
      </c>
      <c r="I2345" t="s">
        <v>27</v>
      </c>
      <c r="J2345">
        <v>47965.45</v>
      </c>
      <c r="K2345">
        <v>48359.7</v>
      </c>
      <c r="L2345" s="20">
        <f>tbl_Budget[[#This Row],[Actual]]-tbl_Budget[[#This Row],[Budget]]</f>
        <v>394.25</v>
      </c>
      <c r="M2345" s="3">
        <f>tbl_Budget[[#This Row],[Variance]]/tbl_Budget[[#This Row],[Budget]]</f>
        <v>8.2194579640136808E-3</v>
      </c>
      <c r="N2345" t="str">
        <f>IF(tbl_Budget[[#This Row],[Variance_%]]&gt;0.05,"Overspend",IF(tbl_Budget[[#This Row],[Variance_%]]&lt;-0.05,"Underspend","On Budget"))</f>
        <v>On Budget</v>
      </c>
    </row>
    <row r="2346" spans="1:14" hidden="1">
      <c r="A2346" s="1">
        <v>45627</v>
      </c>
      <c r="B2346">
        <v>12</v>
      </c>
      <c r="C2346" t="s">
        <v>52</v>
      </c>
      <c r="D2346" t="s">
        <v>65</v>
      </c>
      <c r="E2346">
        <v>2024</v>
      </c>
      <c r="F2346" t="s">
        <v>26</v>
      </c>
      <c r="G2346" t="s">
        <v>20</v>
      </c>
      <c r="H2346" t="s">
        <v>15</v>
      </c>
      <c r="I2346" t="s">
        <v>27</v>
      </c>
      <c r="J2346">
        <v>16078</v>
      </c>
      <c r="K2346">
        <v>16253.52</v>
      </c>
      <c r="L2346" s="20">
        <f>tbl_Budget[[#This Row],[Actual]]-tbl_Budget[[#This Row],[Budget]]</f>
        <v>175.52000000000044</v>
      </c>
      <c r="M2346" s="3">
        <f>tbl_Budget[[#This Row],[Variance]]/tbl_Budget[[#This Row],[Budget]]</f>
        <v>1.0916780694116212E-2</v>
      </c>
      <c r="N2346" t="str">
        <f>IF(tbl_Budget[[#This Row],[Variance_%]]&gt;0.05,"Overspend",IF(tbl_Budget[[#This Row],[Variance_%]]&lt;-0.05,"Underspend","On Budget"))</f>
        <v>On Budget</v>
      </c>
    </row>
    <row r="2347" spans="1:14" hidden="1">
      <c r="A2347" s="1">
        <v>45627</v>
      </c>
      <c r="B2347">
        <v>12</v>
      </c>
      <c r="C2347" t="s">
        <v>52</v>
      </c>
      <c r="D2347" t="s">
        <v>65</v>
      </c>
      <c r="E2347">
        <v>2024</v>
      </c>
      <c r="F2347" t="s">
        <v>26</v>
      </c>
      <c r="G2347" t="s">
        <v>20</v>
      </c>
      <c r="H2347" t="s">
        <v>17</v>
      </c>
      <c r="I2347" t="s">
        <v>27</v>
      </c>
      <c r="J2347">
        <v>15070.28</v>
      </c>
      <c r="K2347">
        <v>15531.93</v>
      </c>
      <c r="L2347" s="20">
        <f>tbl_Budget[[#This Row],[Actual]]-tbl_Budget[[#This Row],[Budget]]</f>
        <v>461.64999999999964</v>
      </c>
      <c r="M2347" s="3">
        <f>tbl_Budget[[#This Row],[Variance]]/tbl_Budget[[#This Row],[Budget]]</f>
        <v>3.06331401938119E-2</v>
      </c>
      <c r="N2347" t="str">
        <f>IF(tbl_Budget[[#This Row],[Variance_%]]&gt;0.05,"Overspend",IF(tbl_Budget[[#This Row],[Variance_%]]&lt;-0.05,"Underspend","On Budget"))</f>
        <v>On Budget</v>
      </c>
    </row>
    <row r="2348" spans="1:14" hidden="1">
      <c r="A2348" s="1">
        <v>45627</v>
      </c>
      <c r="B2348">
        <v>12</v>
      </c>
      <c r="C2348" t="s">
        <v>52</v>
      </c>
      <c r="D2348" t="s">
        <v>65</v>
      </c>
      <c r="E2348">
        <v>2024</v>
      </c>
      <c r="F2348" t="s">
        <v>26</v>
      </c>
      <c r="G2348" t="s">
        <v>20</v>
      </c>
      <c r="H2348" t="s">
        <v>18</v>
      </c>
      <c r="I2348" t="s">
        <v>27</v>
      </c>
      <c r="J2348">
        <v>14876.62</v>
      </c>
      <c r="K2348">
        <v>14603.19</v>
      </c>
      <c r="L2348" s="20">
        <f>tbl_Budget[[#This Row],[Actual]]-tbl_Budget[[#This Row],[Budget]]</f>
        <v>-273.43000000000029</v>
      </c>
      <c r="M2348" s="3">
        <f>tbl_Budget[[#This Row],[Variance]]/tbl_Budget[[#This Row],[Budget]]</f>
        <v>-1.8379847035146443E-2</v>
      </c>
      <c r="N2348" t="str">
        <f>IF(tbl_Budget[[#This Row],[Variance_%]]&gt;0.05,"Overspend",IF(tbl_Budget[[#This Row],[Variance_%]]&lt;-0.05,"Underspend","On Budget"))</f>
        <v>On Budget</v>
      </c>
    </row>
    <row r="2349" spans="1:14" hidden="1">
      <c r="A2349" s="1">
        <v>45627</v>
      </c>
      <c r="B2349">
        <v>12</v>
      </c>
      <c r="C2349" t="s">
        <v>52</v>
      </c>
      <c r="D2349" t="s">
        <v>65</v>
      </c>
      <c r="E2349">
        <v>2024</v>
      </c>
      <c r="F2349" t="s">
        <v>26</v>
      </c>
      <c r="G2349" t="s">
        <v>20</v>
      </c>
      <c r="H2349" t="s">
        <v>19</v>
      </c>
      <c r="I2349" t="s">
        <v>27</v>
      </c>
      <c r="J2349">
        <v>16167.28</v>
      </c>
      <c r="K2349">
        <v>16332.66</v>
      </c>
      <c r="L2349" s="20">
        <f>tbl_Budget[[#This Row],[Actual]]-tbl_Budget[[#This Row],[Budget]]</f>
        <v>165.3799999999992</v>
      </c>
      <c r="M2349" s="3">
        <f>tbl_Budget[[#This Row],[Variance]]/tbl_Budget[[#This Row],[Budget]]</f>
        <v>1.022930264088945E-2</v>
      </c>
      <c r="N2349" t="str">
        <f>IF(tbl_Budget[[#This Row],[Variance_%]]&gt;0.05,"Overspend",IF(tbl_Budget[[#This Row],[Variance_%]]&lt;-0.05,"Underspend","On Budget"))</f>
        <v>On Budget</v>
      </c>
    </row>
    <row r="2350" spans="1:14">
      <c r="A2350" s="1">
        <v>45627</v>
      </c>
      <c r="B2350">
        <v>12</v>
      </c>
      <c r="C2350" t="s">
        <v>52</v>
      </c>
      <c r="D2350" t="s">
        <v>65</v>
      </c>
      <c r="E2350">
        <v>2024</v>
      </c>
      <c r="F2350" t="s">
        <v>26</v>
      </c>
      <c r="G2350" t="s">
        <v>21</v>
      </c>
      <c r="H2350" t="s">
        <v>15</v>
      </c>
      <c r="I2350" t="s">
        <v>27</v>
      </c>
      <c r="J2350">
        <v>9008.2900000000009</v>
      </c>
      <c r="K2350">
        <v>9002.7199999999993</v>
      </c>
      <c r="L2350" s="20">
        <f>tbl_Budget[[#This Row],[Actual]]-tbl_Budget[[#This Row],[Budget]]</f>
        <v>-5.570000000001528</v>
      </c>
      <c r="M2350" s="3">
        <f>tbl_Budget[[#This Row],[Variance]]/tbl_Budget[[#This Row],[Budget]]</f>
        <v>-6.1831934806733883E-4</v>
      </c>
      <c r="N2350" t="str">
        <f>IF(tbl_Budget[[#This Row],[Variance_%]]&gt;0.05,"Overspend",IF(tbl_Budget[[#This Row],[Variance_%]]&lt;-0.05,"Underspend","On Budget"))</f>
        <v>On Budget</v>
      </c>
    </row>
    <row r="2351" spans="1:14">
      <c r="A2351" s="1">
        <v>45627</v>
      </c>
      <c r="B2351">
        <v>12</v>
      </c>
      <c r="C2351" t="s">
        <v>52</v>
      </c>
      <c r="D2351" t="s">
        <v>65</v>
      </c>
      <c r="E2351">
        <v>2024</v>
      </c>
      <c r="F2351" t="s">
        <v>26</v>
      </c>
      <c r="G2351" t="s">
        <v>21</v>
      </c>
      <c r="H2351" t="s">
        <v>17</v>
      </c>
      <c r="I2351" t="s">
        <v>27</v>
      </c>
      <c r="J2351">
        <v>8202.6</v>
      </c>
      <c r="K2351">
        <v>8140.99</v>
      </c>
      <c r="L2351" s="20">
        <f>tbl_Budget[[#This Row],[Actual]]-tbl_Budget[[#This Row],[Budget]]</f>
        <v>-61.610000000000582</v>
      </c>
      <c r="M2351" s="3">
        <f>tbl_Budget[[#This Row],[Variance]]/tbl_Budget[[#This Row],[Budget]]</f>
        <v>-7.5110330870700242E-3</v>
      </c>
      <c r="N2351" t="str">
        <f>IF(tbl_Budget[[#This Row],[Variance_%]]&gt;0.05,"Overspend",IF(tbl_Budget[[#This Row],[Variance_%]]&lt;-0.05,"Underspend","On Budget"))</f>
        <v>On Budget</v>
      </c>
    </row>
    <row r="2352" spans="1:14">
      <c r="A2352" s="1">
        <v>45627</v>
      </c>
      <c r="B2352">
        <v>12</v>
      </c>
      <c r="C2352" t="s">
        <v>52</v>
      </c>
      <c r="D2352" t="s">
        <v>65</v>
      </c>
      <c r="E2352">
        <v>2024</v>
      </c>
      <c r="F2352" t="s">
        <v>26</v>
      </c>
      <c r="G2352" t="s">
        <v>21</v>
      </c>
      <c r="H2352" t="s">
        <v>18</v>
      </c>
      <c r="I2352" t="s">
        <v>27</v>
      </c>
      <c r="J2352">
        <v>8527.01</v>
      </c>
      <c r="K2352">
        <v>8590.4699999999993</v>
      </c>
      <c r="L2352" s="20">
        <f>tbl_Budget[[#This Row],[Actual]]-tbl_Budget[[#This Row],[Budget]]</f>
        <v>63.459999999999127</v>
      </c>
      <c r="M2352" s="3">
        <f>tbl_Budget[[#This Row],[Variance]]/tbl_Budget[[#This Row],[Budget]]</f>
        <v>7.4422335613537598E-3</v>
      </c>
      <c r="N2352" t="str">
        <f>IF(tbl_Budget[[#This Row],[Variance_%]]&gt;0.05,"Overspend",IF(tbl_Budget[[#This Row],[Variance_%]]&lt;-0.05,"Underspend","On Budget"))</f>
        <v>On Budget</v>
      </c>
    </row>
    <row r="2353" spans="1:14">
      <c r="A2353" s="1">
        <v>45627</v>
      </c>
      <c r="B2353">
        <v>12</v>
      </c>
      <c r="C2353" t="s">
        <v>52</v>
      </c>
      <c r="D2353" t="s">
        <v>65</v>
      </c>
      <c r="E2353">
        <v>2024</v>
      </c>
      <c r="F2353" t="s">
        <v>26</v>
      </c>
      <c r="G2353" t="s">
        <v>21</v>
      </c>
      <c r="H2353" t="s">
        <v>19</v>
      </c>
      <c r="I2353" t="s">
        <v>27</v>
      </c>
      <c r="J2353">
        <v>9203.66</v>
      </c>
      <c r="K2353">
        <v>9035.26</v>
      </c>
      <c r="L2353" s="20">
        <f>tbl_Budget[[#This Row],[Actual]]-tbl_Budget[[#This Row],[Budget]]</f>
        <v>-168.39999999999964</v>
      </c>
      <c r="M2353" s="3">
        <f>tbl_Budget[[#This Row],[Variance]]/tbl_Budget[[#This Row],[Budget]]</f>
        <v>-1.829706877481346E-2</v>
      </c>
      <c r="N2353" t="str">
        <f>IF(tbl_Budget[[#This Row],[Variance_%]]&gt;0.05,"Overspend",IF(tbl_Budget[[#This Row],[Variance_%]]&lt;-0.05,"Underspend","On Budget"))</f>
        <v>On Budget</v>
      </c>
    </row>
    <row r="2354" spans="1:14" hidden="1">
      <c r="A2354" s="1">
        <v>45627</v>
      </c>
      <c r="B2354">
        <v>12</v>
      </c>
      <c r="C2354" t="s">
        <v>52</v>
      </c>
      <c r="D2354" t="s">
        <v>65</v>
      </c>
      <c r="E2354">
        <v>2024</v>
      </c>
      <c r="F2354" t="s">
        <v>26</v>
      </c>
      <c r="G2354" t="s">
        <v>22</v>
      </c>
      <c r="H2354" t="s">
        <v>15</v>
      </c>
      <c r="I2354" t="s">
        <v>27</v>
      </c>
      <c r="J2354">
        <v>7005.58</v>
      </c>
      <c r="K2354">
        <v>7265.28</v>
      </c>
      <c r="L2354" s="20">
        <f>tbl_Budget[[#This Row],[Actual]]-tbl_Budget[[#This Row],[Budget]]</f>
        <v>259.69999999999982</v>
      </c>
      <c r="M2354" s="3">
        <f>tbl_Budget[[#This Row],[Variance]]/tbl_Budget[[#This Row],[Budget]]</f>
        <v>3.7070449555925394E-2</v>
      </c>
      <c r="N2354" t="str">
        <f>IF(tbl_Budget[[#This Row],[Variance_%]]&gt;0.05,"Overspend",IF(tbl_Budget[[#This Row],[Variance_%]]&lt;-0.05,"Underspend","On Budget"))</f>
        <v>On Budget</v>
      </c>
    </row>
    <row r="2355" spans="1:14" hidden="1">
      <c r="A2355" s="1">
        <v>45627</v>
      </c>
      <c r="B2355">
        <v>12</v>
      </c>
      <c r="C2355" t="s">
        <v>52</v>
      </c>
      <c r="D2355" t="s">
        <v>65</v>
      </c>
      <c r="E2355">
        <v>2024</v>
      </c>
      <c r="F2355" t="s">
        <v>26</v>
      </c>
      <c r="G2355" t="s">
        <v>22</v>
      </c>
      <c r="H2355" t="s">
        <v>17</v>
      </c>
      <c r="I2355" t="s">
        <v>27</v>
      </c>
      <c r="J2355">
        <v>6751.31</v>
      </c>
      <c r="K2355">
        <v>6645.17</v>
      </c>
      <c r="L2355" s="20">
        <f>tbl_Budget[[#This Row],[Actual]]-tbl_Budget[[#This Row],[Budget]]</f>
        <v>-106.14000000000033</v>
      </c>
      <c r="M2355" s="3">
        <f>tbl_Budget[[#This Row],[Variance]]/tbl_Budget[[#This Row],[Budget]]</f>
        <v>-1.5721393329590896E-2</v>
      </c>
      <c r="N2355" t="str">
        <f>IF(tbl_Budget[[#This Row],[Variance_%]]&gt;0.05,"Overspend",IF(tbl_Budget[[#This Row],[Variance_%]]&lt;-0.05,"Underspend","On Budget"))</f>
        <v>On Budget</v>
      </c>
    </row>
    <row r="2356" spans="1:14" hidden="1">
      <c r="A2356" s="1">
        <v>45627</v>
      </c>
      <c r="B2356">
        <v>12</v>
      </c>
      <c r="C2356" t="s">
        <v>52</v>
      </c>
      <c r="D2356" t="s">
        <v>65</v>
      </c>
      <c r="E2356">
        <v>2024</v>
      </c>
      <c r="F2356" t="s">
        <v>26</v>
      </c>
      <c r="G2356" t="s">
        <v>22</v>
      </c>
      <c r="H2356" t="s">
        <v>18</v>
      </c>
      <c r="I2356" t="s">
        <v>27</v>
      </c>
      <c r="J2356">
        <v>7041.5</v>
      </c>
      <c r="K2356">
        <v>6920.6</v>
      </c>
      <c r="L2356" s="20">
        <f>tbl_Budget[[#This Row],[Actual]]-tbl_Budget[[#This Row],[Budget]]</f>
        <v>-120.89999999999964</v>
      </c>
      <c r="M2356" s="3">
        <f>tbl_Budget[[#This Row],[Variance]]/tbl_Budget[[#This Row],[Budget]]</f>
        <v>-1.7169637151175123E-2</v>
      </c>
      <c r="N2356" t="str">
        <f>IF(tbl_Budget[[#This Row],[Variance_%]]&gt;0.05,"Overspend",IF(tbl_Budget[[#This Row],[Variance_%]]&lt;-0.05,"Underspend","On Budget"))</f>
        <v>On Budget</v>
      </c>
    </row>
    <row r="2357" spans="1:14" hidden="1">
      <c r="A2357" s="1">
        <v>45627</v>
      </c>
      <c r="B2357">
        <v>12</v>
      </c>
      <c r="C2357" t="s">
        <v>52</v>
      </c>
      <c r="D2357" t="s">
        <v>65</v>
      </c>
      <c r="E2357">
        <v>2024</v>
      </c>
      <c r="F2357" t="s">
        <v>26</v>
      </c>
      <c r="G2357" t="s">
        <v>22</v>
      </c>
      <c r="H2357" t="s">
        <v>19</v>
      </c>
      <c r="I2357" t="s">
        <v>27</v>
      </c>
      <c r="J2357">
        <v>7406.06</v>
      </c>
      <c r="K2357">
        <v>7274.12</v>
      </c>
      <c r="L2357" s="20">
        <f>tbl_Budget[[#This Row],[Actual]]-tbl_Budget[[#This Row],[Budget]]</f>
        <v>-131.94000000000051</v>
      </c>
      <c r="M2357" s="3">
        <f>tbl_Budget[[#This Row],[Variance]]/tbl_Budget[[#This Row],[Budget]]</f>
        <v>-1.7815140574070493E-2</v>
      </c>
      <c r="N2357" t="str">
        <f>IF(tbl_Budget[[#This Row],[Variance_%]]&gt;0.05,"Overspend",IF(tbl_Budget[[#This Row],[Variance_%]]&lt;-0.05,"Underspend","On Budget"))</f>
        <v>On Budget</v>
      </c>
    </row>
    <row r="2358" spans="1:14" hidden="1">
      <c r="A2358" s="1">
        <v>45627</v>
      </c>
      <c r="B2358">
        <v>12</v>
      </c>
      <c r="C2358" t="s">
        <v>52</v>
      </c>
      <c r="D2358" t="s">
        <v>65</v>
      </c>
      <c r="E2358">
        <v>2024</v>
      </c>
      <c r="F2358" t="s">
        <v>26</v>
      </c>
      <c r="G2358" t="s">
        <v>23</v>
      </c>
      <c r="H2358" t="s">
        <v>15</v>
      </c>
      <c r="I2358" t="s">
        <v>27</v>
      </c>
      <c r="J2358">
        <v>6022.29</v>
      </c>
      <c r="K2358">
        <v>6082.92</v>
      </c>
      <c r="L2358" s="20">
        <f>tbl_Budget[[#This Row],[Actual]]-tbl_Budget[[#This Row],[Budget]]</f>
        <v>60.630000000000109</v>
      </c>
      <c r="M2358" s="3">
        <f>tbl_Budget[[#This Row],[Variance]]/tbl_Budget[[#This Row],[Budget]]</f>
        <v>1.0067598870197236E-2</v>
      </c>
      <c r="N2358" t="str">
        <f>IF(tbl_Budget[[#This Row],[Variance_%]]&gt;0.05,"Overspend",IF(tbl_Budget[[#This Row],[Variance_%]]&lt;-0.05,"Underspend","On Budget"))</f>
        <v>On Budget</v>
      </c>
    </row>
    <row r="2359" spans="1:14" hidden="1">
      <c r="A2359" s="1">
        <v>45627</v>
      </c>
      <c r="B2359">
        <v>12</v>
      </c>
      <c r="C2359" t="s">
        <v>52</v>
      </c>
      <c r="D2359" t="s">
        <v>65</v>
      </c>
      <c r="E2359">
        <v>2024</v>
      </c>
      <c r="F2359" t="s">
        <v>26</v>
      </c>
      <c r="G2359" t="s">
        <v>23</v>
      </c>
      <c r="H2359" t="s">
        <v>17</v>
      </c>
      <c r="I2359" t="s">
        <v>27</v>
      </c>
      <c r="J2359">
        <v>5767.81</v>
      </c>
      <c r="K2359">
        <v>5785.61</v>
      </c>
      <c r="L2359" s="20">
        <f>tbl_Budget[[#This Row],[Actual]]-tbl_Budget[[#This Row],[Budget]]</f>
        <v>17.799999999999272</v>
      </c>
      <c r="M2359" s="3">
        <f>tbl_Budget[[#This Row],[Variance]]/tbl_Budget[[#This Row],[Budget]]</f>
        <v>3.0860933352519016E-3</v>
      </c>
      <c r="N2359" t="str">
        <f>IF(tbl_Budget[[#This Row],[Variance_%]]&gt;0.05,"Overspend",IF(tbl_Budget[[#This Row],[Variance_%]]&lt;-0.05,"Underspend","On Budget"))</f>
        <v>On Budget</v>
      </c>
    </row>
    <row r="2360" spans="1:14" hidden="1">
      <c r="A2360" s="1">
        <v>45627</v>
      </c>
      <c r="B2360">
        <v>12</v>
      </c>
      <c r="C2360" t="s">
        <v>52</v>
      </c>
      <c r="D2360" t="s">
        <v>65</v>
      </c>
      <c r="E2360">
        <v>2024</v>
      </c>
      <c r="F2360" t="s">
        <v>26</v>
      </c>
      <c r="G2360" t="s">
        <v>23</v>
      </c>
      <c r="H2360" t="s">
        <v>18</v>
      </c>
      <c r="I2360" t="s">
        <v>27</v>
      </c>
      <c r="J2360">
        <v>6073.54</v>
      </c>
      <c r="K2360">
        <v>6193.62</v>
      </c>
      <c r="L2360" s="20">
        <f>tbl_Budget[[#This Row],[Actual]]-tbl_Budget[[#This Row],[Budget]]</f>
        <v>120.07999999999993</v>
      </c>
      <c r="M2360" s="3">
        <f>tbl_Budget[[#This Row],[Variance]]/tbl_Budget[[#This Row],[Budget]]</f>
        <v>1.9771006694613014E-2</v>
      </c>
      <c r="N2360" t="str">
        <f>IF(tbl_Budget[[#This Row],[Variance_%]]&gt;0.05,"Overspend",IF(tbl_Budget[[#This Row],[Variance_%]]&lt;-0.05,"Underspend","On Budget"))</f>
        <v>On Budget</v>
      </c>
    </row>
    <row r="2361" spans="1:14" hidden="1">
      <c r="A2361" s="1">
        <v>45627</v>
      </c>
      <c r="B2361">
        <v>12</v>
      </c>
      <c r="C2361" t="s">
        <v>52</v>
      </c>
      <c r="D2361" t="s">
        <v>65</v>
      </c>
      <c r="E2361">
        <v>2024</v>
      </c>
      <c r="F2361" t="s">
        <v>26</v>
      </c>
      <c r="G2361" t="s">
        <v>23</v>
      </c>
      <c r="H2361" t="s">
        <v>19</v>
      </c>
      <c r="I2361" t="s">
        <v>27</v>
      </c>
      <c r="J2361">
        <v>6532.37</v>
      </c>
      <c r="K2361">
        <v>6638.1</v>
      </c>
      <c r="L2361" s="20">
        <f>tbl_Budget[[#This Row],[Actual]]-tbl_Budget[[#This Row],[Budget]]</f>
        <v>105.73000000000047</v>
      </c>
      <c r="M2361" s="3">
        <f>tbl_Budget[[#This Row],[Variance]]/tbl_Budget[[#This Row],[Budget]]</f>
        <v>1.6185549808109535E-2</v>
      </c>
      <c r="N2361" t="str">
        <f>IF(tbl_Budget[[#This Row],[Variance_%]]&gt;0.05,"Overspend",IF(tbl_Budget[[#This Row],[Variance_%]]&lt;-0.05,"Underspend","On Budget"))</f>
        <v>On Budget</v>
      </c>
    </row>
    <row r="2362" spans="1:14" hidden="1">
      <c r="A2362" s="1">
        <v>45627</v>
      </c>
      <c r="B2362">
        <v>12</v>
      </c>
      <c r="C2362" t="s">
        <v>52</v>
      </c>
      <c r="D2362" t="s">
        <v>65</v>
      </c>
      <c r="E2362">
        <v>2024</v>
      </c>
      <c r="F2362" t="s">
        <v>28</v>
      </c>
      <c r="G2362" t="s">
        <v>14</v>
      </c>
      <c r="H2362" t="s">
        <v>15</v>
      </c>
      <c r="I2362" t="s">
        <v>29</v>
      </c>
      <c r="J2362">
        <v>55255.72</v>
      </c>
      <c r="K2362">
        <v>53070.879999999997</v>
      </c>
      <c r="L2362" s="20">
        <f>tbl_Budget[[#This Row],[Actual]]-tbl_Budget[[#This Row],[Budget]]</f>
        <v>-2184.8400000000038</v>
      </c>
      <c r="M2362" s="3">
        <f>tbl_Budget[[#This Row],[Variance]]/tbl_Budget[[#This Row],[Budget]]</f>
        <v>-3.9540521777654943E-2</v>
      </c>
      <c r="N2362" t="str">
        <f>IF(tbl_Budget[[#This Row],[Variance_%]]&gt;0.05,"Overspend",IF(tbl_Budget[[#This Row],[Variance_%]]&lt;-0.05,"Underspend","On Budget"))</f>
        <v>On Budget</v>
      </c>
    </row>
    <row r="2363" spans="1:14" hidden="1">
      <c r="A2363" s="1">
        <v>45627</v>
      </c>
      <c r="B2363">
        <v>12</v>
      </c>
      <c r="C2363" t="s">
        <v>52</v>
      </c>
      <c r="D2363" t="s">
        <v>65</v>
      </c>
      <c r="E2363">
        <v>2024</v>
      </c>
      <c r="F2363" t="s">
        <v>28</v>
      </c>
      <c r="G2363" t="s">
        <v>14</v>
      </c>
      <c r="H2363" t="s">
        <v>17</v>
      </c>
      <c r="I2363" t="s">
        <v>29</v>
      </c>
      <c r="J2363">
        <v>54505.55</v>
      </c>
      <c r="K2363">
        <v>57341.08</v>
      </c>
      <c r="L2363" s="20">
        <f>tbl_Budget[[#This Row],[Actual]]-tbl_Budget[[#This Row],[Budget]]</f>
        <v>2835.5299999999988</v>
      </c>
      <c r="M2363" s="3">
        <f>tbl_Budget[[#This Row],[Variance]]/tbl_Budget[[#This Row],[Budget]]</f>
        <v>5.2022775662294914E-2</v>
      </c>
      <c r="N2363" t="str">
        <f>IF(tbl_Budget[[#This Row],[Variance_%]]&gt;0.05,"Overspend",IF(tbl_Budget[[#This Row],[Variance_%]]&lt;-0.05,"Underspend","On Budget"))</f>
        <v>Overspend</v>
      </c>
    </row>
    <row r="2364" spans="1:14" hidden="1">
      <c r="A2364" s="1">
        <v>45627</v>
      </c>
      <c r="B2364">
        <v>12</v>
      </c>
      <c r="C2364" t="s">
        <v>52</v>
      </c>
      <c r="D2364" t="s">
        <v>65</v>
      </c>
      <c r="E2364">
        <v>2024</v>
      </c>
      <c r="F2364" t="s">
        <v>28</v>
      </c>
      <c r="G2364" t="s">
        <v>14</v>
      </c>
      <c r="H2364" t="s">
        <v>18</v>
      </c>
      <c r="I2364" t="s">
        <v>29</v>
      </c>
      <c r="J2364">
        <v>54195.95</v>
      </c>
      <c r="K2364">
        <v>47002.559999999998</v>
      </c>
      <c r="L2364" s="20">
        <f>tbl_Budget[[#This Row],[Actual]]-tbl_Budget[[#This Row],[Budget]]</f>
        <v>-7193.3899999999994</v>
      </c>
      <c r="M2364" s="3">
        <f>tbl_Budget[[#This Row],[Variance]]/tbl_Budget[[#This Row],[Budget]]</f>
        <v>-0.13272929065732772</v>
      </c>
      <c r="N2364" t="str">
        <f>IF(tbl_Budget[[#This Row],[Variance_%]]&gt;0.05,"Overspend",IF(tbl_Budget[[#This Row],[Variance_%]]&lt;-0.05,"Underspend","On Budget"))</f>
        <v>Underspend</v>
      </c>
    </row>
    <row r="2365" spans="1:14" hidden="1">
      <c r="A2365" s="1">
        <v>45627</v>
      </c>
      <c r="B2365">
        <v>12</v>
      </c>
      <c r="C2365" t="s">
        <v>52</v>
      </c>
      <c r="D2365" t="s">
        <v>65</v>
      </c>
      <c r="E2365">
        <v>2024</v>
      </c>
      <c r="F2365" t="s">
        <v>28</v>
      </c>
      <c r="G2365" t="s">
        <v>14</v>
      </c>
      <c r="H2365" t="s">
        <v>19</v>
      </c>
      <c r="I2365" t="s">
        <v>29</v>
      </c>
      <c r="J2365">
        <v>58265.87</v>
      </c>
      <c r="K2365">
        <v>60039.85</v>
      </c>
      <c r="L2365" s="20">
        <f>tbl_Budget[[#This Row],[Actual]]-tbl_Budget[[#This Row],[Budget]]</f>
        <v>1773.9799999999959</v>
      </c>
      <c r="M2365" s="3">
        <f>tbl_Budget[[#This Row],[Variance]]/tbl_Budget[[#This Row],[Budget]]</f>
        <v>3.0446297292051006E-2</v>
      </c>
      <c r="N2365" t="str">
        <f>IF(tbl_Budget[[#This Row],[Variance_%]]&gt;0.05,"Overspend",IF(tbl_Budget[[#This Row],[Variance_%]]&lt;-0.05,"Underspend","On Budget"))</f>
        <v>On Budget</v>
      </c>
    </row>
    <row r="2366" spans="1:14" hidden="1">
      <c r="A2366" s="1">
        <v>45627</v>
      </c>
      <c r="B2366">
        <v>12</v>
      </c>
      <c r="C2366" t="s">
        <v>52</v>
      </c>
      <c r="D2366" t="s">
        <v>65</v>
      </c>
      <c r="E2366">
        <v>2024</v>
      </c>
      <c r="F2366" t="s">
        <v>28</v>
      </c>
      <c r="G2366" t="s">
        <v>20</v>
      </c>
      <c r="H2366" t="s">
        <v>15</v>
      </c>
      <c r="I2366" t="s">
        <v>29</v>
      </c>
      <c r="J2366">
        <v>21411.77</v>
      </c>
      <c r="K2366">
        <v>22677.11</v>
      </c>
      <c r="L2366" s="20">
        <f>tbl_Budget[[#This Row],[Actual]]-tbl_Budget[[#This Row],[Budget]]</f>
        <v>1265.3400000000001</v>
      </c>
      <c r="M2366" s="3">
        <f>tbl_Budget[[#This Row],[Variance]]/tbl_Budget[[#This Row],[Budget]]</f>
        <v>5.9095534839016119E-2</v>
      </c>
      <c r="N2366" t="str">
        <f>IF(tbl_Budget[[#This Row],[Variance_%]]&gt;0.05,"Overspend",IF(tbl_Budget[[#This Row],[Variance_%]]&lt;-0.05,"Underspend","On Budget"))</f>
        <v>Overspend</v>
      </c>
    </row>
    <row r="2367" spans="1:14" hidden="1">
      <c r="A2367" s="1">
        <v>45627</v>
      </c>
      <c r="B2367">
        <v>12</v>
      </c>
      <c r="C2367" t="s">
        <v>52</v>
      </c>
      <c r="D2367" t="s">
        <v>65</v>
      </c>
      <c r="E2367">
        <v>2024</v>
      </c>
      <c r="F2367" t="s">
        <v>28</v>
      </c>
      <c r="G2367" t="s">
        <v>20</v>
      </c>
      <c r="H2367" t="s">
        <v>17</v>
      </c>
      <c r="I2367" t="s">
        <v>29</v>
      </c>
      <c r="J2367">
        <v>19657.41</v>
      </c>
      <c r="K2367">
        <v>21342.94</v>
      </c>
      <c r="L2367" s="20">
        <f>tbl_Budget[[#This Row],[Actual]]-tbl_Budget[[#This Row],[Budget]]</f>
        <v>1685.5299999999988</v>
      </c>
      <c r="M2367" s="3">
        <f>tbl_Budget[[#This Row],[Variance]]/tbl_Budget[[#This Row],[Budget]]</f>
        <v>8.5745273665248825E-2</v>
      </c>
      <c r="N2367" t="str">
        <f>IF(tbl_Budget[[#This Row],[Variance_%]]&gt;0.05,"Overspend",IF(tbl_Budget[[#This Row],[Variance_%]]&lt;-0.05,"Underspend","On Budget"))</f>
        <v>Overspend</v>
      </c>
    </row>
    <row r="2368" spans="1:14" hidden="1">
      <c r="A2368" s="1">
        <v>45627</v>
      </c>
      <c r="B2368">
        <v>12</v>
      </c>
      <c r="C2368" t="s">
        <v>52</v>
      </c>
      <c r="D2368" t="s">
        <v>65</v>
      </c>
      <c r="E2368">
        <v>2024</v>
      </c>
      <c r="F2368" t="s">
        <v>28</v>
      </c>
      <c r="G2368" t="s">
        <v>20</v>
      </c>
      <c r="H2368" t="s">
        <v>18</v>
      </c>
      <c r="I2368" t="s">
        <v>29</v>
      </c>
      <c r="J2368">
        <v>20314.21</v>
      </c>
      <c r="K2368">
        <v>18634.79</v>
      </c>
      <c r="L2368" s="20">
        <f>tbl_Budget[[#This Row],[Actual]]-tbl_Budget[[#This Row],[Budget]]</f>
        <v>-1679.4199999999983</v>
      </c>
      <c r="M2368" s="3">
        <f>tbl_Budget[[#This Row],[Variance]]/tbl_Budget[[#This Row],[Budget]]</f>
        <v>-8.267217873596848E-2</v>
      </c>
      <c r="N2368" t="str">
        <f>IF(tbl_Budget[[#This Row],[Variance_%]]&gt;0.05,"Overspend",IF(tbl_Budget[[#This Row],[Variance_%]]&lt;-0.05,"Underspend","On Budget"))</f>
        <v>Underspend</v>
      </c>
    </row>
    <row r="2369" spans="1:14" hidden="1">
      <c r="A2369" s="1">
        <v>45627</v>
      </c>
      <c r="B2369">
        <v>12</v>
      </c>
      <c r="C2369" t="s">
        <v>52</v>
      </c>
      <c r="D2369" t="s">
        <v>65</v>
      </c>
      <c r="E2369">
        <v>2024</v>
      </c>
      <c r="F2369" t="s">
        <v>28</v>
      </c>
      <c r="G2369" t="s">
        <v>20</v>
      </c>
      <c r="H2369" t="s">
        <v>19</v>
      </c>
      <c r="I2369" t="s">
        <v>29</v>
      </c>
      <c r="J2369">
        <v>21634.38</v>
      </c>
      <c r="K2369">
        <v>22069.7</v>
      </c>
      <c r="L2369" s="20">
        <f>tbl_Budget[[#This Row],[Actual]]-tbl_Budget[[#This Row],[Budget]]</f>
        <v>435.31999999999971</v>
      </c>
      <c r="M2369" s="3">
        <f>tbl_Budget[[#This Row],[Variance]]/tbl_Budget[[#This Row],[Budget]]</f>
        <v>2.0121676701620277E-2</v>
      </c>
      <c r="N2369" t="str">
        <f>IF(tbl_Budget[[#This Row],[Variance_%]]&gt;0.05,"Overspend",IF(tbl_Budget[[#This Row],[Variance_%]]&lt;-0.05,"Underspend","On Budget"))</f>
        <v>On Budget</v>
      </c>
    </row>
    <row r="2370" spans="1:14">
      <c r="A2370" s="1">
        <v>45627</v>
      </c>
      <c r="B2370">
        <v>12</v>
      </c>
      <c r="C2370" t="s">
        <v>52</v>
      </c>
      <c r="D2370" t="s">
        <v>65</v>
      </c>
      <c r="E2370">
        <v>2024</v>
      </c>
      <c r="F2370" t="s">
        <v>28</v>
      </c>
      <c r="G2370" t="s">
        <v>21</v>
      </c>
      <c r="H2370" t="s">
        <v>15</v>
      </c>
      <c r="I2370" t="s">
        <v>29</v>
      </c>
      <c r="J2370">
        <v>12044.51</v>
      </c>
      <c r="K2370">
        <v>10661.43</v>
      </c>
      <c r="L2370" s="20">
        <f>tbl_Budget[[#This Row],[Actual]]-tbl_Budget[[#This Row],[Budget]]</f>
        <v>-1383.08</v>
      </c>
      <c r="M2370" s="3">
        <f>tbl_Budget[[#This Row],[Variance]]/tbl_Budget[[#This Row],[Budget]]</f>
        <v>-0.11483074031239128</v>
      </c>
      <c r="N2370" t="str">
        <f>IF(tbl_Budget[[#This Row],[Variance_%]]&gt;0.05,"Overspend",IF(tbl_Budget[[#This Row],[Variance_%]]&lt;-0.05,"Underspend","On Budget"))</f>
        <v>Underspend</v>
      </c>
    </row>
    <row r="2371" spans="1:14">
      <c r="A2371" s="1">
        <v>45627</v>
      </c>
      <c r="B2371">
        <v>12</v>
      </c>
      <c r="C2371" t="s">
        <v>52</v>
      </c>
      <c r="D2371" t="s">
        <v>65</v>
      </c>
      <c r="E2371">
        <v>2024</v>
      </c>
      <c r="F2371" t="s">
        <v>28</v>
      </c>
      <c r="G2371" t="s">
        <v>21</v>
      </c>
      <c r="H2371" t="s">
        <v>17</v>
      </c>
      <c r="I2371" t="s">
        <v>29</v>
      </c>
      <c r="J2371">
        <v>11228.26</v>
      </c>
      <c r="K2371">
        <v>10446.77</v>
      </c>
      <c r="L2371" s="20">
        <f>tbl_Budget[[#This Row],[Actual]]-tbl_Budget[[#This Row],[Budget]]</f>
        <v>-781.48999999999978</v>
      </c>
      <c r="M2371" s="3">
        <f>tbl_Budget[[#This Row],[Variance]]/tbl_Budget[[#This Row],[Budget]]</f>
        <v>-6.960027644532632E-2</v>
      </c>
      <c r="N2371" t="str">
        <f>IF(tbl_Budget[[#This Row],[Variance_%]]&gt;0.05,"Overspend",IF(tbl_Budget[[#This Row],[Variance_%]]&lt;-0.05,"Underspend","On Budget"))</f>
        <v>Underspend</v>
      </c>
    </row>
    <row r="2372" spans="1:14">
      <c r="A2372" s="1">
        <v>45627</v>
      </c>
      <c r="B2372">
        <v>12</v>
      </c>
      <c r="C2372" t="s">
        <v>52</v>
      </c>
      <c r="D2372" t="s">
        <v>65</v>
      </c>
      <c r="E2372">
        <v>2024</v>
      </c>
      <c r="F2372" t="s">
        <v>28</v>
      </c>
      <c r="G2372" t="s">
        <v>21</v>
      </c>
      <c r="H2372" t="s">
        <v>18</v>
      </c>
      <c r="I2372" t="s">
        <v>29</v>
      </c>
      <c r="J2372">
        <v>11446.09</v>
      </c>
      <c r="K2372">
        <v>10592.37</v>
      </c>
      <c r="L2372" s="20">
        <f>tbl_Budget[[#This Row],[Actual]]-tbl_Budget[[#This Row],[Budget]]</f>
        <v>-853.71999999999935</v>
      </c>
      <c r="M2372" s="3">
        <f>tbl_Budget[[#This Row],[Variance]]/tbl_Budget[[#This Row],[Budget]]</f>
        <v>-7.4586168726613139E-2</v>
      </c>
      <c r="N2372" t="str">
        <f>IF(tbl_Budget[[#This Row],[Variance_%]]&gt;0.05,"Overspend",IF(tbl_Budget[[#This Row],[Variance_%]]&lt;-0.05,"Underspend","On Budget"))</f>
        <v>Underspend</v>
      </c>
    </row>
    <row r="2373" spans="1:14">
      <c r="A2373" s="1">
        <v>45627</v>
      </c>
      <c r="B2373">
        <v>12</v>
      </c>
      <c r="C2373" t="s">
        <v>52</v>
      </c>
      <c r="D2373" t="s">
        <v>65</v>
      </c>
      <c r="E2373">
        <v>2024</v>
      </c>
      <c r="F2373" t="s">
        <v>28</v>
      </c>
      <c r="G2373" t="s">
        <v>21</v>
      </c>
      <c r="H2373" t="s">
        <v>19</v>
      </c>
      <c r="I2373" t="s">
        <v>29</v>
      </c>
      <c r="J2373">
        <v>12300</v>
      </c>
      <c r="K2373">
        <v>13035.72</v>
      </c>
      <c r="L2373" s="20">
        <f>tbl_Budget[[#This Row],[Actual]]-tbl_Budget[[#This Row],[Budget]]</f>
        <v>735.71999999999935</v>
      </c>
      <c r="M2373" s="3">
        <f>tbl_Budget[[#This Row],[Variance]]/tbl_Budget[[#This Row],[Budget]]</f>
        <v>5.981463414634141E-2</v>
      </c>
      <c r="N2373" t="str">
        <f>IF(tbl_Budget[[#This Row],[Variance_%]]&gt;0.05,"Overspend",IF(tbl_Budget[[#This Row],[Variance_%]]&lt;-0.05,"Underspend","On Budget"))</f>
        <v>Overspend</v>
      </c>
    </row>
    <row r="2374" spans="1:14" hidden="1">
      <c r="A2374" s="1">
        <v>45627</v>
      </c>
      <c r="B2374">
        <v>12</v>
      </c>
      <c r="C2374" t="s">
        <v>52</v>
      </c>
      <c r="D2374" t="s">
        <v>65</v>
      </c>
      <c r="E2374">
        <v>2024</v>
      </c>
      <c r="F2374" t="s">
        <v>28</v>
      </c>
      <c r="G2374" t="s">
        <v>22</v>
      </c>
      <c r="H2374" t="s">
        <v>15</v>
      </c>
      <c r="I2374" t="s">
        <v>29</v>
      </c>
      <c r="J2374">
        <v>13046.49</v>
      </c>
      <c r="K2374">
        <v>13828.37</v>
      </c>
      <c r="L2374" s="20">
        <f>tbl_Budget[[#This Row],[Actual]]-tbl_Budget[[#This Row],[Budget]]</f>
        <v>781.88000000000102</v>
      </c>
      <c r="M2374" s="3">
        <f>tbl_Budget[[#This Row],[Variance]]/tbl_Budget[[#This Row],[Budget]]</f>
        <v>5.9930295428119063E-2</v>
      </c>
      <c r="N2374" t="str">
        <f>IF(tbl_Budget[[#This Row],[Variance_%]]&gt;0.05,"Overspend",IF(tbl_Budget[[#This Row],[Variance_%]]&lt;-0.05,"Underspend","On Budget"))</f>
        <v>Overspend</v>
      </c>
    </row>
    <row r="2375" spans="1:14" hidden="1">
      <c r="A2375" s="1">
        <v>45627</v>
      </c>
      <c r="B2375">
        <v>12</v>
      </c>
      <c r="C2375" t="s">
        <v>52</v>
      </c>
      <c r="D2375" t="s">
        <v>65</v>
      </c>
      <c r="E2375">
        <v>2024</v>
      </c>
      <c r="F2375" t="s">
        <v>28</v>
      </c>
      <c r="G2375" t="s">
        <v>22</v>
      </c>
      <c r="H2375" t="s">
        <v>17</v>
      </c>
      <c r="I2375" t="s">
        <v>29</v>
      </c>
      <c r="J2375">
        <v>12775.03</v>
      </c>
      <c r="K2375">
        <v>13256.83</v>
      </c>
      <c r="L2375" s="20">
        <f>tbl_Budget[[#This Row],[Actual]]-tbl_Budget[[#This Row],[Budget]]</f>
        <v>481.79999999999927</v>
      </c>
      <c r="M2375" s="3">
        <f>tbl_Budget[[#This Row],[Variance]]/tbl_Budget[[#This Row],[Budget]]</f>
        <v>3.7714197148656342E-2</v>
      </c>
      <c r="N2375" t="str">
        <f>IF(tbl_Budget[[#This Row],[Variance_%]]&gt;0.05,"Overspend",IF(tbl_Budget[[#This Row],[Variance_%]]&lt;-0.05,"Underspend","On Budget"))</f>
        <v>On Budget</v>
      </c>
    </row>
    <row r="2376" spans="1:14" hidden="1">
      <c r="A2376" s="1">
        <v>45627</v>
      </c>
      <c r="B2376">
        <v>12</v>
      </c>
      <c r="C2376" t="s">
        <v>52</v>
      </c>
      <c r="D2376" t="s">
        <v>65</v>
      </c>
      <c r="E2376">
        <v>2024</v>
      </c>
      <c r="F2376" t="s">
        <v>28</v>
      </c>
      <c r="G2376" t="s">
        <v>22</v>
      </c>
      <c r="H2376" t="s">
        <v>18</v>
      </c>
      <c r="I2376" t="s">
        <v>29</v>
      </c>
      <c r="J2376">
        <v>12926.25</v>
      </c>
      <c r="K2376">
        <v>14498.66</v>
      </c>
      <c r="L2376" s="20">
        <f>tbl_Budget[[#This Row],[Actual]]-tbl_Budget[[#This Row],[Budget]]</f>
        <v>1572.4099999999999</v>
      </c>
      <c r="M2376" s="3">
        <f>tbl_Budget[[#This Row],[Variance]]/tbl_Budget[[#This Row],[Budget]]</f>
        <v>0.12164471521129483</v>
      </c>
      <c r="N2376" t="str">
        <f>IF(tbl_Budget[[#This Row],[Variance_%]]&gt;0.05,"Overspend",IF(tbl_Budget[[#This Row],[Variance_%]]&lt;-0.05,"Underspend","On Budget"))</f>
        <v>Overspend</v>
      </c>
    </row>
    <row r="2377" spans="1:14" hidden="1">
      <c r="A2377" s="1">
        <v>45627</v>
      </c>
      <c r="B2377">
        <v>12</v>
      </c>
      <c r="C2377" t="s">
        <v>52</v>
      </c>
      <c r="D2377" t="s">
        <v>65</v>
      </c>
      <c r="E2377">
        <v>2024</v>
      </c>
      <c r="F2377" t="s">
        <v>28</v>
      </c>
      <c r="G2377" t="s">
        <v>22</v>
      </c>
      <c r="H2377" t="s">
        <v>19</v>
      </c>
      <c r="I2377" t="s">
        <v>29</v>
      </c>
      <c r="J2377">
        <v>14063.6</v>
      </c>
      <c r="K2377">
        <v>15953.66</v>
      </c>
      <c r="L2377" s="20">
        <f>tbl_Budget[[#This Row],[Actual]]-tbl_Budget[[#This Row],[Budget]]</f>
        <v>1890.0599999999995</v>
      </c>
      <c r="M2377" s="3">
        <f>tbl_Budget[[#This Row],[Variance]]/tbl_Budget[[#This Row],[Budget]]</f>
        <v>0.13439375408856905</v>
      </c>
      <c r="N2377" t="str">
        <f>IF(tbl_Budget[[#This Row],[Variance_%]]&gt;0.05,"Overspend",IF(tbl_Budget[[#This Row],[Variance_%]]&lt;-0.05,"Underspend","On Budget"))</f>
        <v>Overspend</v>
      </c>
    </row>
    <row r="2378" spans="1:14" hidden="1">
      <c r="A2378" s="1">
        <v>45627</v>
      </c>
      <c r="B2378">
        <v>12</v>
      </c>
      <c r="C2378" t="s">
        <v>52</v>
      </c>
      <c r="D2378" t="s">
        <v>65</v>
      </c>
      <c r="E2378">
        <v>2024</v>
      </c>
      <c r="F2378" t="s">
        <v>28</v>
      </c>
      <c r="G2378" t="s">
        <v>23</v>
      </c>
      <c r="H2378" t="s">
        <v>15</v>
      </c>
      <c r="I2378" t="s">
        <v>29</v>
      </c>
      <c r="J2378">
        <v>8495.0300000000007</v>
      </c>
      <c r="K2378">
        <v>8945.58</v>
      </c>
      <c r="L2378" s="20">
        <f>tbl_Budget[[#This Row],[Actual]]-tbl_Budget[[#This Row],[Budget]]</f>
        <v>450.54999999999927</v>
      </c>
      <c r="M2378" s="3">
        <f>tbl_Budget[[#This Row],[Variance]]/tbl_Budget[[#This Row],[Budget]]</f>
        <v>5.3036893336456642E-2</v>
      </c>
      <c r="N2378" t="str">
        <f>IF(tbl_Budget[[#This Row],[Variance_%]]&gt;0.05,"Overspend",IF(tbl_Budget[[#This Row],[Variance_%]]&lt;-0.05,"Underspend","On Budget"))</f>
        <v>Overspend</v>
      </c>
    </row>
    <row r="2379" spans="1:14" hidden="1">
      <c r="A2379" s="1">
        <v>45627</v>
      </c>
      <c r="B2379">
        <v>12</v>
      </c>
      <c r="C2379" t="s">
        <v>52</v>
      </c>
      <c r="D2379" t="s">
        <v>65</v>
      </c>
      <c r="E2379">
        <v>2024</v>
      </c>
      <c r="F2379" t="s">
        <v>28</v>
      </c>
      <c r="G2379" t="s">
        <v>23</v>
      </c>
      <c r="H2379" t="s">
        <v>17</v>
      </c>
      <c r="I2379" t="s">
        <v>29</v>
      </c>
      <c r="J2379">
        <v>7952.58</v>
      </c>
      <c r="K2379">
        <v>9030.98</v>
      </c>
      <c r="L2379" s="20">
        <f>tbl_Budget[[#This Row],[Actual]]-tbl_Budget[[#This Row],[Budget]]</f>
        <v>1078.3999999999996</v>
      </c>
      <c r="M2379" s="3">
        <f>tbl_Budget[[#This Row],[Variance]]/tbl_Budget[[#This Row],[Budget]]</f>
        <v>0.13560379147396187</v>
      </c>
      <c r="N2379" t="str">
        <f>IF(tbl_Budget[[#This Row],[Variance_%]]&gt;0.05,"Overspend",IF(tbl_Budget[[#This Row],[Variance_%]]&lt;-0.05,"Underspend","On Budget"))</f>
        <v>Overspend</v>
      </c>
    </row>
    <row r="2380" spans="1:14" hidden="1">
      <c r="A2380" s="1">
        <v>45627</v>
      </c>
      <c r="B2380">
        <v>12</v>
      </c>
      <c r="C2380" t="s">
        <v>52</v>
      </c>
      <c r="D2380" t="s">
        <v>65</v>
      </c>
      <c r="E2380">
        <v>2024</v>
      </c>
      <c r="F2380" t="s">
        <v>28</v>
      </c>
      <c r="G2380" t="s">
        <v>23</v>
      </c>
      <c r="H2380" t="s">
        <v>18</v>
      </c>
      <c r="I2380" t="s">
        <v>29</v>
      </c>
      <c r="J2380">
        <v>8126.44</v>
      </c>
      <c r="K2380">
        <v>7108.44</v>
      </c>
      <c r="L2380" s="20">
        <f>tbl_Budget[[#This Row],[Actual]]-tbl_Budget[[#This Row],[Budget]]</f>
        <v>-1018</v>
      </c>
      <c r="M2380" s="3">
        <f>tbl_Budget[[#This Row],[Variance]]/tbl_Budget[[#This Row],[Budget]]</f>
        <v>-0.12527010597506411</v>
      </c>
      <c r="N2380" t="str">
        <f>IF(tbl_Budget[[#This Row],[Variance_%]]&gt;0.05,"Overspend",IF(tbl_Budget[[#This Row],[Variance_%]]&lt;-0.05,"Underspend","On Budget"))</f>
        <v>Underspend</v>
      </c>
    </row>
    <row r="2381" spans="1:14" hidden="1">
      <c r="A2381" s="1">
        <v>45627</v>
      </c>
      <c r="B2381">
        <v>12</v>
      </c>
      <c r="C2381" t="s">
        <v>52</v>
      </c>
      <c r="D2381" t="s">
        <v>65</v>
      </c>
      <c r="E2381">
        <v>2024</v>
      </c>
      <c r="F2381" t="s">
        <v>28</v>
      </c>
      <c r="G2381" t="s">
        <v>23</v>
      </c>
      <c r="H2381" t="s">
        <v>19</v>
      </c>
      <c r="I2381" t="s">
        <v>29</v>
      </c>
      <c r="J2381">
        <v>8888.07</v>
      </c>
      <c r="K2381">
        <v>9581.2199999999993</v>
      </c>
      <c r="L2381" s="20">
        <f>tbl_Budget[[#This Row],[Actual]]-tbl_Budget[[#This Row],[Budget]]</f>
        <v>693.14999999999964</v>
      </c>
      <c r="M2381" s="3">
        <f>tbl_Budget[[#This Row],[Variance]]/tbl_Budget[[#This Row],[Budget]]</f>
        <v>7.7986559511794992E-2</v>
      </c>
      <c r="N2381" t="str">
        <f>IF(tbl_Budget[[#This Row],[Variance_%]]&gt;0.05,"Overspend",IF(tbl_Budget[[#This Row],[Variance_%]]&lt;-0.05,"Underspend","On Budget"))</f>
        <v>Overspend</v>
      </c>
    </row>
    <row r="2382" spans="1:14" hidden="1">
      <c r="A2382" s="1">
        <v>45627</v>
      </c>
      <c r="B2382">
        <v>12</v>
      </c>
      <c r="C2382" t="s">
        <v>52</v>
      </c>
      <c r="D2382" t="s">
        <v>65</v>
      </c>
      <c r="E2382">
        <v>2024</v>
      </c>
      <c r="F2382" t="s">
        <v>30</v>
      </c>
      <c r="G2382" t="s">
        <v>14</v>
      </c>
      <c r="H2382" t="s">
        <v>15</v>
      </c>
      <c r="I2382" t="s">
        <v>31</v>
      </c>
      <c r="J2382">
        <v>45566.69</v>
      </c>
      <c r="K2382">
        <v>47099.14</v>
      </c>
      <c r="L2382" s="20">
        <f>tbl_Budget[[#This Row],[Actual]]-tbl_Budget[[#This Row],[Budget]]</f>
        <v>1532.4499999999971</v>
      </c>
      <c r="M2382" s="3">
        <f>tbl_Budget[[#This Row],[Variance]]/tbl_Budget[[#This Row],[Budget]]</f>
        <v>3.3630926450878854E-2</v>
      </c>
      <c r="N2382" t="str">
        <f>IF(tbl_Budget[[#This Row],[Variance_%]]&gt;0.05,"Overspend",IF(tbl_Budget[[#This Row],[Variance_%]]&lt;-0.05,"Underspend","On Budget"))</f>
        <v>On Budget</v>
      </c>
    </row>
    <row r="2383" spans="1:14" hidden="1">
      <c r="A2383" s="1">
        <v>45627</v>
      </c>
      <c r="B2383">
        <v>12</v>
      </c>
      <c r="C2383" t="s">
        <v>52</v>
      </c>
      <c r="D2383" t="s">
        <v>65</v>
      </c>
      <c r="E2383">
        <v>2024</v>
      </c>
      <c r="F2383" t="s">
        <v>30</v>
      </c>
      <c r="G2383" t="s">
        <v>14</v>
      </c>
      <c r="H2383" t="s">
        <v>17</v>
      </c>
      <c r="I2383" t="s">
        <v>31</v>
      </c>
      <c r="J2383">
        <v>41163.96</v>
      </c>
      <c r="K2383">
        <v>41051.96</v>
      </c>
      <c r="L2383" s="20">
        <f>tbl_Budget[[#This Row],[Actual]]-tbl_Budget[[#This Row],[Budget]]</f>
        <v>-112</v>
      </c>
      <c r="M2383" s="3">
        <f>tbl_Budget[[#This Row],[Variance]]/tbl_Budget[[#This Row],[Budget]]</f>
        <v>-2.720826664878695E-3</v>
      </c>
      <c r="N2383" t="str">
        <f>IF(tbl_Budget[[#This Row],[Variance_%]]&gt;0.05,"Overspend",IF(tbl_Budget[[#This Row],[Variance_%]]&lt;-0.05,"Underspend","On Budget"))</f>
        <v>On Budget</v>
      </c>
    </row>
    <row r="2384" spans="1:14" hidden="1">
      <c r="A2384" s="1">
        <v>45627</v>
      </c>
      <c r="B2384">
        <v>12</v>
      </c>
      <c r="C2384" t="s">
        <v>52</v>
      </c>
      <c r="D2384" t="s">
        <v>65</v>
      </c>
      <c r="E2384">
        <v>2024</v>
      </c>
      <c r="F2384" t="s">
        <v>30</v>
      </c>
      <c r="G2384" t="s">
        <v>14</v>
      </c>
      <c r="H2384" t="s">
        <v>18</v>
      </c>
      <c r="I2384" t="s">
        <v>31</v>
      </c>
      <c r="J2384">
        <v>42777.16</v>
      </c>
      <c r="K2384">
        <v>43686.42</v>
      </c>
      <c r="L2384" s="20">
        <f>tbl_Budget[[#This Row],[Actual]]-tbl_Budget[[#This Row],[Budget]]</f>
        <v>909.25999999999476</v>
      </c>
      <c r="M2384" s="3">
        <f>tbl_Budget[[#This Row],[Variance]]/tbl_Budget[[#This Row],[Budget]]</f>
        <v>2.125573553737543E-2</v>
      </c>
      <c r="N2384" t="str">
        <f>IF(tbl_Budget[[#This Row],[Variance_%]]&gt;0.05,"Overspend",IF(tbl_Budget[[#This Row],[Variance_%]]&lt;-0.05,"Underspend","On Budget"))</f>
        <v>On Budget</v>
      </c>
    </row>
    <row r="2385" spans="1:14" hidden="1">
      <c r="A2385" s="1">
        <v>45627</v>
      </c>
      <c r="B2385">
        <v>12</v>
      </c>
      <c r="C2385" t="s">
        <v>52</v>
      </c>
      <c r="D2385" t="s">
        <v>65</v>
      </c>
      <c r="E2385">
        <v>2024</v>
      </c>
      <c r="F2385" t="s">
        <v>30</v>
      </c>
      <c r="G2385" t="s">
        <v>14</v>
      </c>
      <c r="H2385" t="s">
        <v>19</v>
      </c>
      <c r="I2385" t="s">
        <v>31</v>
      </c>
      <c r="J2385">
        <v>45875.43</v>
      </c>
      <c r="K2385">
        <v>47924.72</v>
      </c>
      <c r="L2385" s="20">
        <f>tbl_Budget[[#This Row],[Actual]]-tbl_Budget[[#This Row],[Budget]]</f>
        <v>2049.2900000000009</v>
      </c>
      <c r="M2385" s="3">
        <f>tbl_Budget[[#This Row],[Variance]]/tbl_Budget[[#This Row],[Budget]]</f>
        <v>4.4670752949890626E-2</v>
      </c>
      <c r="N2385" t="str">
        <f>IF(tbl_Budget[[#This Row],[Variance_%]]&gt;0.05,"Overspend",IF(tbl_Budget[[#This Row],[Variance_%]]&lt;-0.05,"Underspend","On Budget"))</f>
        <v>On Budget</v>
      </c>
    </row>
    <row r="2386" spans="1:14" hidden="1">
      <c r="A2386" s="1">
        <v>45627</v>
      </c>
      <c r="B2386">
        <v>12</v>
      </c>
      <c r="C2386" t="s">
        <v>52</v>
      </c>
      <c r="D2386" t="s">
        <v>65</v>
      </c>
      <c r="E2386">
        <v>2024</v>
      </c>
      <c r="F2386" t="s">
        <v>30</v>
      </c>
      <c r="G2386" t="s">
        <v>20</v>
      </c>
      <c r="H2386" t="s">
        <v>15</v>
      </c>
      <c r="I2386" t="s">
        <v>31</v>
      </c>
      <c r="J2386">
        <v>16480.2</v>
      </c>
      <c r="K2386">
        <v>16118.14</v>
      </c>
      <c r="L2386" s="20">
        <f>tbl_Budget[[#This Row],[Actual]]-tbl_Budget[[#This Row],[Budget]]</f>
        <v>-362.06000000000131</v>
      </c>
      <c r="M2386" s="3">
        <f>tbl_Budget[[#This Row],[Variance]]/tbl_Budget[[#This Row],[Budget]]</f>
        <v>-2.1969393575320767E-2</v>
      </c>
      <c r="N2386" t="str">
        <f>IF(tbl_Budget[[#This Row],[Variance_%]]&gt;0.05,"Overspend",IF(tbl_Budget[[#This Row],[Variance_%]]&lt;-0.05,"Underspend","On Budget"))</f>
        <v>On Budget</v>
      </c>
    </row>
    <row r="2387" spans="1:14" hidden="1">
      <c r="A2387" s="1">
        <v>45627</v>
      </c>
      <c r="B2387">
        <v>12</v>
      </c>
      <c r="C2387" t="s">
        <v>52</v>
      </c>
      <c r="D2387" t="s">
        <v>65</v>
      </c>
      <c r="E2387">
        <v>2024</v>
      </c>
      <c r="F2387" t="s">
        <v>30</v>
      </c>
      <c r="G2387" t="s">
        <v>20</v>
      </c>
      <c r="H2387" t="s">
        <v>17</v>
      </c>
      <c r="I2387" t="s">
        <v>31</v>
      </c>
      <c r="J2387">
        <v>16392.919999999998</v>
      </c>
      <c r="K2387">
        <v>16267.4</v>
      </c>
      <c r="L2387" s="20">
        <f>tbl_Budget[[#This Row],[Actual]]-tbl_Budget[[#This Row],[Budget]]</f>
        <v>-125.51999999999862</v>
      </c>
      <c r="M2387" s="3">
        <f>tbl_Budget[[#This Row],[Variance]]/tbl_Budget[[#This Row],[Budget]]</f>
        <v>-7.6569641040155527E-3</v>
      </c>
      <c r="N2387" t="str">
        <f>IF(tbl_Budget[[#This Row],[Variance_%]]&gt;0.05,"Overspend",IF(tbl_Budget[[#This Row],[Variance_%]]&lt;-0.05,"Underspend","On Budget"))</f>
        <v>On Budget</v>
      </c>
    </row>
    <row r="2388" spans="1:14" hidden="1">
      <c r="A2388" s="1">
        <v>45627</v>
      </c>
      <c r="B2388">
        <v>12</v>
      </c>
      <c r="C2388" t="s">
        <v>52</v>
      </c>
      <c r="D2388" t="s">
        <v>65</v>
      </c>
      <c r="E2388">
        <v>2024</v>
      </c>
      <c r="F2388" t="s">
        <v>30</v>
      </c>
      <c r="G2388" t="s">
        <v>20</v>
      </c>
      <c r="H2388" t="s">
        <v>18</v>
      </c>
      <c r="I2388" t="s">
        <v>31</v>
      </c>
      <c r="J2388">
        <v>16584.46</v>
      </c>
      <c r="K2388">
        <v>17056.38</v>
      </c>
      <c r="L2388" s="20">
        <f>tbl_Budget[[#This Row],[Actual]]-tbl_Budget[[#This Row],[Budget]]</f>
        <v>471.92000000000189</v>
      </c>
      <c r="M2388" s="3">
        <f>tbl_Budget[[#This Row],[Variance]]/tbl_Budget[[#This Row],[Budget]]</f>
        <v>2.845555417541493E-2</v>
      </c>
      <c r="N2388" t="str">
        <f>IF(tbl_Budget[[#This Row],[Variance_%]]&gt;0.05,"Overspend",IF(tbl_Budget[[#This Row],[Variance_%]]&lt;-0.05,"Underspend","On Budget"))</f>
        <v>On Budget</v>
      </c>
    </row>
    <row r="2389" spans="1:14" hidden="1">
      <c r="A2389" s="1">
        <v>45627</v>
      </c>
      <c r="B2389">
        <v>12</v>
      </c>
      <c r="C2389" t="s">
        <v>52</v>
      </c>
      <c r="D2389" t="s">
        <v>65</v>
      </c>
      <c r="E2389">
        <v>2024</v>
      </c>
      <c r="F2389" t="s">
        <v>30</v>
      </c>
      <c r="G2389" t="s">
        <v>20</v>
      </c>
      <c r="H2389" t="s">
        <v>19</v>
      </c>
      <c r="I2389" t="s">
        <v>31</v>
      </c>
      <c r="J2389">
        <v>17188.77</v>
      </c>
      <c r="K2389">
        <v>16479.400000000001</v>
      </c>
      <c r="L2389" s="20">
        <f>tbl_Budget[[#This Row],[Actual]]-tbl_Budget[[#This Row],[Budget]]</f>
        <v>-709.36999999999898</v>
      </c>
      <c r="M2389" s="3">
        <f>tbl_Budget[[#This Row],[Variance]]/tbl_Budget[[#This Row],[Budget]]</f>
        <v>-4.126938693111834E-2</v>
      </c>
      <c r="N2389" t="str">
        <f>IF(tbl_Budget[[#This Row],[Variance_%]]&gt;0.05,"Overspend",IF(tbl_Budget[[#This Row],[Variance_%]]&lt;-0.05,"Underspend","On Budget"))</f>
        <v>On Budget</v>
      </c>
    </row>
    <row r="2390" spans="1:14">
      <c r="A2390" s="1">
        <v>45627</v>
      </c>
      <c r="B2390">
        <v>12</v>
      </c>
      <c r="C2390" t="s">
        <v>52</v>
      </c>
      <c r="D2390" t="s">
        <v>65</v>
      </c>
      <c r="E2390">
        <v>2024</v>
      </c>
      <c r="F2390" t="s">
        <v>30</v>
      </c>
      <c r="G2390" t="s">
        <v>21</v>
      </c>
      <c r="H2390" t="s">
        <v>15</v>
      </c>
      <c r="I2390" t="s">
        <v>31</v>
      </c>
      <c r="J2390">
        <v>7344.04</v>
      </c>
      <c r="K2390">
        <v>7693.24</v>
      </c>
      <c r="L2390" s="20">
        <f>tbl_Budget[[#This Row],[Actual]]-tbl_Budget[[#This Row],[Budget]]</f>
        <v>349.19999999999982</v>
      </c>
      <c r="M2390" s="3">
        <f>tbl_Budget[[#This Row],[Variance]]/tbl_Budget[[#This Row],[Budget]]</f>
        <v>4.7548760627665401E-2</v>
      </c>
      <c r="N2390" t="str">
        <f>IF(tbl_Budget[[#This Row],[Variance_%]]&gt;0.05,"Overspend",IF(tbl_Budget[[#This Row],[Variance_%]]&lt;-0.05,"Underspend","On Budget"))</f>
        <v>On Budget</v>
      </c>
    </row>
    <row r="2391" spans="1:14">
      <c r="A2391" s="1">
        <v>45627</v>
      </c>
      <c r="B2391">
        <v>12</v>
      </c>
      <c r="C2391" t="s">
        <v>52</v>
      </c>
      <c r="D2391" t="s">
        <v>65</v>
      </c>
      <c r="E2391">
        <v>2024</v>
      </c>
      <c r="F2391" t="s">
        <v>30</v>
      </c>
      <c r="G2391" t="s">
        <v>21</v>
      </c>
      <c r="H2391" t="s">
        <v>17</v>
      </c>
      <c r="I2391" t="s">
        <v>31</v>
      </c>
      <c r="J2391">
        <v>6654.18</v>
      </c>
      <c r="K2391">
        <v>6661.67</v>
      </c>
      <c r="L2391" s="20">
        <f>tbl_Budget[[#This Row],[Actual]]-tbl_Budget[[#This Row],[Budget]]</f>
        <v>7.4899999999997817</v>
      </c>
      <c r="M2391" s="3">
        <f>tbl_Budget[[#This Row],[Variance]]/tbl_Budget[[#This Row],[Budget]]</f>
        <v>1.1256082642789617E-3</v>
      </c>
      <c r="N2391" t="str">
        <f>IF(tbl_Budget[[#This Row],[Variance_%]]&gt;0.05,"Overspend",IF(tbl_Budget[[#This Row],[Variance_%]]&lt;-0.05,"Underspend","On Budget"))</f>
        <v>On Budget</v>
      </c>
    </row>
    <row r="2392" spans="1:14">
      <c r="A2392" s="1">
        <v>45627</v>
      </c>
      <c r="B2392">
        <v>12</v>
      </c>
      <c r="C2392" t="s">
        <v>52</v>
      </c>
      <c r="D2392" t="s">
        <v>65</v>
      </c>
      <c r="E2392">
        <v>2024</v>
      </c>
      <c r="F2392" t="s">
        <v>30</v>
      </c>
      <c r="G2392" t="s">
        <v>21</v>
      </c>
      <c r="H2392" t="s">
        <v>18</v>
      </c>
      <c r="I2392" t="s">
        <v>31</v>
      </c>
      <c r="J2392">
        <v>6894.92</v>
      </c>
      <c r="K2392">
        <v>6778.63</v>
      </c>
      <c r="L2392" s="20">
        <f>tbl_Budget[[#This Row],[Actual]]-tbl_Budget[[#This Row],[Budget]]</f>
        <v>-116.28999999999996</v>
      </c>
      <c r="M2392" s="3">
        <f>tbl_Budget[[#This Row],[Variance]]/tbl_Budget[[#This Row],[Budget]]</f>
        <v>-1.6866040505183522E-2</v>
      </c>
      <c r="N2392" t="str">
        <f>IF(tbl_Budget[[#This Row],[Variance_%]]&gt;0.05,"Overspend",IF(tbl_Budget[[#This Row],[Variance_%]]&lt;-0.05,"Underspend","On Budget"))</f>
        <v>On Budget</v>
      </c>
    </row>
    <row r="2393" spans="1:14">
      <c r="A2393" s="1">
        <v>45627</v>
      </c>
      <c r="B2393">
        <v>12</v>
      </c>
      <c r="C2393" t="s">
        <v>52</v>
      </c>
      <c r="D2393" t="s">
        <v>65</v>
      </c>
      <c r="E2393">
        <v>2024</v>
      </c>
      <c r="F2393" t="s">
        <v>30</v>
      </c>
      <c r="G2393" t="s">
        <v>21</v>
      </c>
      <c r="H2393" t="s">
        <v>19</v>
      </c>
      <c r="I2393" t="s">
        <v>31</v>
      </c>
      <c r="J2393">
        <v>7277.65</v>
      </c>
      <c r="K2393">
        <v>7455.5</v>
      </c>
      <c r="L2393" s="20">
        <f>tbl_Budget[[#This Row],[Actual]]-tbl_Budget[[#This Row],[Budget]]</f>
        <v>177.85000000000036</v>
      </c>
      <c r="M2393" s="3">
        <f>tbl_Budget[[#This Row],[Variance]]/tbl_Budget[[#This Row],[Budget]]</f>
        <v>2.4437833641354059E-2</v>
      </c>
      <c r="N2393" t="str">
        <f>IF(tbl_Budget[[#This Row],[Variance_%]]&gt;0.05,"Overspend",IF(tbl_Budget[[#This Row],[Variance_%]]&lt;-0.05,"Underspend","On Budget"))</f>
        <v>On Budget</v>
      </c>
    </row>
    <row r="2394" spans="1:14" hidden="1">
      <c r="A2394" s="1">
        <v>45627</v>
      </c>
      <c r="B2394">
        <v>12</v>
      </c>
      <c r="C2394" t="s">
        <v>52</v>
      </c>
      <c r="D2394" t="s">
        <v>65</v>
      </c>
      <c r="E2394">
        <v>2024</v>
      </c>
      <c r="F2394" t="s">
        <v>30</v>
      </c>
      <c r="G2394" t="s">
        <v>22</v>
      </c>
      <c r="H2394" t="s">
        <v>15</v>
      </c>
      <c r="I2394" t="s">
        <v>31</v>
      </c>
      <c r="J2394">
        <v>7882.07</v>
      </c>
      <c r="K2394">
        <v>7612.01</v>
      </c>
      <c r="L2394" s="20">
        <f>tbl_Budget[[#This Row],[Actual]]-tbl_Budget[[#This Row],[Budget]]</f>
        <v>-270.05999999999949</v>
      </c>
      <c r="M2394" s="3">
        <f>tbl_Budget[[#This Row],[Variance]]/tbl_Budget[[#This Row],[Budget]]</f>
        <v>-3.4262573156543838E-2</v>
      </c>
      <c r="N2394" t="str">
        <f>IF(tbl_Budget[[#This Row],[Variance_%]]&gt;0.05,"Overspend",IF(tbl_Budget[[#This Row],[Variance_%]]&lt;-0.05,"Underspend","On Budget"))</f>
        <v>On Budget</v>
      </c>
    </row>
    <row r="2395" spans="1:14" hidden="1">
      <c r="A2395" s="1">
        <v>45627</v>
      </c>
      <c r="B2395">
        <v>12</v>
      </c>
      <c r="C2395" t="s">
        <v>52</v>
      </c>
      <c r="D2395" t="s">
        <v>65</v>
      </c>
      <c r="E2395">
        <v>2024</v>
      </c>
      <c r="F2395" t="s">
        <v>30</v>
      </c>
      <c r="G2395" t="s">
        <v>22</v>
      </c>
      <c r="H2395" t="s">
        <v>17</v>
      </c>
      <c r="I2395" t="s">
        <v>31</v>
      </c>
      <c r="J2395">
        <v>7479.88</v>
      </c>
      <c r="K2395">
        <v>7470.99</v>
      </c>
      <c r="L2395" s="20">
        <f>tbl_Budget[[#This Row],[Actual]]-tbl_Budget[[#This Row],[Budget]]</f>
        <v>-8.8900000000003274</v>
      </c>
      <c r="M2395" s="3">
        <f>tbl_Budget[[#This Row],[Variance]]/tbl_Budget[[#This Row],[Budget]]</f>
        <v>-1.188521740990541E-3</v>
      </c>
      <c r="N2395" t="str">
        <f>IF(tbl_Budget[[#This Row],[Variance_%]]&gt;0.05,"Overspend",IF(tbl_Budget[[#This Row],[Variance_%]]&lt;-0.05,"Underspend","On Budget"))</f>
        <v>On Budget</v>
      </c>
    </row>
    <row r="2396" spans="1:14" hidden="1">
      <c r="A2396" s="1">
        <v>45627</v>
      </c>
      <c r="B2396">
        <v>12</v>
      </c>
      <c r="C2396" t="s">
        <v>52</v>
      </c>
      <c r="D2396" t="s">
        <v>65</v>
      </c>
      <c r="E2396">
        <v>2024</v>
      </c>
      <c r="F2396" t="s">
        <v>30</v>
      </c>
      <c r="G2396" t="s">
        <v>22</v>
      </c>
      <c r="H2396" t="s">
        <v>18</v>
      </c>
      <c r="I2396" t="s">
        <v>31</v>
      </c>
      <c r="J2396">
        <v>7739.67</v>
      </c>
      <c r="K2396">
        <v>7726.8</v>
      </c>
      <c r="L2396" s="20">
        <f>tbl_Budget[[#This Row],[Actual]]-tbl_Budget[[#This Row],[Budget]]</f>
        <v>-12.869999999999891</v>
      </c>
      <c r="M2396" s="3">
        <f>tbl_Budget[[#This Row],[Variance]]/tbl_Budget[[#This Row],[Budget]]</f>
        <v>-1.662861594874186E-3</v>
      </c>
      <c r="N2396" t="str">
        <f>IF(tbl_Budget[[#This Row],[Variance_%]]&gt;0.05,"Overspend",IF(tbl_Budget[[#This Row],[Variance_%]]&lt;-0.05,"Underspend","On Budget"))</f>
        <v>On Budget</v>
      </c>
    </row>
    <row r="2397" spans="1:14" hidden="1">
      <c r="A2397" s="1">
        <v>45627</v>
      </c>
      <c r="B2397">
        <v>12</v>
      </c>
      <c r="C2397" t="s">
        <v>52</v>
      </c>
      <c r="D2397" t="s">
        <v>65</v>
      </c>
      <c r="E2397">
        <v>2024</v>
      </c>
      <c r="F2397" t="s">
        <v>30</v>
      </c>
      <c r="G2397" t="s">
        <v>22</v>
      </c>
      <c r="H2397" t="s">
        <v>19</v>
      </c>
      <c r="I2397" t="s">
        <v>31</v>
      </c>
      <c r="J2397">
        <v>8074.19</v>
      </c>
      <c r="K2397">
        <v>7773.47</v>
      </c>
      <c r="L2397" s="20">
        <f>tbl_Budget[[#This Row],[Actual]]-tbl_Budget[[#This Row],[Budget]]</f>
        <v>-300.71999999999935</v>
      </c>
      <c r="M2397" s="3">
        <f>tbl_Budget[[#This Row],[Variance]]/tbl_Budget[[#This Row],[Budget]]</f>
        <v>-3.7244602864188153E-2</v>
      </c>
      <c r="N2397" t="str">
        <f>IF(tbl_Budget[[#This Row],[Variance_%]]&gt;0.05,"Overspend",IF(tbl_Budget[[#This Row],[Variance_%]]&lt;-0.05,"Underspend","On Budget"))</f>
        <v>On Budget</v>
      </c>
    </row>
    <row r="2398" spans="1:14" hidden="1">
      <c r="A2398" s="1">
        <v>45627</v>
      </c>
      <c r="B2398">
        <v>12</v>
      </c>
      <c r="C2398" t="s">
        <v>52</v>
      </c>
      <c r="D2398" t="s">
        <v>65</v>
      </c>
      <c r="E2398">
        <v>2024</v>
      </c>
      <c r="F2398" t="s">
        <v>30</v>
      </c>
      <c r="G2398" t="s">
        <v>23</v>
      </c>
      <c r="H2398" t="s">
        <v>15</v>
      </c>
      <c r="I2398" t="s">
        <v>31</v>
      </c>
      <c r="J2398">
        <v>6531.32</v>
      </c>
      <c r="K2398">
        <v>6447.83</v>
      </c>
      <c r="L2398" s="20">
        <f>tbl_Budget[[#This Row],[Actual]]-tbl_Budget[[#This Row],[Budget]]</f>
        <v>-83.489999999999782</v>
      </c>
      <c r="M2398" s="3">
        <f>tbl_Budget[[#This Row],[Variance]]/tbl_Budget[[#This Row],[Budget]]</f>
        <v>-1.2783020890111001E-2</v>
      </c>
      <c r="N2398" t="str">
        <f>IF(tbl_Budget[[#This Row],[Variance_%]]&gt;0.05,"Overspend",IF(tbl_Budget[[#This Row],[Variance_%]]&lt;-0.05,"Underspend","On Budget"))</f>
        <v>On Budget</v>
      </c>
    </row>
    <row r="2399" spans="1:14" hidden="1">
      <c r="A2399" s="1">
        <v>45627</v>
      </c>
      <c r="B2399">
        <v>12</v>
      </c>
      <c r="C2399" t="s">
        <v>52</v>
      </c>
      <c r="D2399" t="s">
        <v>65</v>
      </c>
      <c r="E2399">
        <v>2024</v>
      </c>
      <c r="F2399" t="s">
        <v>30</v>
      </c>
      <c r="G2399" t="s">
        <v>23</v>
      </c>
      <c r="H2399" t="s">
        <v>17</v>
      </c>
      <c r="I2399" t="s">
        <v>31</v>
      </c>
      <c r="J2399">
        <v>6272.86</v>
      </c>
      <c r="K2399">
        <v>6226.36</v>
      </c>
      <c r="L2399" s="20">
        <f>tbl_Budget[[#This Row],[Actual]]-tbl_Budget[[#This Row],[Budget]]</f>
        <v>-46.5</v>
      </c>
      <c r="M2399" s="3">
        <f>tbl_Budget[[#This Row],[Variance]]/tbl_Budget[[#This Row],[Budget]]</f>
        <v>-7.4128866258771917E-3</v>
      </c>
      <c r="N2399" t="str">
        <f>IF(tbl_Budget[[#This Row],[Variance_%]]&gt;0.05,"Overspend",IF(tbl_Budget[[#This Row],[Variance_%]]&lt;-0.05,"Underspend","On Budget"))</f>
        <v>On Budget</v>
      </c>
    </row>
    <row r="2400" spans="1:14" hidden="1">
      <c r="A2400" s="1">
        <v>45627</v>
      </c>
      <c r="B2400">
        <v>12</v>
      </c>
      <c r="C2400" t="s">
        <v>52</v>
      </c>
      <c r="D2400" t="s">
        <v>65</v>
      </c>
      <c r="E2400">
        <v>2024</v>
      </c>
      <c r="F2400" t="s">
        <v>30</v>
      </c>
      <c r="G2400" t="s">
        <v>23</v>
      </c>
      <c r="H2400" t="s">
        <v>18</v>
      </c>
      <c r="I2400" t="s">
        <v>31</v>
      </c>
      <c r="J2400">
        <v>6413.07</v>
      </c>
      <c r="K2400">
        <v>6248.87</v>
      </c>
      <c r="L2400" s="20">
        <f>tbl_Budget[[#This Row],[Actual]]-tbl_Budget[[#This Row],[Budget]]</f>
        <v>-164.19999999999982</v>
      </c>
      <c r="M2400" s="3">
        <f>tbl_Budget[[#This Row],[Variance]]/tbl_Budget[[#This Row],[Budget]]</f>
        <v>-2.5603961909038856E-2</v>
      </c>
      <c r="N2400" t="str">
        <f>IF(tbl_Budget[[#This Row],[Variance_%]]&gt;0.05,"Overspend",IF(tbl_Budget[[#This Row],[Variance_%]]&lt;-0.05,"Underspend","On Budget"))</f>
        <v>On Budget</v>
      </c>
    </row>
    <row r="2401" spans="1:14" hidden="1">
      <c r="A2401" s="1">
        <v>45627</v>
      </c>
      <c r="B2401">
        <v>12</v>
      </c>
      <c r="C2401" t="s">
        <v>52</v>
      </c>
      <c r="D2401" t="s">
        <v>65</v>
      </c>
      <c r="E2401">
        <v>2024</v>
      </c>
      <c r="F2401" t="s">
        <v>30</v>
      </c>
      <c r="G2401" t="s">
        <v>23</v>
      </c>
      <c r="H2401" t="s">
        <v>19</v>
      </c>
      <c r="I2401" t="s">
        <v>31</v>
      </c>
      <c r="J2401">
        <v>7136.6</v>
      </c>
      <c r="K2401">
        <v>7082.46</v>
      </c>
      <c r="L2401" s="20">
        <f>tbl_Budget[[#This Row],[Actual]]-tbl_Budget[[#This Row],[Budget]]</f>
        <v>-54.140000000000327</v>
      </c>
      <c r="M2401" s="3">
        <f>tbl_Budget[[#This Row],[Variance]]/tbl_Budget[[#This Row],[Budget]]</f>
        <v>-7.5862455511028111E-3</v>
      </c>
      <c r="N2401" t="str">
        <f>IF(tbl_Budget[[#This Row],[Variance_%]]&gt;0.05,"Overspend",IF(tbl_Budget[[#This Row],[Variance_%]]&lt;-0.05,"Underspend","On Budget"))</f>
        <v>On Budget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15D8-B577-4083-9894-9E33F55DBC31}">
  <sheetPr codeName="Sheet2"/>
  <dimension ref="A1:F6"/>
  <sheetViews>
    <sheetView workbookViewId="0">
      <selection activeCell="E3" sqref="E3"/>
    </sheetView>
  </sheetViews>
  <sheetFormatPr defaultRowHeight="14.4"/>
  <cols>
    <col min="1" max="1" width="13.77734375" bestFit="1" customWidth="1"/>
    <col min="2" max="2" width="14.33203125" bestFit="1" customWidth="1"/>
    <col min="4" max="4" width="11.33203125" bestFit="1" customWidth="1"/>
    <col min="5" max="5" width="14.109375" bestFit="1" customWidth="1"/>
    <col min="6" max="6" width="13.88671875" bestFit="1" customWidth="1"/>
  </cols>
  <sheetData>
    <row r="1" spans="1:6">
      <c r="A1" s="11" t="s">
        <v>5</v>
      </c>
      <c r="B1" s="10" t="s">
        <v>8</v>
      </c>
      <c r="D1" s="15" t="s">
        <v>66</v>
      </c>
      <c r="E1" s="16" t="s">
        <v>67</v>
      </c>
      <c r="F1" s="17" t="s">
        <v>68</v>
      </c>
    </row>
    <row r="2" spans="1:6">
      <c r="A2" s="12" t="s">
        <v>13</v>
      </c>
      <c r="B2" s="13" t="s">
        <v>16</v>
      </c>
      <c r="D2" s="12" t="s">
        <v>69</v>
      </c>
      <c r="E2" s="4">
        <v>0.05</v>
      </c>
      <c r="F2" s="14">
        <v>1</v>
      </c>
    </row>
    <row r="3" spans="1:6">
      <c r="A3" s="12" t="s">
        <v>24</v>
      </c>
      <c r="B3" s="13" t="s">
        <v>25</v>
      </c>
      <c r="D3" s="12" t="s">
        <v>70</v>
      </c>
      <c r="E3" s="4">
        <v>-0.05</v>
      </c>
      <c r="F3" s="14">
        <v>0.05</v>
      </c>
    </row>
    <row r="4" spans="1:6">
      <c r="A4" s="12" t="s">
        <v>26</v>
      </c>
      <c r="B4" s="13" t="s">
        <v>27</v>
      </c>
      <c r="D4" s="9" t="s">
        <v>71</v>
      </c>
      <c r="E4" s="18">
        <v>-1</v>
      </c>
      <c r="F4" s="19">
        <v>-0.05</v>
      </c>
    </row>
    <row r="5" spans="1:6">
      <c r="A5" s="12" t="s">
        <v>28</v>
      </c>
      <c r="B5" s="13" t="s">
        <v>29</v>
      </c>
    </row>
    <row r="6" spans="1:6">
      <c r="A6" s="9" t="s">
        <v>30</v>
      </c>
      <c r="B6" s="8" t="s">
        <v>31</v>
      </c>
    </row>
  </sheetData>
  <pageMargins left="0.7" right="0.7" top="0.75" bottom="0.75" header="0.3" footer="0.3"/>
  <pageSetup orientation="portrait" horizontalDpi="1200" verticalDpi="12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9418-5FDC-48AC-A456-AA982727F720}">
  <sheetPr codeName="Sheet3"/>
  <dimension ref="A1:Y25"/>
  <sheetViews>
    <sheetView workbookViewId="0">
      <selection activeCell="F23" sqref="F23"/>
    </sheetView>
  </sheetViews>
  <sheetFormatPr defaultRowHeight="14.4"/>
  <cols>
    <col min="1" max="1" width="17.33203125" bestFit="1" customWidth="1"/>
    <col min="2" max="2" width="13.33203125" bestFit="1" customWidth="1"/>
    <col min="4" max="4" width="11" bestFit="1" customWidth="1"/>
    <col min="5" max="5" width="11.5546875" bestFit="1" customWidth="1"/>
    <col min="6" max="6" width="12" bestFit="1" customWidth="1"/>
    <col min="7" max="7" width="10.5546875" bestFit="1" customWidth="1"/>
    <col min="10" max="10" width="11" bestFit="1" customWidth="1"/>
    <col min="11" max="11" width="10.5546875" bestFit="1" customWidth="1"/>
    <col min="13" max="13" width="11" bestFit="1" customWidth="1"/>
    <col min="14" max="14" width="14.33203125" bestFit="1" customWidth="1"/>
    <col min="15" max="15" width="5" bestFit="1" customWidth="1"/>
    <col min="16" max="16" width="11.5546875" bestFit="1" customWidth="1"/>
    <col min="17" max="17" width="11.109375" bestFit="1" customWidth="1"/>
    <col min="18" max="18" width="9.6640625" bestFit="1" customWidth="1"/>
    <col min="20" max="20" width="11" bestFit="1" customWidth="1"/>
    <col min="21" max="21" width="11.109375" bestFit="1" customWidth="1"/>
    <col min="22" max="24" width="10.109375" bestFit="1" customWidth="1"/>
    <col min="25" max="25" width="9.109375" bestFit="1" customWidth="1"/>
  </cols>
  <sheetData>
    <row r="1" spans="1:25">
      <c r="A1" s="6" t="s">
        <v>74</v>
      </c>
      <c r="B1" s="6" t="s">
        <v>75</v>
      </c>
      <c r="D1" s="6" t="s">
        <v>5</v>
      </c>
      <c r="E1" s="6" t="s">
        <v>76</v>
      </c>
      <c r="F1" s="6" t="s">
        <v>77</v>
      </c>
      <c r="G1" s="6" t="s">
        <v>80</v>
      </c>
      <c r="I1" s="5" t="s">
        <v>81</v>
      </c>
      <c r="J1" s="5" t="s">
        <v>5</v>
      </c>
      <c r="K1" s="5" t="s">
        <v>80</v>
      </c>
      <c r="M1" s="6" t="s">
        <v>3</v>
      </c>
      <c r="N1" s="6" t="s">
        <v>1</v>
      </c>
      <c r="O1" s="6" t="s">
        <v>4</v>
      </c>
      <c r="P1" s="6" t="s">
        <v>76</v>
      </c>
      <c r="Q1" s="6" t="s">
        <v>77</v>
      </c>
      <c r="R1" s="6" t="s">
        <v>72</v>
      </c>
      <c r="T1" s="6" t="s">
        <v>5</v>
      </c>
      <c r="U1" s="6" t="s">
        <v>14</v>
      </c>
      <c r="V1" s="6" t="s">
        <v>20</v>
      </c>
      <c r="W1" s="6" t="s">
        <v>21</v>
      </c>
      <c r="X1" s="6" t="s">
        <v>22</v>
      </c>
      <c r="Y1" s="6" t="s">
        <v>23</v>
      </c>
    </row>
    <row r="2" spans="1:25">
      <c r="A2" s="7" t="s">
        <v>76</v>
      </c>
      <c r="B2" s="23">
        <f>SUM(tbl_Budget[Budget])</f>
        <v>45323962.21000006</v>
      </c>
      <c r="D2" s="7" t="str" cm="1">
        <f t="array" ref="D2:D6">_xlfn.UNIQUE(tbl_Budget[Department])</f>
        <v>Marketing</v>
      </c>
      <c r="E2" s="24">
        <f>SUMIFS(tbl_Budget[Budget],tbl_Budget[Department],D2)</f>
        <v>9116856.0399999935</v>
      </c>
      <c r="F2" s="24">
        <f>SUMIFS(tbl_Budget[Actual],tbl_Budget[Department],D2)</f>
        <v>10547400.949999999</v>
      </c>
      <c r="G2" s="25">
        <f>(F2-E2)/E2</f>
        <v>0.1569120872067655</v>
      </c>
      <c r="I2" s="2">
        <v>1</v>
      </c>
      <c r="J2" s="2" t="str" cm="1">
        <f t="array" ref="J2:J4">INDEX(_xlfn._xlws.SORT(D2:G6,4,-1),_xlfn.SEQUENCE(3),1)</f>
        <v>Marketing</v>
      </c>
      <c r="K2" s="27" cm="1">
        <f t="array" ref="K2:K4">INDEX(_xlfn._xlws.SORT(D2:G6,4,-1),_xlfn.SEQUENCE(3),4)</f>
        <v>0.1569120872067655</v>
      </c>
      <c r="M2" s="7" t="str" cm="1">
        <f t="array" ref="M2:M25">_xlfn.UNIQUE(tbl_Budget[Month_Year])</f>
        <v>Jan-2023</v>
      </c>
      <c r="N2" s="7">
        <f>SUMIFS(tbl_Budget[Month_Number],tbl_Budget[Month_Year],M2)/COUNTIFS(tbl_Budget[Month_Year],M2)</f>
        <v>1</v>
      </c>
      <c r="O2" s="7">
        <f>SUMIFS(tbl_Budget[Year],tbl_Budget[Month_Year],M2)/COUNTIFS(tbl_Budget[Month_Year],M2)</f>
        <v>2023</v>
      </c>
      <c r="P2" s="24">
        <f>SUMIFS(tbl_Budget[Budget],tbl_Budget[Month_Year],M2)</f>
        <v>1850743.1800000002</v>
      </c>
      <c r="Q2" s="24">
        <f>SUMIFS(tbl_Budget[Actual],tbl_Budget[Month_Year],M2)</f>
        <v>1869569.8800000001</v>
      </c>
      <c r="R2" s="24">
        <f>Q2-P2</f>
        <v>18826.699999999953</v>
      </c>
      <c r="T2" s="7" t="str" cm="1">
        <f t="array" ref="T2:T6">_xlfn.UNIQUE(tbl_Budget[Department])</f>
        <v>Marketing</v>
      </c>
      <c r="U2" s="24">
        <f>SUMIFS(tbl_Budget[Actual],tbl_Budget[Department],$T2,tbl_Budget[Category],U$1)</f>
        <v>5397394.0299999984</v>
      </c>
      <c r="V2" s="24">
        <f>SUMIFS(tbl_Budget[Actual],tbl_Budget[Department],$T2,tbl_Budget[Category],V$1)</f>
        <v>2058312.1599999997</v>
      </c>
      <c r="W2" s="24">
        <f>SUMIFS(tbl_Budget[Actual],tbl_Budget[Department],$T2,tbl_Budget[Category],W$1)</f>
        <v>1242837.1299999999</v>
      </c>
      <c r="X2" s="24">
        <f>SUMIFS(tbl_Budget[Actual],tbl_Budget[Department],$T2,tbl_Budget[Category],X$1)</f>
        <v>910285.4099999998</v>
      </c>
      <c r="Y2" s="24">
        <f>SUMIFS(tbl_Budget[Actual],tbl_Budget[Department],$T2,tbl_Budget[Category],Y$1)</f>
        <v>938572.22</v>
      </c>
    </row>
    <row r="3" spans="1:25">
      <c r="A3" s="7" t="s">
        <v>77</v>
      </c>
      <c r="B3" s="23">
        <f>SUM(tbl_Budget[Actual])</f>
        <v>46041733.539999925</v>
      </c>
      <c r="D3" s="7" t="str">
        <v>IT</v>
      </c>
      <c r="E3" s="24">
        <f>SUMIFS(tbl_Budget[Budget],tbl_Budget[Department],D3)</f>
        <v>10287341.61999999</v>
      </c>
      <c r="F3" s="24">
        <f>SUMIFS(tbl_Budget[Actual],tbl_Budget[Department],D3)</f>
        <v>9096484.3399999924</v>
      </c>
      <c r="G3" s="25">
        <f t="shared" ref="G3:G6" si="0">(F3-E3)/E3</f>
        <v>-0.11575947645063221</v>
      </c>
      <c r="I3" s="2">
        <v>2</v>
      </c>
      <c r="J3" s="2" t="str">
        <v>Operations</v>
      </c>
      <c r="K3" s="27">
        <v>3.5614084371542336E-2</v>
      </c>
      <c r="M3" s="7" t="str">
        <v>Feb-2023</v>
      </c>
      <c r="N3" s="7">
        <f>SUMIFS(tbl_Budget[Month_Number],tbl_Budget[Month_Year],M3)/COUNTIFS(tbl_Budget[Month_Year],M3)</f>
        <v>2</v>
      </c>
      <c r="O3" s="7">
        <f>SUMIFS(tbl_Budget[Year],tbl_Budget[Month_Year],M3)/COUNTIFS(tbl_Budget[Month_Year],M3)</f>
        <v>2023</v>
      </c>
      <c r="P3" s="24">
        <f>SUMIFS(tbl_Budget[Budget],tbl_Budget[Month_Year],M3)</f>
        <v>1867935.8800000006</v>
      </c>
      <c r="Q3" s="24">
        <f>SUMIFS(tbl_Budget[Actual],tbl_Budget[Month_Year],M3)</f>
        <v>1870073.6300000006</v>
      </c>
      <c r="R3" s="24">
        <f t="shared" ref="R3:R25" si="1">Q3-P3</f>
        <v>2137.75</v>
      </c>
      <c r="T3" s="7" t="str">
        <v>IT</v>
      </c>
      <c r="U3" s="24">
        <f>SUMIFS(tbl_Budget[Actual],tbl_Budget[Department],$T3,tbl_Budget[Category],U$1)</f>
        <v>4342806.669999999</v>
      </c>
      <c r="V3" s="24">
        <f>SUMIFS(tbl_Budget[Actual],tbl_Budget[Department],$T3,tbl_Budget[Category],V$1)</f>
        <v>2381930.4900000002</v>
      </c>
      <c r="W3" s="24">
        <f>SUMIFS(tbl_Budget[Actual],tbl_Budget[Department],$T3,tbl_Budget[Category],W$1)</f>
        <v>1018643.6499999996</v>
      </c>
      <c r="X3" s="24">
        <f>SUMIFS(tbl_Budget[Actual],tbl_Budget[Department],$T3,tbl_Budget[Category],X$1)</f>
        <v>728294.22</v>
      </c>
      <c r="Y3" s="24">
        <f>SUMIFS(tbl_Budget[Actual],tbl_Budget[Department],$T3,tbl_Budget[Category],Y$1)</f>
        <v>624809.30999999994</v>
      </c>
    </row>
    <row r="4" spans="1:25">
      <c r="A4" s="7" t="s">
        <v>78</v>
      </c>
      <c r="B4" s="23">
        <f>B3-B2</f>
        <v>717771.3299998641</v>
      </c>
      <c r="D4" s="7" t="str">
        <v>HR</v>
      </c>
      <c r="E4" s="24">
        <f>SUMIFS(tbl_Budget[Budget],tbl_Budget[Department],D4)</f>
        <v>7826503.4799999958</v>
      </c>
      <c r="F4" s="24">
        <f>SUMIFS(tbl_Budget[Actual],tbl_Budget[Department],D4)</f>
        <v>7890527.3600000078</v>
      </c>
      <c r="G4" s="25">
        <f t="shared" si="0"/>
        <v>8.1803937305617892E-3</v>
      </c>
      <c r="I4" s="2">
        <v>3</v>
      </c>
      <c r="J4" s="2" t="str">
        <v>HR</v>
      </c>
      <c r="K4" s="27">
        <v>8.1803937305617892E-3</v>
      </c>
      <c r="M4" s="7" t="str">
        <v>Mar-2023</v>
      </c>
      <c r="N4" s="7">
        <f>SUMIFS(tbl_Budget[Month_Number],tbl_Budget[Month_Year],M4)/COUNTIFS(tbl_Budget[Month_Year],M4)</f>
        <v>3</v>
      </c>
      <c r="O4" s="7">
        <f>SUMIFS(tbl_Budget[Year],tbl_Budget[Month_Year],M4)/COUNTIFS(tbl_Budget[Month_Year],M4)</f>
        <v>2023</v>
      </c>
      <c r="P4" s="24">
        <f>SUMIFS(tbl_Budget[Budget],tbl_Budget[Month_Year],M4)</f>
        <v>1879450.43</v>
      </c>
      <c r="Q4" s="24">
        <f>SUMIFS(tbl_Budget[Actual],tbl_Budget[Month_Year],M4)</f>
        <v>1892081.3899999994</v>
      </c>
      <c r="R4" s="24">
        <f t="shared" si="1"/>
        <v>12630.959999999497</v>
      </c>
      <c r="T4" s="7" t="str">
        <v>HR</v>
      </c>
      <c r="U4" s="24">
        <f>SUMIFS(tbl_Budget[Actual],tbl_Budget[Department],$T4,tbl_Budget[Category],U$1)</f>
        <v>4314545.7300000014</v>
      </c>
      <c r="V4" s="24">
        <f>SUMIFS(tbl_Budget[Actual],tbl_Budget[Department],$T4,tbl_Budget[Category],V$1)</f>
        <v>1472451.5099999995</v>
      </c>
      <c r="W4" s="24">
        <f>SUMIFS(tbl_Budget[Actual],tbl_Budget[Department],$T4,tbl_Budget[Category],W$1)</f>
        <v>896922.49999999977</v>
      </c>
      <c r="X4" s="24">
        <f>SUMIFS(tbl_Budget[Actual],tbl_Budget[Department],$T4,tbl_Budget[Category],X$1)</f>
        <v>648376.7100000002</v>
      </c>
      <c r="Y4" s="24">
        <f>SUMIFS(tbl_Budget[Actual],tbl_Budget[Department],$T4,tbl_Budget[Category],Y$1)</f>
        <v>558230.91000000015</v>
      </c>
    </row>
    <row r="5" spans="1:25">
      <c r="A5" s="7" t="s">
        <v>79</v>
      </c>
      <c r="B5" s="22">
        <f>B4/B2</f>
        <v>1.5836464752887348E-2</v>
      </c>
      <c r="D5" s="7" t="str">
        <v>Operations</v>
      </c>
      <c r="E5" s="24">
        <f>SUMIFS(tbl_Budget[Budget],tbl_Budget[Department],D5)</f>
        <v>10306965.530000005</v>
      </c>
      <c r="F5" s="24">
        <f>SUMIFS(tbl_Budget[Actual],tbl_Budget[Department],D5)</f>
        <v>10674038.670000004</v>
      </c>
      <c r="G5" s="25">
        <f t="shared" si="0"/>
        <v>3.5614084371542336E-2</v>
      </c>
      <c r="M5" s="7" t="str">
        <v>Apr-2023</v>
      </c>
      <c r="N5" s="7">
        <f>SUMIFS(tbl_Budget[Month_Number],tbl_Budget[Month_Year],M5)/COUNTIFS(tbl_Budget[Month_Year],M5)</f>
        <v>4</v>
      </c>
      <c r="O5" s="7">
        <f>SUMIFS(tbl_Budget[Year],tbl_Budget[Month_Year],M5)/COUNTIFS(tbl_Budget[Month_Year],M5)</f>
        <v>2023</v>
      </c>
      <c r="P5" s="24">
        <f>SUMIFS(tbl_Budget[Budget],tbl_Budget[Month_Year],M5)</f>
        <v>1888766.7699999991</v>
      </c>
      <c r="Q5" s="24">
        <f>SUMIFS(tbl_Budget[Actual],tbl_Budget[Month_Year],M5)</f>
        <v>1918609.44</v>
      </c>
      <c r="R5" s="24">
        <f t="shared" si="1"/>
        <v>29842.670000000857</v>
      </c>
      <c r="T5" s="7" t="str">
        <v>Operations</v>
      </c>
      <c r="U5" s="24">
        <f>SUMIFS(tbl_Budget[Actual],tbl_Budget[Department],$T5,tbl_Budget[Category],U$1)</f>
        <v>5406023.0699999984</v>
      </c>
      <c r="V5" s="24">
        <f>SUMIFS(tbl_Budget[Actual],tbl_Budget[Department],$T5,tbl_Budget[Category],V$1)</f>
        <v>2031995.73</v>
      </c>
      <c r="W5" s="24">
        <f>SUMIFS(tbl_Budget[Actual],tbl_Budget[Department],$T5,tbl_Budget[Category],W$1)</f>
        <v>1240635.6999999997</v>
      </c>
      <c r="X5" s="24">
        <f>SUMIFS(tbl_Budget[Actual],tbl_Budget[Department],$T5,tbl_Budget[Category],X$1)</f>
        <v>1215071.4700000002</v>
      </c>
      <c r="Y5" s="24">
        <f>SUMIFS(tbl_Budget[Actual],tbl_Budget[Department],$T5,tbl_Budget[Category],Y$1)</f>
        <v>780312.7</v>
      </c>
    </row>
    <row r="6" spans="1:25">
      <c r="D6" s="7" t="str">
        <v>Finance</v>
      </c>
      <c r="E6" s="24">
        <f>SUMIFS(tbl_Budget[Budget],tbl_Budget[Department],D6)</f>
        <v>7786295.5400000066</v>
      </c>
      <c r="F6" s="24">
        <f>SUMIFS(tbl_Budget[Actual],tbl_Budget[Department],D6)</f>
        <v>7833282.2200000035</v>
      </c>
      <c r="G6" s="25">
        <f t="shared" si="0"/>
        <v>6.0345359046051405E-3</v>
      </c>
      <c r="M6" s="7" t="str">
        <v>May-2023</v>
      </c>
      <c r="N6" s="7">
        <f>SUMIFS(tbl_Budget[Month_Number],tbl_Budget[Month_Year],M6)/COUNTIFS(tbl_Budget[Month_Year],M6)</f>
        <v>5</v>
      </c>
      <c r="O6" s="7">
        <f>SUMIFS(tbl_Budget[Year],tbl_Budget[Month_Year],M6)/COUNTIFS(tbl_Budget[Month_Year],M6)</f>
        <v>2023</v>
      </c>
      <c r="P6" s="24">
        <f>SUMIFS(tbl_Budget[Budget],tbl_Budget[Month_Year],M6)</f>
        <v>1877784.1800000002</v>
      </c>
      <c r="Q6" s="24">
        <f>SUMIFS(tbl_Budget[Actual],tbl_Budget[Month_Year],M6)</f>
        <v>1894483.8</v>
      </c>
      <c r="R6" s="24">
        <f t="shared" si="1"/>
        <v>16699.619999999879</v>
      </c>
      <c r="T6" s="7" t="str">
        <v>Finance</v>
      </c>
      <c r="U6" s="24">
        <f>SUMIFS(tbl_Budget[Actual],tbl_Budget[Department],$T6,tbl_Budget[Category],U$1)</f>
        <v>4195509.3500000006</v>
      </c>
      <c r="V6" s="24">
        <f>SUMIFS(tbl_Budget[Actual],tbl_Budget[Department],$T6,tbl_Budget[Category],V$1)</f>
        <v>1597400.3399999999</v>
      </c>
      <c r="W6" s="24">
        <f>SUMIFS(tbl_Budget[Actual],tbl_Budget[Department],$T6,tbl_Budget[Category],W$1)</f>
        <v>732851.23000000033</v>
      </c>
      <c r="X6" s="24">
        <f>SUMIFS(tbl_Budget[Actual],tbl_Budget[Department],$T6,tbl_Budget[Category],X$1)</f>
        <v>703281.35000000009</v>
      </c>
      <c r="Y6" s="24">
        <f>SUMIFS(tbl_Budget[Actual],tbl_Budget[Department],$T6,tbl_Budget[Category],Y$1)</f>
        <v>604239.94999999984</v>
      </c>
    </row>
    <row r="7" spans="1:25">
      <c r="M7" s="7" t="str">
        <v>Jun-2023</v>
      </c>
      <c r="N7" s="7">
        <f>SUMIFS(tbl_Budget[Month_Number],tbl_Budget[Month_Year],M7)/COUNTIFS(tbl_Budget[Month_Year],M7)</f>
        <v>6</v>
      </c>
      <c r="O7" s="7">
        <f>SUMIFS(tbl_Budget[Year],tbl_Budget[Month_Year],M7)/COUNTIFS(tbl_Budget[Month_Year],M7)</f>
        <v>2023</v>
      </c>
      <c r="P7" s="24">
        <f>SUMIFS(tbl_Budget[Budget],tbl_Budget[Month_Year],M7)</f>
        <v>1867649.2099999997</v>
      </c>
      <c r="Q7" s="24">
        <f>SUMIFS(tbl_Budget[Actual],tbl_Budget[Month_Year],M7)</f>
        <v>1887486.4900000007</v>
      </c>
      <c r="R7" s="24">
        <f t="shared" si="1"/>
        <v>19837.280000000959</v>
      </c>
    </row>
    <row r="8" spans="1:25">
      <c r="M8" s="7" t="str">
        <v>Jul-2023</v>
      </c>
      <c r="N8" s="7">
        <f>SUMIFS(tbl_Budget[Month_Number],tbl_Budget[Month_Year],M8)/COUNTIFS(tbl_Budget[Month_Year],M8)</f>
        <v>7</v>
      </c>
      <c r="O8" s="7">
        <f>SUMIFS(tbl_Budget[Year],tbl_Budget[Month_Year],M8)/COUNTIFS(tbl_Budget[Month_Year],M8)</f>
        <v>2023</v>
      </c>
      <c r="P8" s="24">
        <f>SUMIFS(tbl_Budget[Budget],tbl_Budget[Month_Year],M8)</f>
        <v>1847500.2400000002</v>
      </c>
      <c r="Q8" s="24">
        <f>SUMIFS(tbl_Budget[Actual],tbl_Budget[Month_Year],M8)</f>
        <v>1917823.4099999997</v>
      </c>
      <c r="R8" s="24">
        <f t="shared" si="1"/>
        <v>70323.16999999946</v>
      </c>
    </row>
    <row r="9" spans="1:25">
      <c r="M9" s="7" t="str">
        <v>Aug-2023</v>
      </c>
      <c r="N9" s="7">
        <f>SUMIFS(tbl_Budget[Month_Number],tbl_Budget[Month_Year],M9)/COUNTIFS(tbl_Budget[Month_Year],M9)</f>
        <v>8</v>
      </c>
      <c r="O9" s="7">
        <f>SUMIFS(tbl_Budget[Year],tbl_Budget[Month_Year],M9)/COUNTIFS(tbl_Budget[Month_Year],M9)</f>
        <v>2023</v>
      </c>
      <c r="P9" s="24">
        <f>SUMIFS(tbl_Budget[Budget],tbl_Budget[Month_Year],M9)</f>
        <v>1825743.13</v>
      </c>
      <c r="Q9" s="24">
        <f>SUMIFS(tbl_Budget[Actual],tbl_Budget[Month_Year],M9)</f>
        <v>1888745.3599999994</v>
      </c>
      <c r="R9" s="24">
        <f t="shared" si="1"/>
        <v>63002.229999999516</v>
      </c>
    </row>
    <row r="10" spans="1:25">
      <c r="M10" s="7" t="str">
        <v>Sep-2023</v>
      </c>
      <c r="N10" s="7">
        <f>SUMIFS(tbl_Budget[Month_Number],tbl_Budget[Month_Year],M10)/COUNTIFS(tbl_Budget[Month_Year],M10)</f>
        <v>9</v>
      </c>
      <c r="O10" s="7">
        <f>SUMIFS(tbl_Budget[Year],tbl_Budget[Month_Year],M10)/COUNTIFS(tbl_Budget[Month_Year],M10)</f>
        <v>2023</v>
      </c>
      <c r="P10" s="24">
        <f>SUMIFS(tbl_Budget[Budget],tbl_Budget[Month_Year],M10)</f>
        <v>1821292.4299999997</v>
      </c>
      <c r="Q10" s="24">
        <f>SUMIFS(tbl_Budget[Actual],tbl_Budget[Month_Year],M10)</f>
        <v>1899543.75</v>
      </c>
      <c r="R10" s="24">
        <f t="shared" si="1"/>
        <v>78251.320000000298</v>
      </c>
    </row>
    <row r="11" spans="1:25">
      <c r="M11" s="7" t="str">
        <v>Oct-2023</v>
      </c>
      <c r="N11" s="7">
        <f>SUMIFS(tbl_Budget[Month_Number],tbl_Budget[Month_Year],M11)/COUNTIFS(tbl_Budget[Month_Year],M11)</f>
        <v>10</v>
      </c>
      <c r="O11" s="7">
        <f>SUMIFS(tbl_Budget[Year],tbl_Budget[Month_Year],M11)/COUNTIFS(tbl_Budget[Month_Year],M11)</f>
        <v>2023</v>
      </c>
      <c r="P11" s="24">
        <f>SUMIFS(tbl_Budget[Budget],tbl_Budget[Month_Year],M11)</f>
        <v>1827214.8100000005</v>
      </c>
      <c r="Q11" s="24">
        <f>SUMIFS(tbl_Budget[Actual],tbl_Budget[Month_Year],M11)</f>
        <v>1826880.4899999998</v>
      </c>
      <c r="R11" s="24">
        <f t="shared" si="1"/>
        <v>-334.32000000076368</v>
      </c>
    </row>
    <row r="12" spans="1:25">
      <c r="M12" s="7" t="str">
        <v>Nov-2023</v>
      </c>
      <c r="N12" s="7">
        <f>SUMIFS(tbl_Budget[Month_Number],tbl_Budget[Month_Year],M12)/COUNTIFS(tbl_Budget[Month_Year],M12)</f>
        <v>11</v>
      </c>
      <c r="O12" s="7">
        <f>SUMIFS(tbl_Budget[Year],tbl_Budget[Month_Year],M12)/COUNTIFS(tbl_Budget[Month_Year],M12)</f>
        <v>2023</v>
      </c>
      <c r="P12" s="24">
        <f>SUMIFS(tbl_Budget[Budget],tbl_Budget[Month_Year],M12)</f>
        <v>1832140.9100000004</v>
      </c>
      <c r="Q12" s="24">
        <f>SUMIFS(tbl_Budget[Actual],tbl_Budget[Month_Year],M12)</f>
        <v>1838884.5</v>
      </c>
      <c r="R12" s="24">
        <f t="shared" si="1"/>
        <v>6743.5899999996182</v>
      </c>
    </row>
    <row r="13" spans="1:25">
      <c r="M13" s="7" t="str">
        <v>Dec-2023</v>
      </c>
      <c r="N13" s="7">
        <f>SUMIFS(tbl_Budget[Month_Number],tbl_Budget[Month_Year],M13)/COUNTIFS(tbl_Budget[Month_Year],M13)</f>
        <v>12</v>
      </c>
      <c r="O13" s="7">
        <f>SUMIFS(tbl_Budget[Year],tbl_Budget[Month_Year],M13)/COUNTIFS(tbl_Budget[Month_Year],M13)</f>
        <v>2023</v>
      </c>
      <c r="P13" s="24">
        <f>SUMIFS(tbl_Budget[Budget],tbl_Budget[Month_Year],M13)</f>
        <v>1846883.4999999991</v>
      </c>
      <c r="Q13" s="24">
        <f>SUMIFS(tbl_Budget[Actual],tbl_Budget[Month_Year],M13)</f>
        <v>1879080.41</v>
      </c>
      <c r="R13" s="24">
        <f t="shared" si="1"/>
        <v>32196.910000000848</v>
      </c>
    </row>
    <row r="14" spans="1:25">
      <c r="M14" s="7" t="str">
        <v>Jan-2024</v>
      </c>
      <c r="N14" s="7">
        <f>SUMIFS(tbl_Budget[Month_Number],tbl_Budget[Month_Year],M14)/COUNTIFS(tbl_Budget[Month_Year],M14)</f>
        <v>1</v>
      </c>
      <c r="O14" s="7">
        <f>SUMIFS(tbl_Budget[Year],tbl_Budget[Month_Year],M14)/COUNTIFS(tbl_Budget[Month_Year],M14)</f>
        <v>2024</v>
      </c>
      <c r="P14" s="24">
        <f>SUMIFS(tbl_Budget[Budget],tbl_Budget[Month_Year],M14)</f>
        <v>1923450.9400000002</v>
      </c>
      <c r="Q14" s="24">
        <f>SUMIFS(tbl_Budget[Actual],tbl_Budget[Month_Year],M14)</f>
        <v>1952153.4600000004</v>
      </c>
      <c r="R14" s="24">
        <f t="shared" si="1"/>
        <v>28702.520000000251</v>
      </c>
    </row>
    <row r="15" spans="1:25">
      <c r="M15" s="7" t="str">
        <v>Feb-2024</v>
      </c>
      <c r="N15" s="7">
        <f>SUMIFS(tbl_Budget[Month_Number],tbl_Budget[Month_Year],M15)/COUNTIFS(tbl_Budget[Month_Year],M15)</f>
        <v>2</v>
      </c>
      <c r="O15" s="7">
        <f>SUMIFS(tbl_Budget[Year],tbl_Budget[Month_Year],M15)/COUNTIFS(tbl_Budget[Month_Year],M15)</f>
        <v>2024</v>
      </c>
      <c r="P15" s="24">
        <f>SUMIFS(tbl_Budget[Budget],tbl_Budget[Month_Year],M15)</f>
        <v>1934174.33</v>
      </c>
      <c r="Q15" s="24">
        <f>SUMIFS(tbl_Budget[Actual],tbl_Budget[Month_Year],M15)</f>
        <v>1943624.5400000007</v>
      </c>
      <c r="R15" s="24">
        <f t="shared" si="1"/>
        <v>9450.2100000006612</v>
      </c>
    </row>
    <row r="16" spans="1:25">
      <c r="M16" s="7" t="str">
        <v>Mar-2024</v>
      </c>
      <c r="N16" s="7">
        <f>SUMIFS(tbl_Budget[Month_Number],tbl_Budget[Month_Year],M16)/COUNTIFS(tbl_Budget[Month_Year],M16)</f>
        <v>3</v>
      </c>
      <c r="O16" s="7">
        <f>SUMIFS(tbl_Budget[Year],tbl_Budget[Month_Year],M16)/COUNTIFS(tbl_Budget[Month_Year],M16)</f>
        <v>2024</v>
      </c>
      <c r="P16" s="24">
        <f>SUMIFS(tbl_Budget[Budget],tbl_Budget[Month_Year],M16)</f>
        <v>1949948.0400000005</v>
      </c>
      <c r="Q16" s="24">
        <f>SUMIFS(tbl_Budget[Actual],tbl_Budget[Month_Year],M16)</f>
        <v>1962094.4199999995</v>
      </c>
      <c r="R16" s="24">
        <f t="shared" si="1"/>
        <v>12146.379999998957</v>
      </c>
    </row>
    <row r="17" spans="13:18">
      <c r="M17" s="7" t="str">
        <v>Apr-2024</v>
      </c>
      <c r="N17" s="7">
        <f>SUMIFS(tbl_Budget[Month_Number],tbl_Budget[Month_Year],M17)/COUNTIFS(tbl_Budget[Month_Year],M17)</f>
        <v>4</v>
      </c>
      <c r="O17" s="7">
        <f>SUMIFS(tbl_Budget[Year],tbl_Budget[Month_Year],M17)/COUNTIFS(tbl_Budget[Month_Year],M17)</f>
        <v>2024</v>
      </c>
      <c r="P17" s="24">
        <f>SUMIFS(tbl_Budget[Budget],tbl_Budget[Month_Year],M17)</f>
        <v>1957401</v>
      </c>
      <c r="Q17" s="24">
        <f>SUMIFS(tbl_Budget[Actual],tbl_Budget[Month_Year],M17)</f>
        <v>1947107.38</v>
      </c>
      <c r="R17" s="24">
        <f t="shared" si="1"/>
        <v>-10293.620000000112</v>
      </c>
    </row>
    <row r="18" spans="13:18">
      <c r="M18" s="7" t="str">
        <v>May-2024</v>
      </c>
      <c r="N18" s="7">
        <f>SUMIFS(tbl_Budget[Month_Number],tbl_Budget[Month_Year],M18)/COUNTIFS(tbl_Budget[Month_Year],M18)</f>
        <v>5</v>
      </c>
      <c r="O18" s="7">
        <f>SUMIFS(tbl_Budget[Year],tbl_Budget[Month_Year],M18)/COUNTIFS(tbl_Budget[Month_Year],M18)</f>
        <v>2024</v>
      </c>
      <c r="P18" s="24">
        <f>SUMIFS(tbl_Budget[Budget],tbl_Budget[Month_Year],M18)</f>
        <v>1953842.7200000009</v>
      </c>
      <c r="Q18" s="24">
        <f>SUMIFS(tbl_Budget[Actual],tbl_Budget[Month_Year],M18)</f>
        <v>1941066.1399999997</v>
      </c>
      <c r="R18" s="24">
        <f t="shared" si="1"/>
        <v>-12776.580000001239</v>
      </c>
    </row>
    <row r="19" spans="13:18">
      <c r="M19" s="7" t="str">
        <v>Jun-2024</v>
      </c>
      <c r="N19" s="7">
        <f>SUMIFS(tbl_Budget[Month_Number],tbl_Budget[Month_Year],M19)/COUNTIFS(tbl_Budget[Month_Year],M19)</f>
        <v>6</v>
      </c>
      <c r="O19" s="7">
        <f>SUMIFS(tbl_Budget[Year],tbl_Budget[Month_Year],M19)/COUNTIFS(tbl_Budget[Month_Year],M19)</f>
        <v>2024</v>
      </c>
      <c r="P19" s="24">
        <f>SUMIFS(tbl_Budget[Budget],tbl_Budget[Month_Year],M19)</f>
        <v>1936634.72</v>
      </c>
      <c r="Q19" s="24">
        <f>SUMIFS(tbl_Budget[Actual],tbl_Budget[Month_Year],M19)</f>
        <v>1951347.7300000002</v>
      </c>
      <c r="R19" s="24">
        <f t="shared" si="1"/>
        <v>14713.010000000242</v>
      </c>
    </row>
    <row r="20" spans="13:18">
      <c r="M20" s="7" t="str">
        <v>Jul-2024</v>
      </c>
      <c r="N20" s="7">
        <f>SUMIFS(tbl_Budget[Month_Number],tbl_Budget[Month_Year],M20)/COUNTIFS(tbl_Budget[Month_Year],M20)</f>
        <v>7</v>
      </c>
      <c r="O20" s="7">
        <f>SUMIFS(tbl_Budget[Year],tbl_Budget[Month_Year],M20)/COUNTIFS(tbl_Budget[Month_Year],M20)</f>
        <v>2024</v>
      </c>
      <c r="P20" s="24">
        <f>SUMIFS(tbl_Budget[Budget],tbl_Budget[Month_Year],M20)</f>
        <v>1916544.3800000001</v>
      </c>
      <c r="Q20" s="24">
        <f>SUMIFS(tbl_Budget[Actual],tbl_Budget[Month_Year],M20)</f>
        <v>2011165.2699999996</v>
      </c>
      <c r="R20" s="24">
        <f t="shared" si="1"/>
        <v>94620.889999999432</v>
      </c>
    </row>
    <row r="21" spans="13:18">
      <c r="M21" s="7" t="str">
        <v>Aug-2024</v>
      </c>
      <c r="N21" s="7">
        <f>SUMIFS(tbl_Budget[Month_Number],tbl_Budget[Month_Year],M21)/COUNTIFS(tbl_Budget[Month_Year],M21)</f>
        <v>8</v>
      </c>
      <c r="O21" s="7">
        <f>SUMIFS(tbl_Budget[Year],tbl_Budget[Month_Year],M21)/COUNTIFS(tbl_Budget[Month_Year],M21)</f>
        <v>2024</v>
      </c>
      <c r="P21" s="24">
        <f>SUMIFS(tbl_Budget[Budget],tbl_Budget[Month_Year],M21)</f>
        <v>1900402.1499999997</v>
      </c>
      <c r="Q21" s="24">
        <f>SUMIFS(tbl_Budget[Actual],tbl_Budget[Month_Year],M21)</f>
        <v>2018095.8499999989</v>
      </c>
      <c r="R21" s="24">
        <f t="shared" si="1"/>
        <v>117693.69999999925</v>
      </c>
    </row>
    <row r="22" spans="13:18">
      <c r="M22" s="7" t="str">
        <v>Sep-2024</v>
      </c>
      <c r="N22" s="7">
        <f>SUMIFS(tbl_Budget[Month_Number],tbl_Budget[Month_Year],M22)/COUNTIFS(tbl_Budget[Month_Year],M22)</f>
        <v>9</v>
      </c>
      <c r="O22" s="7">
        <f>SUMIFS(tbl_Budget[Year],tbl_Budget[Month_Year],M22)/COUNTIFS(tbl_Budget[Month_Year],M22)</f>
        <v>2024</v>
      </c>
      <c r="P22" s="24">
        <f>SUMIFS(tbl_Budget[Budget],tbl_Budget[Month_Year],M22)</f>
        <v>1895299.3099999998</v>
      </c>
      <c r="Q22" s="24">
        <f>SUMIFS(tbl_Budget[Actual],tbl_Budget[Month_Year],M22)</f>
        <v>1989836.1700000011</v>
      </c>
      <c r="R22" s="24">
        <f t="shared" si="1"/>
        <v>94536.860000001267</v>
      </c>
    </row>
    <row r="23" spans="13:18">
      <c r="M23" s="7" t="str">
        <v>Oct-2024</v>
      </c>
      <c r="N23" s="7">
        <f>SUMIFS(tbl_Budget[Month_Number],tbl_Budget[Month_Year],M23)/COUNTIFS(tbl_Budget[Month_Year],M23)</f>
        <v>10</v>
      </c>
      <c r="O23" s="7">
        <f>SUMIFS(tbl_Budget[Year],tbl_Budget[Month_Year],M23)/COUNTIFS(tbl_Budget[Month_Year],M23)</f>
        <v>2024</v>
      </c>
      <c r="P23" s="24">
        <f>SUMIFS(tbl_Budget[Budget],tbl_Budget[Month_Year],M23)</f>
        <v>1897694.6499999997</v>
      </c>
      <c r="Q23" s="24">
        <f>SUMIFS(tbl_Budget[Actual],tbl_Budget[Month_Year],M23)</f>
        <v>1889899.5499999991</v>
      </c>
      <c r="R23" s="24">
        <f t="shared" si="1"/>
        <v>-7795.1000000005588</v>
      </c>
    </row>
    <row r="24" spans="13:18">
      <c r="M24" s="7" t="str">
        <v>Nov-2024</v>
      </c>
      <c r="N24" s="7">
        <f>SUMIFS(tbl_Budget[Month_Number],tbl_Budget[Month_Year],M24)/COUNTIFS(tbl_Budget[Month_Year],M24)</f>
        <v>11</v>
      </c>
      <c r="O24" s="7">
        <f>SUMIFS(tbl_Budget[Year],tbl_Budget[Month_Year],M24)/COUNTIFS(tbl_Budget[Month_Year],M24)</f>
        <v>2024</v>
      </c>
      <c r="P24" s="24">
        <f>SUMIFS(tbl_Budget[Budget],tbl_Budget[Month_Year],M24)</f>
        <v>1904180.6799999985</v>
      </c>
      <c r="Q24" s="24">
        <f>SUMIFS(tbl_Budget[Actual],tbl_Budget[Month_Year],M24)</f>
        <v>1925847.74</v>
      </c>
      <c r="R24" s="24">
        <f t="shared" si="1"/>
        <v>21667.060000001453</v>
      </c>
    </row>
    <row r="25" spans="13:18">
      <c r="M25" s="7" t="str">
        <v>Dec-2024</v>
      </c>
      <c r="N25" s="7">
        <f>SUMIFS(tbl_Budget[Month_Number],tbl_Budget[Month_Year],M25)/COUNTIFS(tbl_Budget[Month_Year],M25)</f>
        <v>12</v>
      </c>
      <c r="O25" s="7">
        <f>SUMIFS(tbl_Budget[Year],tbl_Budget[Month_Year],M25)/COUNTIFS(tbl_Budget[Month_Year],M25)</f>
        <v>2024</v>
      </c>
      <c r="P25" s="24">
        <f>SUMIFS(tbl_Budget[Budget],tbl_Budget[Month_Year],M25)</f>
        <v>1921284.6200000003</v>
      </c>
      <c r="Q25" s="24">
        <f>SUMIFS(tbl_Budget[Actual],tbl_Budget[Month_Year],M25)</f>
        <v>1926232.74</v>
      </c>
      <c r="R25" s="24">
        <f t="shared" si="1"/>
        <v>4948.1199999996461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6B82-9D83-477D-9BE1-A511A493D391}">
  <sheetPr codeName="Sheet4"/>
  <dimension ref="A1:E22"/>
  <sheetViews>
    <sheetView workbookViewId="0">
      <selection activeCell="D34" sqref="D34"/>
    </sheetView>
  </sheetViews>
  <sheetFormatPr defaultRowHeight="14.4"/>
  <cols>
    <col min="1" max="1" width="37.88671875" bestFit="1" customWidth="1"/>
    <col min="2" max="2" width="18.88671875" bestFit="1" customWidth="1"/>
    <col min="3" max="3" width="15.109375" bestFit="1" customWidth="1"/>
    <col min="4" max="4" width="35.21875" bestFit="1" customWidth="1"/>
    <col min="5" max="5" width="22.88671875" bestFit="1" customWidth="1"/>
    <col min="7" max="7" width="35.21875" bestFit="1" customWidth="1"/>
    <col min="8" max="11" width="22.88671875" bestFit="1" customWidth="1"/>
  </cols>
  <sheetData>
    <row r="1" spans="1:5">
      <c r="A1" s="28" t="s">
        <v>85</v>
      </c>
      <c r="B1" t="s">
        <v>84</v>
      </c>
      <c r="D1" s="28" t="s">
        <v>87</v>
      </c>
      <c r="E1" t="s">
        <v>86</v>
      </c>
    </row>
    <row r="2" spans="1:5">
      <c r="A2" s="21" t="s">
        <v>13</v>
      </c>
      <c r="B2" s="26">
        <v>0.156912087206765</v>
      </c>
      <c r="D2" s="21" t="s">
        <v>21</v>
      </c>
      <c r="E2" s="26">
        <v>9.4004949096909318E-2</v>
      </c>
    </row>
    <row r="3" spans="1:5">
      <c r="A3" s="21" t="s">
        <v>28</v>
      </c>
      <c r="B3" s="26">
        <v>3.561408437154244E-2</v>
      </c>
      <c r="D3" s="21" t="s">
        <v>23</v>
      </c>
      <c r="E3" s="26">
        <v>1.4399603901682092E-2</v>
      </c>
    </row>
    <row r="4" spans="1:5">
      <c r="A4" s="21" t="s">
        <v>26</v>
      </c>
      <c r="B4" s="26">
        <v>8.1803937305602609E-3</v>
      </c>
      <c r="D4" s="21" t="s">
        <v>14</v>
      </c>
      <c r="E4" s="26">
        <v>1.009667126915929E-2</v>
      </c>
    </row>
    <row r="5" spans="1:5">
      <c r="A5" s="21" t="s">
        <v>30</v>
      </c>
      <c r="B5" s="26">
        <v>6.0345359046055412E-3</v>
      </c>
      <c r="D5" s="21" t="s">
        <v>22</v>
      </c>
      <c r="E5" s="26">
        <v>5.514188297217594E-3</v>
      </c>
    </row>
    <row r="6" spans="1:5">
      <c r="A6" s="21" t="s">
        <v>24</v>
      </c>
      <c r="B6" s="26">
        <v>-0.11575947645063243</v>
      </c>
      <c r="D6" s="21" t="s">
        <v>20</v>
      </c>
      <c r="E6" s="26">
        <v>-3.3936735610854648E-3</v>
      </c>
    </row>
    <row r="7" spans="1:5">
      <c r="A7" s="21" t="s">
        <v>82</v>
      </c>
      <c r="B7" s="26">
        <v>1.5836464752890342E-2</v>
      </c>
      <c r="D7" s="21" t="s">
        <v>82</v>
      </c>
      <c r="E7" s="26">
        <v>1.583646475289037E-2</v>
      </c>
    </row>
    <row r="9" spans="1:5">
      <c r="A9" s="28" t="s">
        <v>2</v>
      </c>
      <c r="B9" t="s">
        <v>83</v>
      </c>
    </row>
    <row r="10" spans="1:5">
      <c r="A10" t="s">
        <v>11</v>
      </c>
      <c r="B10" s="29">
        <v>47529.22000000003</v>
      </c>
    </row>
    <row r="11" spans="1:5">
      <c r="A11" t="s">
        <v>32</v>
      </c>
      <c r="B11" s="29">
        <v>11587.959999999961</v>
      </c>
    </row>
    <row r="12" spans="1:5">
      <c r="A12" t="s">
        <v>34</v>
      </c>
      <c r="B12" s="29">
        <v>24777.340000000058</v>
      </c>
    </row>
    <row r="13" spans="1:5">
      <c r="A13" t="s">
        <v>36</v>
      </c>
      <c r="B13" s="29">
        <v>19549.049999999996</v>
      </c>
    </row>
    <row r="14" spans="1:5">
      <c r="A14" t="s">
        <v>38</v>
      </c>
      <c r="B14" s="29">
        <v>3923.0399999999863</v>
      </c>
    </row>
    <row r="15" spans="1:5">
      <c r="A15" t="s">
        <v>40</v>
      </c>
      <c r="B15" s="29">
        <v>34550.290000000015</v>
      </c>
    </row>
    <row r="16" spans="1:5">
      <c r="A16" t="s">
        <v>42</v>
      </c>
      <c r="B16" s="29">
        <v>164944.06000000006</v>
      </c>
    </row>
    <row r="17" spans="1:2">
      <c r="A17" t="s">
        <v>44</v>
      </c>
      <c r="B17" s="29">
        <v>180695.92999999996</v>
      </c>
    </row>
    <row r="18" spans="1:2">
      <c r="A18" t="s">
        <v>46</v>
      </c>
      <c r="B18" s="29">
        <v>172788.18000000011</v>
      </c>
    </row>
    <row r="19" spans="1:2">
      <c r="A19" t="s">
        <v>48</v>
      </c>
      <c r="B19" s="29">
        <v>-8129.419999999991</v>
      </c>
    </row>
    <row r="20" spans="1:2">
      <c r="A20" t="s">
        <v>50</v>
      </c>
      <c r="B20" s="29">
        <v>28410.650000000016</v>
      </c>
    </row>
    <row r="21" spans="1:2">
      <c r="A21" t="s">
        <v>52</v>
      </c>
      <c r="B21" s="29">
        <v>37145.029999999992</v>
      </c>
    </row>
    <row r="22" spans="1:2">
      <c r="A22" t="s">
        <v>82</v>
      </c>
      <c r="B22" s="29">
        <v>717771.33000000007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09B4C-E162-435B-8395-8046D2F036F8}">
  <dimension ref="A1"/>
  <sheetViews>
    <sheetView showGridLines="0" tabSelected="1" workbookViewId="0">
      <selection activeCell="Z22" sqref="Z22"/>
    </sheetView>
  </sheetViews>
  <sheetFormatPr defaultRowHeight="14.4"/>
  <cols>
    <col min="1" max="16384" width="8.8867187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CF4AD4-5601-45DA-BFF8-3D2E92BAA9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Lookup Tables</vt:lpstr>
      <vt:lpstr>Calculations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2026-04-16T11:05:54Z</dcterms:created>
  <dcterms:modified xsi:type="dcterms:W3CDTF">2026-04-17T20:25:22Z</dcterms:modified>
</cp:coreProperties>
</file>